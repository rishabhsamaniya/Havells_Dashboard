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yexperiencespvtltd-my.sharepoint.com/personal/rishabh_s_storyexp_com/Documents/Desktop/Havells_Billing/"/>
    </mc:Choice>
  </mc:AlternateContent>
  <xr:revisionPtr revIDLastSave="229" documentId="8_{989AD717-7031-4349-967D-C2EFD70656D5}" xr6:coauthVersionLast="47" xr6:coauthVersionMax="47" xr10:uidLastSave="{1772E011-0ED5-495E-A3C6-2E3BD56992E6}"/>
  <bookViews>
    <workbookView xWindow="-120" yWindow="-120" windowWidth="29040" windowHeight="15840" xr2:uid="{0EEFC755-FFD3-419F-81D7-BCA640E7790D}"/>
  </bookViews>
  <sheets>
    <sheet name="Aug Month" sheetId="1" r:id="rId1"/>
  </sheets>
  <externalReferences>
    <externalReference r:id="rId2"/>
  </externalReferences>
  <definedNames>
    <definedName name="_xlnm._FilterDatabase" localSheetId="0" hidden="1">'Aug Month'!$A$1:$AA$179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52" i="1" l="1"/>
  <c r="N151" i="1"/>
  <c r="O151" i="1" s="1"/>
  <c r="N108" i="1"/>
  <c r="O108" i="1" s="1"/>
  <c r="N92" i="1"/>
  <c r="O92" i="1" s="1"/>
  <c r="N91" i="1"/>
  <c r="O91" i="1" s="1"/>
  <c r="N89" i="1"/>
  <c r="O89" i="1" s="1"/>
  <c r="N75" i="1"/>
  <c r="O75" i="1" s="1"/>
  <c r="N74" i="1"/>
  <c r="O74" i="1" s="1"/>
  <c r="N66" i="1"/>
  <c r="O66" i="1" s="1"/>
  <c r="N59" i="1"/>
  <c r="O59" i="1" s="1"/>
  <c r="N44" i="1"/>
  <c r="O44" i="1" s="1"/>
  <c r="N16" i="1"/>
  <c r="R16" i="1"/>
  <c r="R44" i="1"/>
  <c r="R59" i="1"/>
  <c r="R66" i="1"/>
  <c r="R74" i="1"/>
  <c r="R75" i="1"/>
  <c r="R89" i="1"/>
  <c r="R91" i="1"/>
  <c r="R92" i="1"/>
  <c r="R108" i="1"/>
  <c r="R151" i="1"/>
  <c r="R152" i="1"/>
  <c r="Q3" i="1"/>
  <c r="Q4" i="1"/>
  <c r="Q5" i="1"/>
  <c r="Q6" i="1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6" i="1"/>
  <c r="Q67" i="1"/>
  <c r="Q68" i="1"/>
  <c r="Q69" i="1"/>
  <c r="Q70" i="1"/>
  <c r="Q71" i="1"/>
  <c r="Q72" i="1"/>
  <c r="Q73" i="1"/>
  <c r="Q74" i="1"/>
  <c r="Q75" i="1"/>
  <c r="Q76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2" i="1"/>
  <c r="M144" i="1"/>
  <c r="O144" i="1" s="1"/>
  <c r="M97" i="1"/>
  <c r="Q97" i="1" s="1"/>
  <c r="M65" i="1"/>
  <c r="O65" i="1" s="1"/>
  <c r="O3" i="1"/>
  <c r="O4" i="1"/>
  <c r="O5" i="1"/>
  <c r="O6" i="1"/>
  <c r="O7" i="1"/>
  <c r="O9" i="1"/>
  <c r="O10" i="1"/>
  <c r="O11" i="1"/>
  <c r="O12" i="1"/>
  <c r="O13" i="1"/>
  <c r="O14" i="1"/>
  <c r="O15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60" i="1"/>
  <c r="O61" i="1"/>
  <c r="O62" i="1"/>
  <c r="O63" i="1"/>
  <c r="O64" i="1"/>
  <c r="O67" i="1"/>
  <c r="O68" i="1"/>
  <c r="O69" i="1"/>
  <c r="O70" i="1"/>
  <c r="O71" i="1"/>
  <c r="O72" i="1"/>
  <c r="O73" i="1"/>
  <c r="O76" i="1"/>
  <c r="O78" i="1"/>
  <c r="O79" i="1"/>
  <c r="O80" i="1"/>
  <c r="O81" i="1"/>
  <c r="O82" i="1"/>
  <c r="O83" i="1"/>
  <c r="O84" i="1"/>
  <c r="O85" i="1"/>
  <c r="O86" i="1"/>
  <c r="O87" i="1"/>
  <c r="O88" i="1"/>
  <c r="O90" i="1"/>
  <c r="O93" i="1"/>
  <c r="O94" i="1"/>
  <c r="O95" i="1"/>
  <c r="O96" i="1"/>
  <c r="O98" i="1"/>
  <c r="O99" i="1"/>
  <c r="O100" i="1"/>
  <c r="O101" i="1"/>
  <c r="O102" i="1"/>
  <c r="O103" i="1"/>
  <c r="O104" i="1"/>
  <c r="O105" i="1"/>
  <c r="O106" i="1"/>
  <c r="O107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5" i="1"/>
  <c r="O146" i="1"/>
  <c r="O147" i="1"/>
  <c r="O148" i="1"/>
  <c r="O149" i="1"/>
  <c r="O150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2" i="1"/>
  <c r="O97" i="1" l="1"/>
  <c r="N180" i="1"/>
  <c r="O16" i="1"/>
  <c r="Q65" i="1"/>
  <c r="Q144" i="1"/>
  <c r="L180" i="1"/>
  <c r="M77" i="1"/>
  <c r="M8" i="1"/>
  <c r="O77" i="1" l="1"/>
  <c r="Q77" i="1"/>
  <c r="O8" i="1"/>
  <c r="O180" i="1" s="1"/>
  <c r="Q8" i="1"/>
  <c r="M180" i="1"/>
</calcChain>
</file>

<file path=xl/sharedStrings.xml><?xml version="1.0" encoding="utf-8"?>
<sst xmlns="http://schemas.openxmlformats.org/spreadsheetml/2006/main" count="2513" uniqueCount="971">
  <si>
    <t>DealerCode</t>
  </si>
  <si>
    <t>Firm Name</t>
  </si>
  <si>
    <t>Dealer/Partner Name</t>
  </si>
  <si>
    <t>Dine-Out/Salon/Spa/
Photoshoot/Concert</t>
  </si>
  <si>
    <t>City &amp; State</t>
  </si>
  <si>
    <t>Hotel/Restaurant/Salon/Photoshoot/Concert Name</t>
  </si>
  <si>
    <t>No of Pax</t>
  </si>
  <si>
    <t>Buffet/Ala-Carte/Salon/Photoshoot/Concert/Spa</t>
  </si>
  <si>
    <t>RM</t>
  </si>
  <si>
    <t>PAYMENT SPOC</t>
  </si>
  <si>
    <t>Zomato Amount</t>
  </si>
  <si>
    <t>Amount Paid</t>
  </si>
  <si>
    <t>Paid by</t>
  </si>
  <si>
    <t>Payment Date</t>
  </si>
  <si>
    <t xml:space="preserve">Payment Mode </t>
  </si>
  <si>
    <t>Payment Mode - Direct/Zomato or Refund</t>
  </si>
  <si>
    <t xml:space="preserve">Refund </t>
  </si>
  <si>
    <t>Refund Date</t>
  </si>
  <si>
    <t>Remarks</t>
  </si>
  <si>
    <t>Payment Status</t>
  </si>
  <si>
    <t>Approved by Client</t>
  </si>
  <si>
    <t>Sambandh - 10k</t>
  </si>
  <si>
    <t>COM0504</t>
  </si>
  <si>
    <t>OM ELECTRIC SALES</t>
  </si>
  <si>
    <t>Sonalben</t>
  </si>
  <si>
    <t>Dine out</t>
  </si>
  <si>
    <t>Rajkot</t>
  </si>
  <si>
    <t>Regency Lagoon</t>
  </si>
  <si>
    <t>4 Pax</t>
  </si>
  <si>
    <t>Ala - Carte</t>
  </si>
  <si>
    <t>Parsun</t>
  </si>
  <si>
    <t>CPU0249</t>
  </si>
  <si>
    <t>Pushpad Enterprises</t>
  </si>
  <si>
    <t>Shubham Puspad</t>
  </si>
  <si>
    <t>Gym</t>
  </si>
  <si>
    <t xml:space="preserve"> Ashta</t>
  </si>
  <si>
    <t>Pal fitness club</t>
  </si>
  <si>
    <t>1 Pax</t>
  </si>
  <si>
    <t>CSR0542</t>
  </si>
  <si>
    <t>Sri Vijaya Lakshmi Agencies</t>
  </si>
  <si>
    <t>Krishna  S</t>
  </si>
  <si>
    <t>Dine-Out</t>
  </si>
  <si>
    <t xml:space="preserve">Visakhapatnam </t>
  </si>
  <si>
    <t>Novotel Visakhapatnam Varun Beach</t>
  </si>
  <si>
    <t>4 pax</t>
  </si>
  <si>
    <t>Buffet</t>
  </si>
  <si>
    <t>Simran</t>
  </si>
  <si>
    <t>CAD0002</t>
  </si>
  <si>
    <t>Adarsh Electricals</t>
  </si>
  <si>
    <t>Ashish Khandelwal</t>
  </si>
  <si>
    <t>Behror</t>
  </si>
  <si>
    <t>The Fitness Zone, Behror, Rajasthan 301701</t>
  </si>
  <si>
    <t>Vikrant</t>
  </si>
  <si>
    <t>CSI2286</t>
  </si>
  <si>
    <t>SIDH ENTERPRISES</t>
  </si>
  <si>
    <t>Ritu Jain</t>
  </si>
  <si>
    <t>Salon</t>
  </si>
  <si>
    <t xml:space="preserve"> Ghaziabad</t>
  </si>
  <si>
    <t>Geetanjali Studio</t>
  </si>
  <si>
    <t>Ravinder</t>
  </si>
  <si>
    <t>CMR0068</t>
  </si>
  <si>
    <t xml:space="preserve">MR Electric Corporation </t>
  </si>
  <si>
    <t>Satish Mamillapalli (Sarayu)</t>
  </si>
  <si>
    <t>HYDERABAD-TL</t>
  </si>
  <si>
    <t>JAWED HABIB HAIR &amp; BEAUTY STUDIO</t>
  </si>
  <si>
    <t>CDE0837</t>
  </si>
  <si>
    <t>Dewansh Marketing</t>
  </si>
  <si>
    <t>Chetana  Shah</t>
  </si>
  <si>
    <t>Mumbai</t>
  </si>
  <si>
    <t>Hilton Mumbai</t>
  </si>
  <si>
    <t>2 PAX</t>
  </si>
  <si>
    <t>Himanshu</t>
  </si>
  <si>
    <t>CGO0616</t>
  </si>
  <si>
    <t>Goyal Enterprises</t>
  </si>
  <si>
    <t>Murti Devi (Mr. Rajan)</t>
  </si>
  <si>
    <t>BATHINDA-PB</t>
  </si>
  <si>
    <t>Comfort Inn Tulip Heights</t>
  </si>
  <si>
    <t>6 Adults + 3 Kids</t>
  </si>
  <si>
    <t>CSA1923</t>
  </si>
  <si>
    <t>Sangam Electrical</t>
  </si>
  <si>
    <t>Mukesh Soni</t>
  </si>
  <si>
    <t>NAWALGARH-RJ</t>
  </si>
  <si>
    <t>Vivaana Museum Hotel</t>
  </si>
  <si>
    <t>2 Adults + 2 Kids (4yrs and 9yrs)</t>
  </si>
  <si>
    <t>CJK0121</t>
  </si>
  <si>
    <t>J K Agro Sales</t>
  </si>
  <si>
    <t>Gurbir Singh</t>
  </si>
  <si>
    <t>LUDHIANA-PB</t>
  </si>
  <si>
    <t>Hyatt Regency Ludhiana</t>
  </si>
  <si>
    <t>2 adults + 3 Kids (&lt;5 yrs)</t>
  </si>
  <si>
    <t>CKR0404</t>
  </si>
  <si>
    <t xml:space="preserve">Krishna Marketing </t>
  </si>
  <si>
    <t xml:space="preserve">Prakash </t>
  </si>
  <si>
    <t>BANGALORE-KA</t>
  </si>
  <si>
    <t>Cult Prime Gym - JP Nagar</t>
  </si>
  <si>
    <t>17-Auh-26</t>
  </si>
  <si>
    <t>CDE0807</t>
  </si>
  <si>
    <t>Deep Engineers</t>
  </si>
  <si>
    <t>BRIJESHKUMAR PATEL</t>
  </si>
  <si>
    <t>Ahmedabad</t>
  </si>
  <si>
    <t>ITC Narmada</t>
  </si>
  <si>
    <t>4 PAX</t>
  </si>
  <si>
    <t>CGU2396</t>
  </si>
  <si>
    <t>Gupta Agencies</t>
  </si>
  <si>
    <t>Fanish Gupta</t>
  </si>
  <si>
    <t>MOGA-PB</t>
  </si>
  <si>
    <t>Big ben Xclusive Moga Punjab</t>
  </si>
  <si>
    <t>2 Adults + 2 Kids</t>
  </si>
  <si>
    <t>CAH0076</t>
  </si>
  <si>
    <t>Ahad Solartech</t>
  </si>
  <si>
    <t xml:space="preserve">SUTHAR	ABBASALI
</t>
  </si>
  <si>
    <t>Himatnagar</t>
  </si>
  <si>
    <t xml:space="preserve">Hotel Ashirwad	</t>
  </si>
  <si>
    <t>CSH1125</t>
  </si>
  <si>
    <t>Shivashakti Traders</t>
  </si>
  <si>
    <t>ASHISH WASVANI</t>
  </si>
  <si>
    <t>Concert</t>
  </si>
  <si>
    <t>harsh o ullas harsh gujral</t>
  </si>
  <si>
    <t xml:space="preserve">4 Adults </t>
  </si>
  <si>
    <t xml:space="preserve">Parsun </t>
  </si>
  <si>
    <t>CSH4726</t>
  </si>
  <si>
    <t>SHREEJI SOLAR &amp; SERVICES</t>
  </si>
  <si>
    <t>Vadera Sanjaybhai</t>
  </si>
  <si>
    <t>JUNAGADH</t>
  </si>
  <si>
    <t>SPARK GYM</t>
  </si>
  <si>
    <t xml:space="preserve">1 Adults </t>
  </si>
  <si>
    <t>CNI0607</t>
  </si>
  <si>
    <t>NIYANSHI ENTERPRISES</t>
  </si>
  <si>
    <t>Akhilesh Vyas</t>
  </si>
  <si>
    <t>Photo shoot</t>
  </si>
  <si>
    <t>BHILWARA-RJ</t>
  </si>
  <si>
    <t>Outdoor Photoshoot</t>
  </si>
  <si>
    <t>2 Pax</t>
  </si>
  <si>
    <t>Photoshoot</t>
  </si>
  <si>
    <t>CSW0320</t>
  </si>
  <si>
    <t>SWARNIM ENTERPRISES</t>
  </si>
  <si>
    <t>SHIVANSH JHA</t>
  </si>
  <si>
    <t>RAIPUR</t>
  </si>
  <si>
    <t>Saicus Shankar Nagar</t>
  </si>
  <si>
    <t>1 Adult</t>
  </si>
  <si>
    <t>CKA0486</t>
  </si>
  <si>
    <t>KAYSON TRADERS</t>
  </si>
  <si>
    <t>Varun Kuamr</t>
  </si>
  <si>
    <t>MOHALI-PB</t>
  </si>
  <si>
    <t xml:space="preserve">Wyndham Chandigarh Mohali </t>
  </si>
  <si>
    <t>3 pax</t>
  </si>
  <si>
    <t>CPR1136</t>
  </si>
  <si>
    <t>Priya International</t>
  </si>
  <si>
    <t>Anuj Malhotra</t>
  </si>
  <si>
    <t>Ludhiana</t>
  </si>
  <si>
    <t>4 Adults + 2 Kids (3 yrs and 8 yrs)</t>
  </si>
  <si>
    <t>CSI0116</t>
  </si>
  <si>
    <t>Sihotia Sales</t>
  </si>
  <si>
    <t>Manoj Sihotia</t>
  </si>
  <si>
    <t>Sikar</t>
  </si>
  <si>
    <t>KHASIYAT MULTICUISINE RESTAURANT</t>
  </si>
  <si>
    <t>Ala Carte</t>
  </si>
  <si>
    <t>CLA0997</t>
  </si>
  <si>
    <t>Lakshita Enterprises</t>
  </si>
  <si>
    <t>Umesh Kumawat</t>
  </si>
  <si>
    <t>Bundi</t>
  </si>
  <si>
    <t>Classic Sapphire Ananta Bundi</t>
  </si>
  <si>
    <t>CVA2429</t>
  </si>
  <si>
    <t>VASL ENTERPRISE</t>
  </si>
  <si>
    <t>Harbans Singh</t>
  </si>
  <si>
    <t>Spa</t>
  </si>
  <si>
    <t>Mohali</t>
  </si>
  <si>
    <t>Avalon Spa Chandigarh</t>
  </si>
  <si>
    <t>1 pax</t>
  </si>
  <si>
    <t>SPA</t>
  </si>
  <si>
    <t>CPI0132</t>
  </si>
  <si>
    <t>Pio Electricals</t>
  </si>
  <si>
    <t>PIO REBELLO</t>
  </si>
  <si>
    <t>Goa</t>
  </si>
  <si>
    <t>Snip salon and spa</t>
  </si>
  <si>
    <t>CRA2242</t>
  </si>
  <si>
    <t>RAJESH TRADING COMPANY</t>
  </si>
  <si>
    <t>Rajesh Jain</t>
  </si>
  <si>
    <t>Satna</t>
  </si>
  <si>
    <t>Gym Fitness Vila</t>
  </si>
  <si>
    <t>CJS0105</t>
  </si>
  <si>
    <t>J STAR TECHNOLOGIES</t>
  </si>
  <si>
    <t>Muhammed Shereef</t>
  </si>
  <si>
    <t>VADAKARA-KL</t>
  </si>
  <si>
    <t>The Raviz Kadavu</t>
  </si>
  <si>
    <t>3 PAX</t>
  </si>
  <si>
    <t>CVR0081</t>
  </si>
  <si>
    <t>Vrindavan Hardware &amp; paint store</t>
  </si>
  <si>
    <t>Paritosh</t>
  </si>
  <si>
    <t>Kanpur</t>
  </si>
  <si>
    <t>Landmark</t>
  </si>
  <si>
    <t>CLA0113</t>
  </si>
  <si>
    <t xml:space="preserve">Luxmi Electric Sales </t>
  </si>
  <si>
    <t>Sandeep Goyal</t>
  </si>
  <si>
    <t>Chandigarh</t>
  </si>
  <si>
    <t>Hyatt Regency, Chandigarh</t>
  </si>
  <si>
    <t>CPR1021</t>
  </si>
  <si>
    <t>Pradeep Light House</t>
  </si>
  <si>
    <t>Shilpi</t>
  </si>
  <si>
    <t>Mauganj</t>
  </si>
  <si>
    <t>Bodyline fitness gym</t>
  </si>
  <si>
    <t>CDH0242</t>
  </si>
  <si>
    <t>Dhyani Enterprise</t>
  </si>
  <si>
    <t>Ileshkumar Patel</t>
  </si>
  <si>
    <t>Vesu</t>
  </si>
  <si>
    <t>Bonanza Luxe Salon Vesu, Surat, Gujarat</t>
  </si>
  <si>
    <t>CEX0017</t>
  </si>
  <si>
    <t>Excel Enterprises</t>
  </si>
  <si>
    <t>Sabir Bhai</t>
  </si>
  <si>
    <t>Hydrabad</t>
  </si>
  <si>
    <t xml:space="preserve">Hyderabad Marriot </t>
  </si>
  <si>
    <t>3 Adults &amp; 1 kids( 11 year</t>
  </si>
  <si>
    <t>Aayushi</t>
  </si>
  <si>
    <t>csu1728</t>
  </si>
  <si>
    <t>Suvarna Enterprises</t>
  </si>
  <si>
    <t>Prithish Sanaki</t>
  </si>
  <si>
    <t>GOKAK-KA</t>
  </si>
  <si>
    <t>Niyaz Gokak</t>
  </si>
  <si>
    <t>CAY0022</t>
  </si>
  <si>
    <t>Ayush Enterprises</t>
  </si>
  <si>
    <t>Ayush Shrivastava</t>
  </si>
  <si>
    <t>DARBHANGA-BR</t>
  </si>
  <si>
    <t xml:space="preserve">Hotel Gracia International </t>
  </si>
  <si>
    <t>5 Adults</t>
  </si>
  <si>
    <t>COM0120</t>
  </si>
  <si>
    <t>Om Prakash Power System (P) Ltd.</t>
  </si>
  <si>
    <t>Roshni Kashyap</t>
  </si>
  <si>
    <t>PATNA-BR</t>
  </si>
  <si>
    <t>Hotel Maurya</t>
  </si>
  <si>
    <t>2 Adults &amp; 2 Kids( 10 &amp; 14 Year )</t>
  </si>
  <si>
    <t>CRA1005</t>
  </si>
  <si>
    <t>Ravi Enterprises</t>
  </si>
  <si>
    <t xml:space="preserve">Tajeswi </t>
  </si>
  <si>
    <t>Thirthahalli</t>
  </si>
  <si>
    <t>Kolavara heritage</t>
  </si>
  <si>
    <t>4 Adults &amp; 2 Kids(9 &amp; 14 Year)</t>
  </si>
  <si>
    <t>CEL0298</t>
  </si>
  <si>
    <t>Electrical Hub</t>
  </si>
  <si>
    <t>Shambhavi Shankar</t>
  </si>
  <si>
    <t>DANAPUR-BR</t>
  </si>
  <si>
    <t>Afraa Restaurant</t>
  </si>
  <si>
    <t>CMA3057</t>
  </si>
  <si>
    <t>Mahalaxmi Electricals</t>
  </si>
  <si>
    <t xml:space="preserve">Darshan </t>
  </si>
  <si>
    <t>Hotel Gokak Resort</t>
  </si>
  <si>
    <t>5 pax</t>
  </si>
  <si>
    <t>CAR0203</t>
  </si>
  <si>
    <t>A R Electro Power Pvt Ltd</t>
  </si>
  <si>
    <t>ASHISH RIKHAVCHANS</t>
  </si>
  <si>
    <t xml:space="preserve"> ITC Narmada Ahmedabad</t>
  </si>
  <si>
    <t>2 Adults</t>
  </si>
  <si>
    <t>CRA2339</t>
  </si>
  <si>
    <t>RAJ ELECTRO HUB</t>
  </si>
  <si>
    <t>Kuldeep Lakum</t>
  </si>
  <si>
    <t>WADHWAN CITY</t>
  </si>
  <si>
    <t>President Hotel Restaurant</t>
  </si>
  <si>
    <t>7 Adults+2 Kids</t>
  </si>
  <si>
    <t>CBH0751</t>
  </si>
  <si>
    <t>Bhagwati Electricals</t>
  </si>
  <si>
    <t xml:space="preserve">Gaurav </t>
  </si>
  <si>
    <t>Nagpur</t>
  </si>
  <si>
    <t>Tattva Wellness Spa – Le Méridien NagpurHotel</t>
  </si>
  <si>
    <t xml:space="preserve">2 Adults </t>
  </si>
  <si>
    <t>CME1103</t>
  </si>
  <si>
    <t>Metro Trading Co.</t>
  </si>
  <si>
    <t>JIGAR PATEL</t>
  </si>
  <si>
    <t>Bharuch</t>
  </si>
  <si>
    <t>Hyatt place , Bharuch</t>
  </si>
  <si>
    <t>5 Pax</t>
  </si>
  <si>
    <t>CSH4306</t>
  </si>
  <si>
    <t>Shiv Swaroop Electricals</t>
  </si>
  <si>
    <t>Tarun Vaswani</t>
  </si>
  <si>
    <t>Radisson Blu Hotel, Nagpur</t>
  </si>
  <si>
    <t>3 Pax</t>
  </si>
  <si>
    <t>CMA1684</t>
  </si>
  <si>
    <t>Mahesh Electrical Agencies</t>
  </si>
  <si>
    <t xml:space="preserve">Devi </t>
  </si>
  <si>
    <t>Bhopal</t>
  </si>
  <si>
    <t>Taj Lakefort Bhopal</t>
  </si>
  <si>
    <t>5 Adults + 1 Kid</t>
  </si>
  <si>
    <t>buffet</t>
  </si>
  <si>
    <t>CHA8030</t>
  </si>
  <si>
    <t>Harish Sanitations</t>
  </si>
  <si>
    <t>Naresh Thakur</t>
  </si>
  <si>
    <t>indore</t>
  </si>
  <si>
    <t>Tattva Spa – Radisson Blu Indore</t>
  </si>
  <si>
    <t>CCA1169</t>
  </si>
  <si>
    <t>CABLE CONNECT</t>
  </si>
  <si>
    <t>1. Tincy Melvin  2. Nimitha A</t>
  </si>
  <si>
    <t xml:space="preserve">KOZHIKODE	</t>
  </si>
  <si>
    <t>Collab Hair Makeup Studio</t>
  </si>
  <si>
    <t>Saloon</t>
  </si>
  <si>
    <t>CSS5961</t>
  </si>
  <si>
    <t>S.S. Agencies</t>
  </si>
  <si>
    <t>Satyanarayan Dagara</t>
  </si>
  <si>
    <t>CUTTACK-OD</t>
  </si>
  <si>
    <t>Pramod Convention and Club Resort</t>
  </si>
  <si>
    <t>3 Adults  &amp; 1 Kid (9 Year)</t>
  </si>
  <si>
    <t>CSA0085</t>
  </si>
  <si>
    <t>Sanjay Electricals</t>
  </si>
  <si>
    <t>Sanjay Dharwal</t>
  </si>
  <si>
    <t>Bhiwadi</t>
  </si>
  <si>
    <t>Ramada Encore by Wyndham Bhiwadi</t>
  </si>
  <si>
    <t>CBE0233</t>
  </si>
  <si>
    <t>Benipal Enterprises</t>
  </si>
  <si>
    <t>Harvir Kaur</t>
  </si>
  <si>
    <t>KHANNA-PB</t>
  </si>
  <si>
    <t>Tipsy Restaurant</t>
  </si>
  <si>
    <t>2 pax</t>
  </si>
  <si>
    <t>CAG0372</t>
  </si>
  <si>
    <t>Aggarwal Agencies</t>
  </si>
  <si>
    <t>Dinesh Singhal (Reetu Singhal)</t>
  </si>
  <si>
    <t>SRIGANGANAGAR-RJ</t>
  </si>
  <si>
    <t>CUT&amp;EDGE LUXURY SALON</t>
  </si>
  <si>
    <t>CDH0136</t>
  </si>
  <si>
    <t>Dhanalaxmi Electrical</t>
  </si>
  <si>
    <t xml:space="preserve">Mukesh </t>
  </si>
  <si>
    <t>Hilton Hyderabad Genome Valley Resort &amp; Spa</t>
  </si>
  <si>
    <t>6 pax</t>
  </si>
  <si>
    <t>CSH1926</t>
  </si>
  <si>
    <t>Shri Vijaylaxmi Enterprises</t>
  </si>
  <si>
    <t>Ajay Siraswar</t>
  </si>
  <si>
    <t>MB Gym</t>
  </si>
  <si>
    <t>CSR0851</t>
  </si>
  <si>
    <t>Sri Vasavi Enterprises</t>
  </si>
  <si>
    <t>Ramana v</t>
  </si>
  <si>
    <t>proddatur</t>
  </si>
  <si>
    <t>Titans Arena Strength Club Andhra Pradesh</t>
  </si>
  <si>
    <t>CNA0550</t>
  </si>
  <si>
    <t>National Traders</t>
  </si>
  <si>
    <t>S.Jakeer Hussin</t>
  </si>
  <si>
    <t>COIMBATORE</t>
  </si>
  <si>
    <t>Cult.fit - Race Course Rd</t>
  </si>
  <si>
    <t>CAS0660</t>
  </si>
  <si>
    <t>Ashish Traders</t>
  </si>
  <si>
    <t>Bhagwan Choudhary</t>
  </si>
  <si>
    <t>MANDSAUR</t>
  </si>
  <si>
    <t>Photo Shoot</t>
  </si>
  <si>
    <t>CQP0001</t>
  </si>
  <si>
    <t>Q Point Integrated Solutions</t>
  </si>
  <si>
    <t>Divay Nema</t>
  </si>
  <si>
    <t>Jabalpur</t>
  </si>
  <si>
    <t>CDI1281</t>
  </si>
  <si>
    <t>Digital Trading Com.</t>
  </si>
  <si>
    <t xml:space="preserve">Yuvraj Jain </t>
  </si>
  <si>
    <t>PATIALA-PB</t>
  </si>
  <si>
    <t>Anytime Fitness Patiala, Punjab 147001</t>
  </si>
  <si>
    <t>CSR0355</t>
  </si>
  <si>
    <t>V MURALI</t>
  </si>
  <si>
    <t>V MURALI KRISHNA (Sumanth kumar)</t>
  </si>
  <si>
    <t>Coimbatore</t>
  </si>
  <si>
    <t>Respa</t>
  </si>
  <si>
    <t>CSA0109</t>
  </si>
  <si>
    <t>Sai Electricals</t>
  </si>
  <si>
    <t>Arvind Gupta</t>
  </si>
  <si>
    <t>Datia</t>
  </si>
  <si>
    <t>DUBEY FITNESS</t>
  </si>
  <si>
    <t>CRO0177</t>
  </si>
  <si>
    <t>Royale Lights</t>
  </si>
  <si>
    <t>Girish  Patel</t>
  </si>
  <si>
    <t>SATARA</t>
  </si>
  <si>
    <t>The Fern Residency, Satara, Maharashtra</t>
  </si>
  <si>
    <t>CDA0390</t>
  </si>
  <si>
    <t>DASHMESH ELECTRICALS</t>
  </si>
  <si>
    <t>Manjeet Chhabra</t>
  </si>
  <si>
    <t>Damoh</t>
  </si>
  <si>
    <t>Shri ji highway treat</t>
  </si>
  <si>
    <t>4 Adults</t>
  </si>
  <si>
    <t>CSU1057</t>
  </si>
  <si>
    <t>Sunpower Automation</t>
  </si>
  <si>
    <t>K S LALU</t>
  </si>
  <si>
    <t>Kochi</t>
  </si>
  <si>
    <t xml:space="preserve">Taj Malabar Resort 
</t>
  </si>
  <si>
    <t>CSU0002</t>
  </si>
  <si>
    <t>Sudeep Enterprises</t>
  </si>
  <si>
    <t>Subodh  Pathak</t>
  </si>
  <si>
    <t>SANGLI</t>
  </si>
  <si>
    <t>Hotel Sayaji Effotel, Sangli</t>
  </si>
  <si>
    <t>CNA1140</t>
  </si>
  <si>
    <t>Nas Agencies</t>
  </si>
  <si>
    <t>Nasif</t>
  </si>
  <si>
    <t>Calicut</t>
  </si>
  <si>
    <t>Raviz Calicut</t>
  </si>
  <si>
    <t>3 Adults</t>
  </si>
  <si>
    <t>CBH1186</t>
  </si>
  <si>
    <t>BHAVANI HARDWARE PAINTS &amp; ELECTRICA</t>
  </si>
  <si>
    <t>Dilip Lad</t>
  </si>
  <si>
    <t>VALSAD-GJ</t>
  </si>
  <si>
    <t>The Gold Beach Resort</t>
  </si>
  <si>
    <t>2 adults + 2 kids (5 and 9 years)</t>
  </si>
  <si>
    <t>CSH4251</t>
  </si>
  <si>
    <t>Shiv Electric Experience Centre</t>
  </si>
  <si>
    <t>Anshu Kansal</t>
  </si>
  <si>
    <t>Gaziabad</t>
  </si>
  <si>
    <t>San Gimignano Restaurant</t>
  </si>
  <si>
    <t>COC0015</t>
  </si>
  <si>
    <t>OCEAN ENTERPRISES</t>
  </si>
  <si>
    <t>Nikitaben Zezariya</t>
  </si>
  <si>
    <t>Surat</t>
  </si>
  <si>
    <t>Surat Mariott</t>
  </si>
  <si>
    <t>CSA0232</t>
  </si>
  <si>
    <t>Samyak Sales</t>
  </si>
  <si>
    <t>Mohit Sipani</t>
  </si>
  <si>
    <t>The Aaureum</t>
  </si>
  <si>
    <t>CKA1188</t>
  </si>
  <si>
    <t>Kandarp Engineers</t>
  </si>
  <si>
    <t>Kailash Narayan</t>
  </si>
  <si>
    <t xml:space="preserve"> Bhopal</t>
  </si>
  <si>
    <t>Courtyard by Marriott Bopal</t>
  </si>
  <si>
    <t>6 Adults</t>
  </si>
  <si>
    <t>CSR6497</t>
  </si>
  <si>
    <t>C.K.C. COMMUNICATIONS</t>
  </si>
  <si>
    <t>JAYASEELAN S</t>
  </si>
  <si>
    <t>Tirupathur</t>
  </si>
  <si>
    <t>65 Cents Resto Bar</t>
  </si>
  <si>
    <t>CRU0181</t>
  </si>
  <si>
    <t>Rudra Enterprisers</t>
  </si>
  <si>
    <t>Sandeep Panigrahy</t>
  </si>
  <si>
    <t>BERHAMPUR-OD</t>
  </si>
  <si>
    <t>Mayfair Palm Beach Resort</t>
  </si>
  <si>
    <t xml:space="preserve">2 Pax </t>
  </si>
  <si>
    <t>CSR1385</t>
  </si>
  <si>
    <t>Sri Ganesh Mill Stores</t>
  </si>
  <si>
    <t xml:space="preserve">A. HARI GANESH </t>
  </si>
  <si>
    <t>Merlis</t>
  </si>
  <si>
    <t>CBH0917</t>
  </si>
  <si>
    <t>Bharat Light Homes</t>
  </si>
  <si>
    <t>Suyash Gupta</t>
  </si>
  <si>
    <t xml:space="preserve">RAIPUR
</t>
  </si>
  <si>
    <t>Mayfair Lake Resort</t>
  </si>
  <si>
    <t>2 adults + 2 kids (4 and 1 yesr)</t>
  </si>
  <si>
    <t>CKO0087</t>
  </si>
  <si>
    <t>Korde Electricals And Electronics P</t>
  </si>
  <si>
    <t>CHAITANYA KORDE</t>
  </si>
  <si>
    <t>ESPA – Alila Diwa Goa</t>
  </si>
  <si>
    <t>CBT0008</t>
  </si>
  <si>
    <t>B-2 Electricals And Suppliers</t>
  </si>
  <si>
    <t>Rishit</t>
  </si>
  <si>
    <t xml:space="preserve">Radisson Hotel
</t>
  </si>
  <si>
    <t>8 Adults</t>
  </si>
  <si>
    <t>CJJ0026</t>
  </si>
  <si>
    <t>J.J. ENTERPRISES</t>
  </si>
  <si>
    <t>Nararaj</t>
  </si>
  <si>
    <t>TIRUCHIRAPPALLI-</t>
  </si>
  <si>
    <t xml:space="preserve">Courtyard hotel </t>
  </si>
  <si>
    <t>CKU0257</t>
  </si>
  <si>
    <t>Kurbitte Enterprises</t>
  </si>
  <si>
    <t xml:space="preserve">Ninad </t>
  </si>
  <si>
    <t>ICHALKARNJI</t>
  </si>
  <si>
    <t xml:space="preserve">Kabsons Bar &amp; Grill
</t>
  </si>
  <si>
    <t>Ala carte</t>
  </si>
  <si>
    <t>CTS0023</t>
  </si>
  <si>
    <t>T.S.W. ENGINEERING</t>
  </si>
  <si>
    <t>Akhil Wadale</t>
  </si>
  <si>
    <t>Pune</t>
  </si>
  <si>
    <t>The Ritz- Carlton</t>
  </si>
  <si>
    <t>CBA0585</t>
  </si>
  <si>
    <t>Baheti Electricals</t>
  </si>
  <si>
    <t>Chandra Prakash</t>
  </si>
  <si>
    <t xml:space="preserve">Indore Marriott </t>
  </si>
  <si>
    <t>CBR0228</t>
  </si>
  <si>
    <t>Bright Enterprises</t>
  </si>
  <si>
    <t>Ubaid Ahmad</t>
  </si>
  <si>
    <t>KAMTHI-MH</t>
  </si>
  <si>
    <t>Siddiqui</t>
  </si>
  <si>
    <t>CSR0061</t>
  </si>
  <si>
    <t>Sri Ganesh Agencies</t>
  </si>
  <si>
    <t xml:space="preserve">Rajesh </t>
  </si>
  <si>
    <t>Kids Day Out</t>
  </si>
  <si>
    <t>Hyderabad</t>
  </si>
  <si>
    <t>Daisy dale farm park &amp; Resort</t>
  </si>
  <si>
    <t>2 Adults + 4 Kids (3, 7, 9, 12)</t>
  </si>
  <si>
    <t>CSS5972</t>
  </si>
  <si>
    <t xml:space="preserve">SSY Distribution House LLP </t>
  </si>
  <si>
    <t>Yash Maheswari</t>
  </si>
  <si>
    <t>Lotus Sports and Fitness</t>
  </si>
  <si>
    <t>CBA0636</t>
  </si>
  <si>
    <t>Badola Trading Company</t>
  </si>
  <si>
    <t>Kapil Badola</t>
  </si>
  <si>
    <t>Rajsamand</t>
  </si>
  <si>
    <t>OLYMPIA GYM &amp; FITNESS CENTRE</t>
  </si>
  <si>
    <t>CRK0382</t>
  </si>
  <si>
    <t>R K Enterprises</t>
  </si>
  <si>
    <t xml:space="preserve">Raj Kumar </t>
  </si>
  <si>
    <t>Nagaur</t>
  </si>
  <si>
    <t>Ranvas Nagaur</t>
  </si>
  <si>
    <t>CSH2407</t>
  </si>
  <si>
    <t>Shri Krishna Electricals</t>
  </si>
  <si>
    <t>Rakesh Saini</t>
  </si>
  <si>
    <t>Jaipur</t>
  </si>
  <si>
    <t xml:space="preserve">Jaipur Marriott </t>
  </si>
  <si>
    <t xml:space="preserve">2 pax </t>
  </si>
  <si>
    <t>CKA0712</t>
  </si>
  <si>
    <t xml:space="preserve">Kailash Electricals </t>
  </si>
  <si>
    <t xml:space="preserve">Lakshman </t>
  </si>
  <si>
    <t>JW Marriott Bengaluru Prestige Golfshire Resort &amp; Spa</t>
  </si>
  <si>
    <t>CBH1091</t>
  </si>
  <si>
    <t>Bhagirathi Traders</t>
  </si>
  <si>
    <t xml:space="preserve"> Nitika negi</t>
  </si>
  <si>
    <t>Haldwani</t>
  </si>
  <si>
    <t>Champion Zone Bajwalpur, Haldwani</t>
  </si>
  <si>
    <t>CTU0086</t>
  </si>
  <si>
    <t>Tulsi Electricals And Switchgears</t>
  </si>
  <si>
    <t>RAHUL BOTHRA
MITALI BOTHRA</t>
  </si>
  <si>
    <t>CBH1233</t>
  </si>
  <si>
    <t>BHUVNESH CABLE HOUSE</t>
  </si>
  <si>
    <t>Arnav</t>
  </si>
  <si>
    <t>Agra</t>
  </si>
  <si>
    <t>Tony and Guy</t>
  </si>
  <si>
    <t>1 PAX</t>
  </si>
  <si>
    <t>23rd Aug</t>
  </si>
  <si>
    <t>CKA0651</t>
  </si>
  <si>
    <t>Kanpur Electric Sales</t>
  </si>
  <si>
    <t xml:space="preserve">Vishal Mehrotra 
Pallavi Mehrotra </t>
  </si>
  <si>
    <t>Mammography</t>
  </si>
  <si>
    <t>Blood test time is pending from client</t>
  </si>
  <si>
    <t>CBH0881</t>
  </si>
  <si>
    <t>Bhanu Agencies</t>
  </si>
  <si>
    <t>Saptasree Ghosh</t>
  </si>
  <si>
    <t>Agartala</t>
  </si>
  <si>
    <t>Hotel Polo Tower</t>
  </si>
  <si>
    <t>CHP0031</t>
  </si>
  <si>
    <t>H. P. Electrical</t>
  </si>
  <si>
    <t>Jiban Krishna Saha</t>
  </si>
  <si>
    <t>5 Pax &amp; 1 Kid(9 Year)</t>
  </si>
  <si>
    <t>CMA1296</t>
  </si>
  <si>
    <t>Maa Samaleswari Enterprises</t>
  </si>
  <si>
    <t>ANAND Agrawal</t>
  </si>
  <si>
    <t>Raipur</t>
  </si>
  <si>
    <t>Balco Hospital (Sital Agrawal - 40 yrs F)</t>
  </si>
  <si>
    <t>CPO0519</t>
  </si>
  <si>
    <t>Powertech Electricals</t>
  </si>
  <si>
    <t xml:space="preserve">Mdudith </t>
  </si>
  <si>
    <t>Hyderabad Marriott Hotel &amp; Convention Centre</t>
  </si>
  <si>
    <t>CFU0110</t>
  </si>
  <si>
    <t>Future Energy</t>
  </si>
  <si>
    <t>Ayush Mishra</t>
  </si>
  <si>
    <t>Kiyora Thai Spa Kanpur</t>
  </si>
  <si>
    <t>CKA1085</t>
  </si>
  <si>
    <t>Kamna Traders</t>
  </si>
  <si>
    <t>Utkarsh Gupta</t>
  </si>
  <si>
    <t>Noida</t>
  </si>
  <si>
    <t>Tattva SPA</t>
  </si>
  <si>
    <t>CTR0349</t>
  </si>
  <si>
    <t>Trade Zone</t>
  </si>
  <si>
    <t>MUHAMMED NOUFAL P</t>
  </si>
  <si>
    <t>Grin table</t>
  </si>
  <si>
    <t>5 Adults +3 Kids</t>
  </si>
  <si>
    <t>CKU0334</t>
  </si>
  <si>
    <t>KULBHUSHAN TRADE LINKS</t>
  </si>
  <si>
    <t>Achal Malhotra</t>
  </si>
  <si>
    <t>Mandi</t>
  </si>
  <si>
    <t>Avenue Salon &amp; Academy</t>
  </si>
  <si>
    <t>CBH1250</t>
  </si>
  <si>
    <t>BHAGWATI ELECTRICALS</t>
  </si>
  <si>
    <t>Kunal Sahu</t>
  </si>
  <si>
    <t>Rajasthan</t>
  </si>
  <si>
    <t>The Seasons Restaurant</t>
  </si>
  <si>
    <t>CLI0159</t>
  </si>
  <si>
    <t>Li-Tech Electric Trading Company</t>
  </si>
  <si>
    <t xml:space="preserve">Karthikeyan. K </t>
  </si>
  <si>
    <t>Tiruppur</t>
  </si>
  <si>
    <t>The Grove</t>
  </si>
  <si>
    <t>4 Adults &amp; 4 Kids</t>
  </si>
  <si>
    <t>CAM2713</t>
  </si>
  <si>
    <t>Ample Engineers</t>
  </si>
  <si>
    <t>Hiteshkumar Gupta</t>
  </si>
  <si>
    <t>Adalaj</t>
  </si>
  <si>
    <t>SFW The GYM (kudasan)Gujarat 382419</t>
  </si>
  <si>
    <t>CSU0876</t>
  </si>
  <si>
    <t>Super Electricals</t>
  </si>
  <si>
    <t>Nikunj Bhai</t>
  </si>
  <si>
    <t>Gladiator fitness &amp; gym - Adajan, Surat, Gujarat</t>
  </si>
  <si>
    <t>CSU0409</t>
  </si>
  <si>
    <t>Subhadra Electricals</t>
  </si>
  <si>
    <t>Amardeep Sahoo</t>
  </si>
  <si>
    <t>Pramod Convention &amp; Club Resort</t>
  </si>
  <si>
    <t>2 Adults &amp; 1 Kid(8 Year)</t>
  </si>
  <si>
    <t>CMI0211</t>
  </si>
  <si>
    <t>M/S Mir Mart</t>
  </si>
  <si>
    <t>Shabir Mir</t>
  </si>
  <si>
    <t>Pulwama</t>
  </si>
  <si>
    <t>Taj Dal View, Srinagar</t>
  </si>
  <si>
    <t>CKT0010</t>
  </si>
  <si>
    <t>M/S  K2 Home Solutions</t>
  </si>
  <si>
    <t>Ishfaq Nengroo</t>
  </si>
  <si>
    <t>Srinagar</t>
  </si>
  <si>
    <t xml:space="preserve">The LaLiT Grand Palace, Srinagar						</t>
  </si>
  <si>
    <t>CAM2759</t>
  </si>
  <si>
    <t>AMG Energy</t>
  </si>
  <si>
    <t>Ajay Mahajan</t>
  </si>
  <si>
    <t>BILASPUR-HP</t>
  </si>
  <si>
    <t>MOUNTFIT GYM</t>
  </si>
  <si>
    <t>Ala - carte</t>
  </si>
  <si>
    <t>CFR0038</t>
  </si>
  <si>
    <t>M/s Frontier Communications</t>
  </si>
  <si>
    <t>Basil wani</t>
  </si>
  <si>
    <t>CHU0076</t>
  </si>
  <si>
    <t>M/s Hurra Traders</t>
  </si>
  <si>
    <t>bilal Hurra</t>
  </si>
  <si>
    <t xml:space="preserve">The LaLiT Grand Palace Srinagar						</t>
  </si>
  <si>
    <t>CMI0242</t>
  </si>
  <si>
    <t>M/s Mir Trading Co</t>
  </si>
  <si>
    <t>Ali Mohammad mir</t>
  </si>
  <si>
    <t>Kupwara</t>
  </si>
  <si>
    <t>Vintage House</t>
  </si>
  <si>
    <t>CMA2759</t>
  </si>
  <si>
    <t>Mahalaxmi Sanitary &amp; Tiles</t>
  </si>
  <si>
    <t>Anil Gupta</t>
  </si>
  <si>
    <t>SANGANER-RJ</t>
  </si>
  <si>
    <t xml:space="preserve">Looks Salon Malviya Nagar, Jaipur, Rajasthan </t>
  </si>
  <si>
    <t>CMR0024</t>
  </si>
  <si>
    <t>M R ELECTRONICS</t>
  </si>
  <si>
    <t>Anil Kaushal</t>
  </si>
  <si>
    <t>Una Dist.</t>
  </si>
  <si>
    <t>Shukrana Resort &amp; Spa</t>
  </si>
  <si>
    <t>4 Adults + 1 Kids</t>
  </si>
  <si>
    <t>Ala-carte</t>
  </si>
  <si>
    <t>CNV0005</t>
  </si>
  <si>
    <t>NVN</t>
  </si>
  <si>
    <t xml:space="preserve">Naveen Chander </t>
  </si>
  <si>
    <t>BHORANJ-HP</t>
  </si>
  <si>
    <t>CM Royal Palace</t>
  </si>
  <si>
    <t>CAM0384</t>
  </si>
  <si>
    <t>AMIT SALES</t>
  </si>
  <si>
    <t>MANISH KUMAR</t>
  </si>
  <si>
    <t>Gorakhpur</t>
  </si>
  <si>
    <t>Courtyard by Marriott Gorakhpur</t>
  </si>
  <si>
    <t>3 Adults + 1 Kid</t>
  </si>
  <si>
    <t>CBR0197</t>
  </si>
  <si>
    <t>BRIGHT HOME</t>
  </si>
  <si>
    <t>Abdul R</t>
  </si>
  <si>
    <t>chennai</t>
  </si>
  <si>
    <t>Le royal meridien</t>
  </si>
  <si>
    <t>CAN0275</t>
  </si>
  <si>
    <t>ANAND TRADING CORPORATION</t>
  </si>
  <si>
    <t>Rishabh Anand</t>
  </si>
  <si>
    <t>GORAKHPUR-UP</t>
  </si>
  <si>
    <t>Radisson Gorakhpur(The Great Kebab Factory)</t>
  </si>
  <si>
    <t>5 Adults &amp; 1 Kids (4 Year)</t>
  </si>
  <si>
    <t>CVI1295</t>
  </si>
  <si>
    <t>VIRAJ SALES</t>
  </si>
  <si>
    <t>CMA2823</t>
  </si>
  <si>
    <t>Maheshwari Ventures</t>
  </si>
  <si>
    <t>Shailesh Maheshwari</t>
  </si>
  <si>
    <t>Courtyard Agra</t>
  </si>
  <si>
    <t>CJA1572</t>
  </si>
  <si>
    <t>JAGANNATH ELECTRICALS</t>
  </si>
  <si>
    <t>Jitendra Sahoo</t>
  </si>
  <si>
    <t>Bhubaneswar</t>
  </si>
  <si>
    <t>Trident Bhubneshwar</t>
  </si>
  <si>
    <t>CWO0010</t>
  </si>
  <si>
    <t>Woodmans Associates</t>
  </si>
  <si>
    <t xml:space="preserve">Vivika Thomas </t>
  </si>
  <si>
    <t xml:space="preserve">Merlis </t>
  </si>
  <si>
    <t>CTR0427</t>
  </si>
  <si>
    <t>Trpahal Power India Private Limited</t>
  </si>
  <si>
    <t>Tapender Kumar</t>
  </si>
  <si>
    <t>Gurgaon</t>
  </si>
  <si>
    <t>Novotel Food Exchange</t>
  </si>
  <si>
    <t>CKR0035 </t>
  </si>
  <si>
    <t>Krishna Electrical Agencies </t>
  </si>
  <si>
    <t xml:space="preserve">Srinivas </t>
  </si>
  <si>
    <t>Manipal</t>
  </si>
  <si>
    <t>Fitness Zone Manipal</t>
  </si>
  <si>
    <t>CVK0070</t>
  </si>
  <si>
    <t>Vk Sales</t>
  </si>
  <si>
    <t>karan Agarwal</t>
  </si>
  <si>
    <t xml:space="preserve"> Bareilly</t>
  </si>
  <si>
    <t>Geetanjali Salon  110 B, Civil Lines, Bareilly</t>
  </si>
  <si>
    <t>CNA0450</t>
  </si>
  <si>
    <t>Nakoda Electricals And General Supp</t>
  </si>
  <si>
    <t>Sanjay Jain</t>
  </si>
  <si>
    <t>Yoga</t>
  </si>
  <si>
    <t>Barmer</t>
  </si>
  <si>
    <t>Shiv Yogshala</t>
  </si>
  <si>
    <t>CAG0158</t>
  </si>
  <si>
    <t>Agartala Marketing</t>
  </si>
  <si>
    <t>Kamal Paul</t>
  </si>
  <si>
    <t>Hyatt Regency, Kolkata</t>
  </si>
  <si>
    <t>4 Pax &amp; 1 Kid (8 Year)</t>
  </si>
  <si>
    <t>CSI0640</t>
  </si>
  <si>
    <t>Sindhu Traders</t>
  </si>
  <si>
    <t>Biswajit Khound</t>
  </si>
  <si>
    <t>Guwahati</t>
  </si>
  <si>
    <t>Taj Vivanta</t>
  </si>
  <si>
    <t>CBH0103</t>
  </si>
  <si>
    <t>Bharati Enterprises</t>
  </si>
  <si>
    <t>PRASHANT GARG</t>
  </si>
  <si>
    <t>SILIGURI</t>
  </si>
  <si>
    <t>Courtyard by Mariott</t>
  </si>
  <si>
    <t>4 Adults &amp; 1 Kid(7 Year)</t>
  </si>
  <si>
    <t>CDU0087</t>
  </si>
  <si>
    <t>Dutta Enterprises</t>
  </si>
  <si>
    <t>DEBABRATA DUTTA</t>
  </si>
  <si>
    <t>Courtyard by Mariott Siliguri</t>
  </si>
  <si>
    <t>2 Adults &amp; 1 Kid (11 year)</t>
  </si>
  <si>
    <t>CME0970</t>
  </si>
  <si>
    <t>Medha Enterprises</t>
  </si>
  <si>
    <t>Medha Sunderka</t>
  </si>
  <si>
    <t>SITAMARHI-BR</t>
  </si>
  <si>
    <t>Haldiram Restaurant</t>
  </si>
  <si>
    <t>CSA1067</t>
  </si>
  <si>
    <t>Sancheti Electrical</t>
  </si>
  <si>
    <t>Dhanraj Sancheti</t>
  </si>
  <si>
    <t>PURNIA-BR</t>
  </si>
  <si>
    <t>Mayfair Purnea</t>
  </si>
  <si>
    <t>CSH1602</t>
  </si>
  <si>
    <t>Shree Communication</t>
  </si>
  <si>
    <t>Harshita Agiwal</t>
  </si>
  <si>
    <t>Jamshedpur</t>
  </si>
  <si>
    <t>Radisson Jamshedpur</t>
  </si>
  <si>
    <t>2 Pax &amp; 1 Kids(9 Year)</t>
  </si>
  <si>
    <t>CAR0807</t>
  </si>
  <si>
    <t>Arora Enterprises</t>
  </si>
  <si>
    <t>Vikas Arora</t>
  </si>
  <si>
    <t>Ranchi</t>
  </si>
  <si>
    <t>Coutyard Ranchi</t>
  </si>
  <si>
    <t>CAR0005</t>
  </si>
  <si>
    <t>Arjun Lal Banwari Lal and Co Pvt.Ltd</t>
  </si>
  <si>
    <t>Harsh Mohanka</t>
  </si>
  <si>
    <t>Vivanta Jamshepdur, Golmuri</t>
  </si>
  <si>
    <t>CSC0033</t>
  </si>
  <si>
    <t>SCM Distributors</t>
  </si>
  <si>
    <t>Manvi Marwah</t>
  </si>
  <si>
    <t>Ramgarh</t>
  </si>
  <si>
    <t>Hotel Mariott Ranchi</t>
  </si>
  <si>
    <t>2 Pax &amp; 2 kids( 9 &amp; 16)</t>
  </si>
  <si>
    <t>CAA0094</t>
  </si>
  <si>
    <t>Aastha Distributor</t>
  </si>
  <si>
    <t>Gajendra Kumar</t>
  </si>
  <si>
    <t>Mayfair Lagoon Bhubneshwar</t>
  </si>
  <si>
    <t>CMO0616</t>
  </si>
  <si>
    <t>MOHAN MOBILES</t>
  </si>
  <si>
    <t>MOHANRAJA R</t>
  </si>
  <si>
    <t>Arni</t>
  </si>
  <si>
    <t>Alankar's Virundhu</t>
  </si>
  <si>
    <t>CSR5798</t>
  </si>
  <si>
    <t>Sri Sapthagiri Conveyors</t>
  </si>
  <si>
    <t xml:space="preserve">Swarnambika.V </t>
  </si>
  <si>
    <t>SALEM-TN</t>
  </si>
  <si>
    <t>Radisson Salem</t>
  </si>
  <si>
    <t>3 Adults &amp; 1 Kid -13 Year</t>
  </si>
  <si>
    <t>CLA1189</t>
  </si>
  <si>
    <t>Laxmi Traders</t>
  </si>
  <si>
    <t>SANJAY BHATTACHARJEE</t>
  </si>
  <si>
    <t>KOCH BIHAR-WB</t>
  </si>
  <si>
    <t xml:space="preserve">Gulmohar-Olive </t>
  </si>
  <si>
    <t>CCI0126</t>
  </si>
  <si>
    <t>M/s City To Town Traders</t>
  </si>
  <si>
    <t>Fayaz Shah</t>
  </si>
  <si>
    <t>CVI1458</t>
  </si>
  <si>
    <t>VIVAN ENTERPRISES</t>
  </si>
  <si>
    <t>Hemant Sharma</t>
  </si>
  <si>
    <t>BIKANER-RJ</t>
  </si>
  <si>
    <t>Urban Pata, Bikaner</t>
  </si>
  <si>
    <t>10 Pax</t>
  </si>
  <si>
    <t>CSH4474</t>
  </si>
  <si>
    <t>SHRADDHAPREM ENTERPRISES</t>
  </si>
  <si>
    <t>Pradeep Gupta</t>
  </si>
  <si>
    <t>Health Check_Up</t>
  </si>
  <si>
    <t>Health Check-Up( Dr. Lal Path Lab)</t>
  </si>
  <si>
    <t xml:space="preserve">Check up </t>
  </si>
  <si>
    <t>CSH3702</t>
  </si>
  <si>
    <t>SHEMESH ENERGY PRIVATE LTD</t>
  </si>
  <si>
    <t>Himanshu Rastogi</t>
  </si>
  <si>
    <t>LUCKNOW-UP</t>
  </si>
  <si>
    <t>Taj Mahal Lucknow</t>
  </si>
  <si>
    <t>CCA1182</t>
  </si>
  <si>
    <t>CARMEL AGENCY</t>
  </si>
  <si>
    <t>JERALD L</t>
  </si>
  <si>
    <t>Welcome By ITC Chennai</t>
  </si>
  <si>
    <t>CSH3324</t>
  </si>
  <si>
    <t>Shrilakshman Enterprises</t>
  </si>
  <si>
    <t xml:space="preserve">MUTHU RAMAN </t>
  </si>
  <si>
    <t>KARAIKUDI-TN</t>
  </si>
  <si>
    <t>Thappa Garden Resort</t>
  </si>
  <si>
    <t>CAW0008</t>
  </si>
  <si>
    <t>AWADH ELECTRICALS</t>
  </si>
  <si>
    <t>Devi Prasad Soni</t>
  </si>
  <si>
    <t>Faizabad</t>
  </si>
  <si>
    <t>Park Inn Ayoydhya</t>
  </si>
  <si>
    <t>CRA2246</t>
  </si>
  <si>
    <t>RAMA AUTO MOBILE</t>
  </si>
  <si>
    <t>Amit Goel</t>
  </si>
  <si>
    <t>Bareiilly</t>
  </si>
  <si>
    <t>Dr. Lal Path Labs</t>
  </si>
  <si>
    <t>COJ0016</t>
  </si>
  <si>
    <t>OJASYASHPRIYA INFRATECH</t>
  </si>
  <si>
    <t>Rupesh Ojha</t>
  </si>
  <si>
    <t>FAIZABAD-UP</t>
  </si>
  <si>
    <t>Park INN By Radisson Ayoydhya</t>
  </si>
  <si>
    <t>CRA1660</t>
  </si>
  <si>
    <t>Rajindra Electronics</t>
  </si>
  <si>
    <t>Tarun Chopra</t>
  </si>
  <si>
    <t>Delhi</t>
  </si>
  <si>
    <t>ITC Maurya - Pavellion</t>
  </si>
  <si>
    <t>2 adults + 2 kids (below 2 years)</t>
  </si>
  <si>
    <t>CAK0259</t>
  </si>
  <si>
    <t>Akshat Enterprises</t>
  </si>
  <si>
    <t>Priyank Jain</t>
  </si>
  <si>
    <t>Health check up</t>
  </si>
  <si>
    <t>Satana</t>
  </si>
  <si>
    <t>CRA2347</t>
  </si>
  <si>
    <t>RAGHURAM SOLAR POWER GREEN ENERGY L</t>
  </si>
  <si>
    <t>Geetaben Dangar</t>
  </si>
  <si>
    <t>KESHOD-GJ</t>
  </si>
  <si>
    <t>CLE0040</t>
  </si>
  <si>
    <t>Lesol Solar LLP</t>
  </si>
  <si>
    <t>Biju Ummer</t>
  </si>
  <si>
    <t xml:space="preserve">Kannur	</t>
  </si>
  <si>
    <t xml:space="preserve"> Aster mims Kannur</t>
  </si>
  <si>
    <t>CAL1255</t>
  </si>
  <si>
    <t>Alrick Solar Private Limited</t>
  </si>
  <si>
    <t>Mrinal Singh</t>
  </si>
  <si>
    <t xml:space="preserve"> Prayagraj</t>
  </si>
  <si>
    <t>Gold GYM</t>
  </si>
  <si>
    <t>CRK0525</t>
  </si>
  <si>
    <t>R. K.SONS</t>
  </si>
  <si>
    <t>YASH Rana</t>
  </si>
  <si>
    <t xml:space="preserve">Ahmedabad	</t>
  </si>
  <si>
    <t xml:space="preserve">Anytime Fitness </t>
  </si>
  <si>
    <t>CMU0461</t>
  </si>
  <si>
    <t>Murlidhar Electricals &amp;Plumbing Sho</t>
  </si>
  <si>
    <t>ASHOKBHAI CHAUDHARI</t>
  </si>
  <si>
    <t>LAKHANI BANASKHANTHA</t>
  </si>
  <si>
    <t xml:space="preserve">Monster FITNESS Gym </t>
  </si>
  <si>
    <t>CFR0106</t>
  </si>
  <si>
    <t>Friends Electricals</t>
  </si>
  <si>
    <t>Nitin Bora</t>
  </si>
  <si>
    <t>Hanuman Ansh - movie Ticket</t>
  </si>
  <si>
    <t>8 Pax</t>
  </si>
  <si>
    <t>Movie</t>
  </si>
  <si>
    <t>CFA0166</t>
  </si>
  <si>
    <t>FALAZ INDUSTRIES</t>
  </si>
  <si>
    <t>Anas Siddiqui</t>
  </si>
  <si>
    <t>Looks Saloon</t>
  </si>
  <si>
    <t>CAJ0104</t>
  </si>
  <si>
    <t>Ajay Tradecorporation Pvt. Ltd.</t>
  </si>
  <si>
    <t>Abhay Kumar Singhal</t>
  </si>
  <si>
    <t>Rishikesh</t>
  </si>
  <si>
    <t>Viraam Spa Aloha</t>
  </si>
  <si>
    <t>CNA0517</t>
  </si>
  <si>
    <t>National Agencies</t>
  </si>
  <si>
    <t>Rajat</t>
  </si>
  <si>
    <t>Holiday Inn Aerocity</t>
  </si>
  <si>
    <t xml:space="preserve">2 adults + 2 kids </t>
  </si>
  <si>
    <t>Paid</t>
  </si>
  <si>
    <t>CSH2010</t>
  </si>
  <si>
    <t>Shri Khatu Shyam Traders</t>
  </si>
  <si>
    <t>Rajesh Gupta</t>
  </si>
  <si>
    <t>Palwal</t>
  </si>
  <si>
    <t>X Game Gym, Agra Chowk, Palwal</t>
  </si>
  <si>
    <t>CSH3775</t>
  </si>
  <si>
    <t>Shaan Trading Co</t>
  </si>
  <si>
    <t>Md Alam</t>
  </si>
  <si>
    <t>KARANDIGHI-WB</t>
  </si>
  <si>
    <t>Arabian Knights Restaurant &amp; Cafe</t>
  </si>
  <si>
    <t>CMA2436</t>
  </si>
  <si>
    <t>Mariyam Distributors</t>
  </si>
  <si>
    <t>VINI WILSON</t>
  </si>
  <si>
    <t>Staycation</t>
  </si>
  <si>
    <t>KATTAPANA</t>
  </si>
  <si>
    <t>The Elephant Court Thekkady ( Staycation)</t>
  </si>
  <si>
    <t xml:space="preserve">2 Adult 3 kids </t>
  </si>
  <si>
    <t>CVA0646</t>
  </si>
  <si>
    <t>Vaibhav Enterprises</t>
  </si>
  <si>
    <t>Ashwani Kaushik</t>
  </si>
  <si>
    <t>Gaurgaon</t>
  </si>
  <si>
    <t>Leela Ambience</t>
  </si>
  <si>
    <t>2 adults + 1 kid (9 years)</t>
  </si>
  <si>
    <t>CJA1246</t>
  </si>
  <si>
    <t>Jains Galaxy</t>
  </si>
  <si>
    <t>Gagan Jain</t>
  </si>
  <si>
    <t>Paschim Medinipur</t>
  </si>
  <si>
    <t>ITC ROYAL BENGAL</t>
  </si>
  <si>
    <t>2 Adults &amp; 2 Kids</t>
  </si>
  <si>
    <t>CSR6445</t>
  </si>
  <si>
    <t>SRI RAJALAKSHMI TRADERS</t>
  </si>
  <si>
    <t xml:space="preserve">Rajlakshmi Rajagovinder </t>
  </si>
  <si>
    <t>Hosur</t>
  </si>
  <si>
    <t>JW Kitchen (Brunch)Bangalore</t>
  </si>
  <si>
    <t>2 Adults &amp; 1 Kid (10 Year)</t>
  </si>
  <si>
    <t>CNO0139</t>
  </si>
  <si>
    <t>Noble Infra Inc</t>
  </si>
  <si>
    <t>VIKESH Jain</t>
  </si>
  <si>
    <t>Spices and Flavours</t>
  </si>
  <si>
    <t>CJA1664</t>
  </si>
  <si>
    <t>JAGAT RAN &amp; SONS</t>
  </si>
  <si>
    <t>Veena Kumari</t>
  </si>
  <si>
    <t>CTR0415</t>
  </si>
  <si>
    <t>TRIVENI HOUSE</t>
  </si>
  <si>
    <t>GEETANJALI BAHADUR</t>
  </si>
  <si>
    <t>Lucknow</t>
  </si>
  <si>
    <t xml:space="preserve"> Taj Mahal Lucknow</t>
  </si>
  <si>
    <t>CSR6118</t>
  </si>
  <si>
    <t>SRI BALAJI ENTERPRIS</t>
  </si>
  <si>
    <t>SHAILENDRA Singh</t>
  </si>
  <si>
    <t>Lucnknow</t>
  </si>
  <si>
    <t>The Taj Lucknow</t>
  </si>
  <si>
    <t>3 Adults +1 Kid</t>
  </si>
  <si>
    <t>CJA0566</t>
  </si>
  <si>
    <t>Jain Sons</t>
  </si>
  <si>
    <t>Ashu Jain</t>
  </si>
  <si>
    <t>City Park</t>
  </si>
  <si>
    <t>2 adults</t>
  </si>
  <si>
    <t>CBE0253</t>
  </si>
  <si>
    <t>BENGAL ELECTRIC STORES</t>
  </si>
  <si>
    <t>SOURAV CHHAWCHHARIA</t>
  </si>
  <si>
    <t>JALPAIGURI</t>
  </si>
  <si>
    <t>Motorist Inn Motel</t>
  </si>
  <si>
    <t>CSR0704</t>
  </si>
  <si>
    <t>Sri Vigneshwara Electricals</t>
  </si>
  <si>
    <t xml:space="preserve">K.Karpagam </t>
  </si>
  <si>
    <t>O by Tamra( O Café)</t>
  </si>
  <si>
    <t>CNE0801</t>
  </si>
  <si>
    <t>NECESSA TECHNOLOGIES</t>
  </si>
  <si>
    <t>Suraj Singh</t>
  </si>
  <si>
    <t>Mariott Gorakhpur</t>
  </si>
  <si>
    <t>3 Adults &amp; 1 Kids</t>
  </si>
  <si>
    <t>CDO0156</t>
  </si>
  <si>
    <t>Doodi Buildcon</t>
  </si>
  <si>
    <t>Abhishek Choudhary</t>
  </si>
  <si>
    <t>JODHPUR-RJ</t>
  </si>
  <si>
    <t>Fitboxfitnessstudio paota</t>
  </si>
  <si>
    <t>CSO0449</t>
  </si>
  <si>
    <t>Sohomon Electronics</t>
  </si>
  <si>
    <t>Suman Rana</t>
  </si>
  <si>
    <t>Kids Online Classes</t>
  </si>
  <si>
    <t>KOLKATA</t>
  </si>
  <si>
    <t>Online Dance Class</t>
  </si>
  <si>
    <t>CSH3224</t>
  </si>
  <si>
    <t>Shiv Electronics &amp; Electricals</t>
  </si>
  <si>
    <t>Raghuveer Singh</t>
  </si>
  <si>
    <t>Dehradun</t>
  </si>
  <si>
    <t>Hyatt</t>
  </si>
  <si>
    <t>CPA0606</t>
  </si>
  <si>
    <t>Panazan Enterprises Private Limited</t>
  </si>
  <si>
    <t>George Josesph</t>
  </si>
  <si>
    <t>Taj Malabar</t>
  </si>
  <si>
    <t>CAK0233</t>
  </si>
  <si>
    <t>Akode Brothers</t>
  </si>
  <si>
    <t>Sachin Akode</t>
  </si>
  <si>
    <t>AMRAVATI</t>
  </si>
  <si>
    <t>The Grand Mehfil</t>
  </si>
  <si>
    <t>Dine Out</t>
  </si>
  <si>
    <t>CSU1629</t>
  </si>
  <si>
    <t>SUNIL ENTERPRISE</t>
  </si>
  <si>
    <t>KOMAL Jagwani</t>
  </si>
  <si>
    <t>3 adults + 1 child 11 years</t>
  </si>
  <si>
    <t>06th Sep</t>
  </si>
  <si>
    <t>CSA1223</t>
  </si>
  <si>
    <t>Sarthak Gallery</t>
  </si>
  <si>
    <t>Sarthak shah</t>
  </si>
  <si>
    <t>BARAMATI</t>
  </si>
  <si>
    <t>Jawed Habib Hair &amp; Beauty BARAMATI</t>
  </si>
  <si>
    <t>14th Aug</t>
  </si>
  <si>
    <t>Sallon</t>
  </si>
  <si>
    <t>CNA0552</t>
  </si>
  <si>
    <t>Navrang Electronics</t>
  </si>
  <si>
    <t>Neeraj Rathor</t>
  </si>
  <si>
    <t xml:space="preserve">Vidisha </t>
  </si>
  <si>
    <t>The RiverSide INN</t>
  </si>
  <si>
    <t>26th Aug</t>
  </si>
  <si>
    <t>Billing Amount</t>
  </si>
  <si>
    <t>STORY</t>
  </si>
  <si>
    <t>Budget</t>
  </si>
  <si>
    <t>P-M</t>
  </si>
  <si>
    <t>Approval Amount</t>
  </si>
  <si>
    <t>SEPL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</si>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</sst>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1F497D"/>
      <name val="Verdana"/>
      <family val="2"/>
    </font>
    <font>
      <b/>
      <sz val="11"/>
      <name val="Verdana"/>
      <family val="2"/>
    </font>
    <font>
      <b/>
      <sz val="11"/>
      <color theme="1"/>
      <name val="Verdana"/>
      <family val="2"/>
    </font>
    <font>
      <sz val="11"/>
      <color rgb="FF000000"/>
      <name val="Verdana"/>
      <family val="2"/>
    </font>
    <font>
      <sz val="11"/>
      <name val="Verdana"/>
      <family val="2"/>
    </font>
    <font>
      <sz val="11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8" borderId="8" applyNumberFormat="0" applyAlignment="0" applyProtection="0">
      <alignment horizontal="left" vertical="center" indent="1"/>
    </xf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 wrapText="1"/>
    </xf>
    <xf numFmtId="43" fontId="4" fillId="0" borderId="0" xfId="1" applyFont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</cellXfs>
  <cellStyles count="5">
    <cellStyle name="Comma" xfId="1" builtinId="3"/>
    <cellStyle name="Comma 2" xfId="4" xr:uid="{02B08B07-D391-4C9A-9D12-AB9BB7A678A4}"/>
    <cellStyle name="Comma 3" xfId="2" xr:uid="{F7E95FA5-E1EC-45E6-BC9D-0684ABF7E3C0}"/>
    <cellStyle name="Normal" xfId="0" builtinId="0"/>
    <cellStyle name="SAPMemberCell" xfId="3" xr:uid="{1D970B4E-023F-4DC1-B04E-0108D2045B4B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krant\AppData\Local\Microsoft\Windows\INetCache\Content.Outlook\UHANL4ZZ\Aug_26%20Additional%20cost%20Approval.xlsx" TargetMode="External"/><Relationship Id="rId1" Type="http://schemas.openxmlformats.org/officeDocument/2006/relationships/externalLinkPath" Target="file:///C:\Users\Vikrant\AppData\Local\Microsoft\Windows\INetCache\Content.Outlook\UHANL4ZZ\Aug_26%20Additional%20cost%20Approv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Dealer Code</v>
          </cell>
          <cell r="C1" t="str">
            <v>Firm Name</v>
          </cell>
          <cell r="D1" t="str">
            <v>Partner Name</v>
          </cell>
          <cell r="E1" t="str">
            <v>Experience</v>
          </cell>
          <cell r="F1" t="str">
            <v xml:space="preserve">City </v>
          </cell>
          <cell r="G1" t="str">
            <v xml:space="preserve">Preferred Restaurant Name </v>
          </cell>
          <cell r="H1" t="str">
            <v>Exp. Date</v>
          </cell>
          <cell r="I1" t="str">
            <v>Cost Approval Amount above 10K/ 22K</v>
          </cell>
        </row>
        <row r="2">
          <cell r="B2" t="str">
            <v>CSH1125</v>
          </cell>
          <cell r="C2" t="str">
            <v>Shivashakti Traders</v>
          </cell>
          <cell r="D2" t="str">
            <v>ASHISH WASVANI</v>
          </cell>
          <cell r="E2" t="str">
            <v>Concert</v>
          </cell>
          <cell r="F2" t="str">
            <v>Mumbai</v>
          </cell>
          <cell r="G2" t="str">
            <v>harsh o ullas harsh gujral</v>
          </cell>
          <cell r="H2">
            <v>46250</v>
          </cell>
          <cell r="I2">
            <v>2986</v>
          </cell>
        </row>
        <row r="3">
          <cell r="B3" t="str">
            <v>CMA1684</v>
          </cell>
          <cell r="C3" t="str">
            <v>Mahesh Electrical Agencies</v>
          </cell>
          <cell r="D3" t="str">
            <v xml:space="preserve">Devi </v>
          </cell>
          <cell r="E3" t="str">
            <v>Dine-Out</v>
          </cell>
          <cell r="F3" t="str">
            <v>Bhopal</v>
          </cell>
          <cell r="G3" t="str">
            <v>Taj Lakefort Bhopal</v>
          </cell>
          <cell r="H3">
            <v>46257</v>
          </cell>
          <cell r="I3">
            <v>2361</v>
          </cell>
        </row>
        <row r="4">
          <cell r="B4" t="str">
            <v>CSA0109</v>
          </cell>
          <cell r="C4" t="str">
            <v>Sai Electricals</v>
          </cell>
          <cell r="D4" t="str">
            <v>Arvind Gupta</v>
          </cell>
          <cell r="E4" t="str">
            <v>Gym</v>
          </cell>
          <cell r="F4" t="str">
            <v>Datia</v>
          </cell>
          <cell r="G4" t="str">
            <v>DUBEY FITNESS</v>
          </cell>
          <cell r="H4">
            <v>46259</v>
          </cell>
          <cell r="I4">
            <v>2000</v>
          </cell>
        </row>
        <row r="5">
          <cell r="B5" t="str">
            <v>CSH4251</v>
          </cell>
          <cell r="C5" t="str">
            <v>Shiv Electric Experience Centre</v>
          </cell>
          <cell r="D5" t="str">
            <v>Anshu Kansal</v>
          </cell>
          <cell r="E5" t="str">
            <v>Dine-Out</v>
          </cell>
          <cell r="F5" t="str">
            <v>Gaziabad</v>
          </cell>
          <cell r="G5" t="str">
            <v>San Gimignano Restaurant</v>
          </cell>
          <cell r="H5">
            <v>46260</v>
          </cell>
          <cell r="I5">
            <v>2272</v>
          </cell>
        </row>
        <row r="6">
          <cell r="B6" t="str">
            <v>CKO0087</v>
          </cell>
          <cell r="C6" t="str">
            <v>Korde Electricals And Electronics P</v>
          </cell>
          <cell r="D6" t="str">
            <v>CHAITANYA KORDE</v>
          </cell>
          <cell r="E6" t="str">
            <v>Spa</v>
          </cell>
          <cell r="F6" t="str">
            <v>Goa</v>
          </cell>
          <cell r="G6" t="str">
            <v>ESPA – Alila Diwa Goa</v>
          </cell>
          <cell r="H6">
            <v>46264</v>
          </cell>
          <cell r="I6">
            <v>2387</v>
          </cell>
        </row>
        <row r="7">
          <cell r="B7" t="str">
            <v>CBT0008</v>
          </cell>
          <cell r="C7" t="str">
            <v>B-2 Electricals And Suppliers</v>
          </cell>
          <cell r="D7" t="str">
            <v>Rishit</v>
          </cell>
          <cell r="E7" t="str">
            <v>Dine-Out</v>
          </cell>
          <cell r="F7" t="str">
            <v>Bhopal</v>
          </cell>
          <cell r="G7" t="str">
            <v xml:space="preserve">Radisson Hotel
</v>
          </cell>
          <cell r="H7">
            <v>46263</v>
          </cell>
          <cell r="I7">
            <v>2744</v>
          </cell>
        </row>
        <row r="8">
          <cell r="B8" t="str">
            <v>CBH1233</v>
          </cell>
          <cell r="C8" t="str">
            <v>BHUVNESH CABLE HOUSE</v>
          </cell>
          <cell r="D8" t="str">
            <v>Arnav</v>
          </cell>
          <cell r="E8" t="str">
            <v>Salon</v>
          </cell>
          <cell r="F8" t="str">
            <v>Agra</v>
          </cell>
          <cell r="G8" t="str">
            <v>Tony and Guy</v>
          </cell>
          <cell r="H8">
            <v>46257</v>
          </cell>
          <cell r="I8">
            <v>1800</v>
          </cell>
        </row>
        <row r="9">
          <cell r="B9" t="str">
            <v>CBH0881</v>
          </cell>
          <cell r="C9" t="str">
            <v>Bhanu Agencies</v>
          </cell>
          <cell r="D9" t="str">
            <v>Saptasree Ghosh</v>
          </cell>
          <cell r="E9" t="str">
            <v>Dine-Out</v>
          </cell>
          <cell r="F9" t="str">
            <v>Agartala</v>
          </cell>
          <cell r="G9" t="str">
            <v>Hotel Polo Tower</v>
          </cell>
          <cell r="H9">
            <v>46264</v>
          </cell>
          <cell r="I9">
            <v>3172</v>
          </cell>
        </row>
        <row r="10">
          <cell r="B10" t="str">
            <v>CHP0031</v>
          </cell>
          <cell r="C10" t="str">
            <v>H. P. Electrical</v>
          </cell>
          <cell r="D10" t="str">
            <v>Jiban Krishna Saha</v>
          </cell>
          <cell r="E10" t="str">
            <v>Dine-Out</v>
          </cell>
          <cell r="F10" t="str">
            <v>Agartala</v>
          </cell>
          <cell r="G10" t="str">
            <v>Hotel Polo Tower</v>
          </cell>
          <cell r="H10">
            <v>46264</v>
          </cell>
          <cell r="I10">
            <v>3772</v>
          </cell>
        </row>
        <row r="11">
          <cell r="B11" t="str">
            <v>CHU0076</v>
          </cell>
          <cell r="C11" t="str">
            <v>M/s Hurra Traders</v>
          </cell>
          <cell r="D11" t="str">
            <v>bilal Hurra</v>
          </cell>
          <cell r="E11" t="str">
            <v>Dine-Out</v>
          </cell>
          <cell r="F11" t="str">
            <v>Srinagar</v>
          </cell>
          <cell r="G11" t="str">
            <v xml:space="preserve">The LaLiT Grand Palace Srinagar						</v>
          </cell>
          <cell r="H11">
            <v>46271</v>
          </cell>
          <cell r="I11">
            <v>2372</v>
          </cell>
        </row>
        <row r="12">
          <cell r="B12" t="str">
            <v>CAL1255</v>
          </cell>
          <cell r="C12" t="str">
            <v>Alrick Solar Private Limited</v>
          </cell>
          <cell r="D12" t="str">
            <v>Mrinal Singh</v>
          </cell>
          <cell r="E12" t="str">
            <v>Gym</v>
          </cell>
          <cell r="F12" t="str">
            <v xml:space="preserve"> Prayagraj</v>
          </cell>
          <cell r="G12" t="str">
            <v>Gold GYM</v>
          </cell>
          <cell r="H12">
            <v>46266</v>
          </cell>
          <cell r="I12">
            <v>2500</v>
          </cell>
        </row>
        <row r="13">
          <cell r="B13" t="str">
            <v>CRK0525</v>
          </cell>
          <cell r="C13" t="str">
            <v>R. K.SONS</v>
          </cell>
          <cell r="D13" t="str">
            <v>YASH Rana</v>
          </cell>
          <cell r="E13" t="str">
            <v>Gym</v>
          </cell>
          <cell r="F13" t="str">
            <v xml:space="preserve">Ahmedabad	</v>
          </cell>
          <cell r="G13" t="str">
            <v xml:space="preserve">Anytime Fitness </v>
          </cell>
          <cell r="H13">
            <v>46266</v>
          </cell>
          <cell r="I13">
            <v>4000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82F0100-72B0-4315-8A2C-E5B9C316A682}">
  <we:reference id="wa200008745" version="1.0.0.0" store="en-US" storeType="OMEX"/>
  <we:alternateReferences>
    <we:reference id="WA200008745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6B67CEC2-A9A7-4349-86CA-5767572128D5}">
  <we:reference id="WA200001584" version="3.0.5.6" store="Omex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14CE-9C63-426C-AAA4-2F8EF234A2BB}">
  <sheetPr>
    <tabColor theme="8" tint="0.39997558519241921"/>
  </sheetPr>
  <dimension ref="A1:AD183"/>
  <sheetViews>
    <sheetView tabSelected="1" topLeftCell="B1" zoomScale="70" zoomScaleNormal="70" workbookViewId="0">
      <pane ySplit="1" topLeftCell="A139" activePane="bottomLeft" state="frozen"/>
      <selection pane="bottomLeft" activeCell="M1" sqref="M1:O179"/>
    </sheetView>
  </sheetViews>
  <sheetFormatPr defaultColWidth="9.140625" defaultRowHeight="15" customHeight="1" x14ac:dyDescent="0.25"/>
  <cols>
    <col min="1" max="1" width="24.28515625" style="16" customWidth="1"/>
    <col min="2" max="2" width="20.5703125" style="16" customWidth="1"/>
    <col min="3" max="3" width="35.7109375" style="16" bestFit="1" customWidth="1"/>
    <col min="4" max="4" width="36.5703125" style="16" customWidth="1"/>
    <col min="5" max="5" width="23.42578125" style="16" customWidth="1"/>
    <col min="6" max="6" width="21.7109375" style="16" customWidth="1"/>
    <col min="7" max="7" width="47.42578125" style="16" customWidth="1"/>
    <col min="8" max="8" width="26.85546875" style="16" customWidth="1"/>
    <col min="9" max="9" width="22" style="16" customWidth="1"/>
    <col min="10" max="10" width="23.28515625" style="16" customWidth="1"/>
    <col min="11" max="11" width="16.85546875" style="16" customWidth="1"/>
    <col min="12" max="12" width="17.85546875" style="16" customWidth="1"/>
    <col min="13" max="13" width="18.28515625" style="16" customWidth="1"/>
    <col min="14" max="18" width="17.85546875" style="16" customWidth="1"/>
    <col min="19" max="19" width="18.7109375" style="16" customWidth="1"/>
    <col min="20" max="20" width="17.42578125" style="31" customWidth="1"/>
    <col min="21" max="21" width="17" style="16" customWidth="1"/>
    <col min="22" max="22" width="22.28515625" style="16" customWidth="1"/>
    <col min="23" max="23" width="12.42578125" style="16" customWidth="1"/>
    <col min="24" max="24" width="17" style="16" customWidth="1"/>
    <col min="25" max="25" width="28.5703125" style="16" bestFit="1" customWidth="1"/>
    <col min="26" max="26" width="14.5703125" style="16" bestFit="1" customWidth="1"/>
    <col min="27" max="27" width="17.140625" style="16" bestFit="1" customWidth="1"/>
    <col min="28" max="53" width="9.140625" style="16" bestFit="1" customWidth="1"/>
    <col min="54" max="54" width="10.28515625" style="16" customWidth="1"/>
    <col min="55" max="56" width="9.140625" style="16" bestFit="1" customWidth="1"/>
    <col min="57" max="16384" width="9.140625" style="16"/>
  </cols>
  <sheetData>
    <row r="1" spans="1:27" s="8" customFormat="1" ht="57" x14ac:dyDescent="0.25">
      <c r="A1" s="1"/>
      <c r="B1" s="2" t="s">
        <v>0</v>
      </c>
      <c r="C1" s="2" t="s">
        <v>1</v>
      </c>
      <c r="D1" s="2" t="s">
        <v>2</v>
      </c>
      <c r="E1" s="3" t="s">
        <v>3</v>
      </c>
      <c r="F1" s="1" t="s">
        <v>4</v>
      </c>
      <c r="G1" s="2" t="s">
        <v>5</v>
      </c>
      <c r="H1" s="2" t="s">
        <v>6</v>
      </c>
      <c r="I1" s="3" t="s">
        <v>7</v>
      </c>
      <c r="J1" s="1" t="s">
        <v>8</v>
      </c>
      <c r="K1" s="1" t="s">
        <v>9</v>
      </c>
      <c r="L1" s="4" t="s">
        <v>10</v>
      </c>
      <c r="M1" s="5" t="s">
        <v>11</v>
      </c>
      <c r="N1" s="5" t="s">
        <v>964</v>
      </c>
      <c r="O1" s="5" t="s">
        <v>965</v>
      </c>
      <c r="P1" s="4" t="s">
        <v>966</v>
      </c>
      <c r="Q1" s="4" t="s">
        <v>967</v>
      </c>
      <c r="R1" s="4" t="s">
        <v>968</v>
      </c>
      <c r="S1" s="5" t="s">
        <v>12</v>
      </c>
      <c r="T1" s="6" t="s">
        <v>13</v>
      </c>
      <c r="U1" s="5" t="s">
        <v>14</v>
      </c>
      <c r="V1" s="5" t="s">
        <v>15</v>
      </c>
      <c r="W1" s="2" t="s">
        <v>16</v>
      </c>
      <c r="X1" s="2" t="s">
        <v>17</v>
      </c>
      <c r="Y1" s="2" t="s">
        <v>18</v>
      </c>
      <c r="Z1" s="4" t="s">
        <v>19</v>
      </c>
      <c r="AA1" s="7" t="s">
        <v>20</v>
      </c>
    </row>
    <row r="2" spans="1:27" ht="14.25" x14ac:dyDescent="0.25">
      <c r="A2" s="9" t="s">
        <v>21</v>
      </c>
      <c r="B2" s="10" t="s">
        <v>22</v>
      </c>
      <c r="C2" s="10" t="s">
        <v>23</v>
      </c>
      <c r="D2" s="10" t="s">
        <v>24</v>
      </c>
      <c r="E2" s="11" t="s">
        <v>25</v>
      </c>
      <c r="F2" s="11" t="s">
        <v>26</v>
      </c>
      <c r="G2" s="11" t="s">
        <v>27</v>
      </c>
      <c r="H2" s="12" t="s">
        <v>28</v>
      </c>
      <c r="I2" s="11" t="s">
        <v>29</v>
      </c>
      <c r="J2" s="12" t="s">
        <v>30</v>
      </c>
      <c r="K2" s="12" t="s">
        <v>30</v>
      </c>
      <c r="L2" s="13"/>
      <c r="M2" s="13">
        <v>3585</v>
      </c>
      <c r="N2" s="13">
        <v>9500</v>
      </c>
      <c r="O2" s="13">
        <f>N2-M2</f>
        <v>5915</v>
      </c>
      <c r="P2" s="13">
        <v>10000</v>
      </c>
      <c r="Q2" s="13">
        <f>P2-M2</f>
        <v>6415</v>
      </c>
      <c r="R2" s="13">
        <v>0</v>
      </c>
      <c r="S2" s="11" t="s">
        <v>969</v>
      </c>
      <c r="T2" s="14">
        <v>46243</v>
      </c>
      <c r="U2" s="11" t="s">
        <v>970</v>
      </c>
      <c r="V2" s="12"/>
      <c r="W2" s="13"/>
      <c r="X2" s="11"/>
      <c r="Y2" s="11"/>
      <c r="Z2" s="11" t="s">
        <v>847</v>
      </c>
      <c r="AA2" s="15"/>
    </row>
    <row r="3" spans="1:27" ht="14.25" x14ac:dyDescent="0.25">
      <c r="A3" s="9" t="s">
        <v>21</v>
      </c>
      <c r="B3" s="10" t="s">
        <v>31</v>
      </c>
      <c r="C3" s="10" t="s">
        <v>32</v>
      </c>
      <c r="D3" s="10" t="s">
        <v>33</v>
      </c>
      <c r="E3" s="11" t="s">
        <v>34</v>
      </c>
      <c r="F3" s="11" t="s">
        <v>35</v>
      </c>
      <c r="G3" s="11" t="s">
        <v>36</v>
      </c>
      <c r="H3" s="12" t="s">
        <v>37</v>
      </c>
      <c r="I3" s="11" t="s">
        <v>34</v>
      </c>
      <c r="J3" s="12" t="s">
        <v>30</v>
      </c>
      <c r="K3" s="12" t="s">
        <v>30</v>
      </c>
      <c r="L3" s="13"/>
      <c r="M3" s="13">
        <v>10000</v>
      </c>
      <c r="N3" s="13">
        <v>10000</v>
      </c>
      <c r="O3" s="13">
        <f t="shared" ref="O3:O65" si="0">N3-M3</f>
        <v>0</v>
      </c>
      <c r="P3" s="13">
        <v>10000</v>
      </c>
      <c r="Q3" s="13">
        <f t="shared" ref="Q3:Q66" si="1">P3-M3</f>
        <v>0</v>
      </c>
      <c r="R3" s="13">
        <v>0</v>
      </c>
      <c r="S3" s="11" t="s">
        <v>969</v>
      </c>
      <c r="T3" s="14">
        <v>46245</v>
      </c>
      <c r="U3" s="11" t="s">
        <v>970</v>
      </c>
      <c r="V3" s="12"/>
      <c r="W3" s="13"/>
      <c r="X3" s="11"/>
      <c r="Y3" s="11"/>
      <c r="Z3" s="11" t="s">
        <v>847</v>
      </c>
      <c r="AA3" s="15"/>
    </row>
    <row r="4" spans="1:27" ht="14.25" x14ac:dyDescent="0.25">
      <c r="A4" s="9" t="s">
        <v>21</v>
      </c>
      <c r="B4" s="10" t="s">
        <v>38</v>
      </c>
      <c r="C4" s="10" t="s">
        <v>39</v>
      </c>
      <c r="D4" s="10" t="s">
        <v>40</v>
      </c>
      <c r="E4" s="11" t="s">
        <v>41</v>
      </c>
      <c r="F4" s="11" t="s">
        <v>42</v>
      </c>
      <c r="G4" s="11" t="s">
        <v>43</v>
      </c>
      <c r="H4" s="12" t="s">
        <v>44</v>
      </c>
      <c r="I4" s="11" t="s">
        <v>45</v>
      </c>
      <c r="J4" s="12" t="s">
        <v>46</v>
      </c>
      <c r="K4" s="12" t="s">
        <v>46</v>
      </c>
      <c r="L4" s="13"/>
      <c r="M4" s="13">
        <v>9164.58</v>
      </c>
      <c r="N4" s="13">
        <v>9500</v>
      </c>
      <c r="O4" s="13">
        <f t="shared" si="0"/>
        <v>335.42000000000007</v>
      </c>
      <c r="P4" s="13">
        <v>10000</v>
      </c>
      <c r="Q4" s="13">
        <f t="shared" si="1"/>
        <v>835.42000000000007</v>
      </c>
      <c r="R4" s="13">
        <v>0</v>
      </c>
      <c r="S4" s="11" t="s">
        <v>969</v>
      </c>
      <c r="T4" s="14">
        <v>46247</v>
      </c>
      <c r="U4" s="11" t="s">
        <v>970</v>
      </c>
      <c r="V4" s="12"/>
      <c r="W4" s="13"/>
      <c r="X4" s="11"/>
      <c r="Y4" s="11"/>
      <c r="Z4" s="11" t="s">
        <v>847</v>
      </c>
      <c r="AA4" s="15"/>
    </row>
    <row r="5" spans="1:27" ht="28.5" x14ac:dyDescent="0.25">
      <c r="A5" s="9" t="s">
        <v>21</v>
      </c>
      <c r="B5" s="10" t="s">
        <v>47</v>
      </c>
      <c r="C5" s="10" t="s">
        <v>48</v>
      </c>
      <c r="D5" s="10" t="s">
        <v>49</v>
      </c>
      <c r="E5" s="11" t="s">
        <v>34</v>
      </c>
      <c r="F5" s="11" t="s">
        <v>50</v>
      </c>
      <c r="G5" s="11" t="s">
        <v>51</v>
      </c>
      <c r="H5" s="12" t="s">
        <v>37</v>
      </c>
      <c r="I5" s="11" t="s">
        <v>34</v>
      </c>
      <c r="J5" s="12" t="s">
        <v>46</v>
      </c>
      <c r="K5" s="12" t="s">
        <v>52</v>
      </c>
      <c r="L5" s="13"/>
      <c r="M5" s="13">
        <v>10000</v>
      </c>
      <c r="N5" s="13">
        <v>10000</v>
      </c>
      <c r="O5" s="13">
        <f t="shared" si="0"/>
        <v>0</v>
      </c>
      <c r="P5" s="13">
        <v>10000</v>
      </c>
      <c r="Q5" s="13">
        <f t="shared" si="1"/>
        <v>0</v>
      </c>
      <c r="R5" s="13">
        <v>0</v>
      </c>
      <c r="S5" s="11" t="s">
        <v>969</v>
      </c>
      <c r="T5" s="14">
        <v>46245</v>
      </c>
      <c r="U5" s="11" t="s">
        <v>970</v>
      </c>
      <c r="V5" s="12"/>
      <c r="W5" s="13"/>
      <c r="X5" s="11"/>
      <c r="Y5" s="11"/>
      <c r="Z5" s="11" t="s">
        <v>847</v>
      </c>
      <c r="AA5" s="15"/>
    </row>
    <row r="6" spans="1:27" ht="16.899999999999999" customHeight="1" x14ac:dyDescent="0.25">
      <c r="A6" s="9" t="s">
        <v>21</v>
      </c>
      <c r="B6" s="10" t="s">
        <v>53</v>
      </c>
      <c r="C6" s="10" t="s">
        <v>54</v>
      </c>
      <c r="D6" s="10" t="s">
        <v>55</v>
      </c>
      <c r="E6" s="11" t="s">
        <v>56</v>
      </c>
      <c r="F6" s="11" t="s">
        <v>57</v>
      </c>
      <c r="G6" s="11" t="s">
        <v>58</v>
      </c>
      <c r="H6" s="12" t="s">
        <v>37</v>
      </c>
      <c r="I6" s="11" t="s">
        <v>56</v>
      </c>
      <c r="J6" s="12" t="s">
        <v>59</v>
      </c>
      <c r="K6" s="12" t="s">
        <v>52</v>
      </c>
      <c r="L6" s="13"/>
      <c r="M6" s="13">
        <v>11000</v>
      </c>
      <c r="N6" s="13">
        <v>10000</v>
      </c>
      <c r="O6" s="13">
        <f t="shared" si="0"/>
        <v>-1000</v>
      </c>
      <c r="P6" s="13">
        <v>10000</v>
      </c>
      <c r="Q6" s="13">
        <f t="shared" si="1"/>
        <v>-1000</v>
      </c>
      <c r="R6" s="13">
        <v>0</v>
      </c>
      <c r="S6" s="11" t="s">
        <v>969</v>
      </c>
      <c r="T6" s="14">
        <v>46245</v>
      </c>
      <c r="U6" s="11" t="s">
        <v>970</v>
      </c>
      <c r="V6" s="12"/>
      <c r="W6" s="13"/>
      <c r="X6" s="11"/>
      <c r="Y6" s="11"/>
      <c r="Z6" s="11" t="s">
        <v>847</v>
      </c>
      <c r="AA6" s="15"/>
    </row>
    <row r="7" spans="1:27" ht="14.25" x14ac:dyDescent="0.25">
      <c r="A7" s="9" t="s">
        <v>21</v>
      </c>
      <c r="B7" s="10" t="s">
        <v>60</v>
      </c>
      <c r="C7" s="10" t="s">
        <v>61</v>
      </c>
      <c r="D7" s="10" t="s">
        <v>62</v>
      </c>
      <c r="E7" s="11" t="s">
        <v>56</v>
      </c>
      <c r="F7" s="11" t="s">
        <v>63</v>
      </c>
      <c r="G7" s="11" t="s">
        <v>64</v>
      </c>
      <c r="H7" s="12" t="s">
        <v>37</v>
      </c>
      <c r="I7" s="11" t="s">
        <v>56</v>
      </c>
      <c r="J7" s="12" t="s">
        <v>46</v>
      </c>
      <c r="K7" s="12" t="s">
        <v>46</v>
      </c>
      <c r="L7" s="13"/>
      <c r="M7" s="13">
        <v>10000</v>
      </c>
      <c r="N7" s="13">
        <v>10000</v>
      </c>
      <c r="O7" s="13">
        <f t="shared" si="0"/>
        <v>0</v>
      </c>
      <c r="P7" s="13">
        <v>10000</v>
      </c>
      <c r="Q7" s="13">
        <f t="shared" si="1"/>
        <v>0</v>
      </c>
      <c r="R7" s="13">
        <v>0</v>
      </c>
      <c r="S7" s="11" t="s">
        <v>969</v>
      </c>
      <c r="T7" s="14">
        <v>46248</v>
      </c>
      <c r="U7" s="11" t="s">
        <v>970</v>
      </c>
      <c r="V7" s="12"/>
      <c r="W7" s="13"/>
      <c r="X7" s="11"/>
      <c r="Y7" s="11"/>
      <c r="Z7" s="11" t="s">
        <v>847</v>
      </c>
      <c r="AA7" s="15"/>
    </row>
    <row r="8" spans="1:27" ht="14.25" x14ac:dyDescent="0.25">
      <c r="A8" s="9" t="s">
        <v>21</v>
      </c>
      <c r="B8" s="10" t="s">
        <v>65</v>
      </c>
      <c r="C8" s="10" t="s">
        <v>66</v>
      </c>
      <c r="D8" s="10" t="s">
        <v>67</v>
      </c>
      <c r="E8" s="11" t="s">
        <v>25</v>
      </c>
      <c r="F8" s="11" t="s">
        <v>68</v>
      </c>
      <c r="G8" s="11" t="s">
        <v>69</v>
      </c>
      <c r="H8" s="12" t="s">
        <v>70</v>
      </c>
      <c r="I8" s="11" t="s">
        <v>45</v>
      </c>
      <c r="J8" s="12" t="s">
        <v>59</v>
      </c>
      <c r="K8" s="12" t="s">
        <v>71</v>
      </c>
      <c r="L8" s="13"/>
      <c r="M8" s="13">
        <f>30+8956</f>
        <v>8986</v>
      </c>
      <c r="N8" s="13">
        <v>9500</v>
      </c>
      <c r="O8" s="13">
        <f t="shared" si="0"/>
        <v>514</v>
      </c>
      <c r="P8" s="13">
        <v>10000</v>
      </c>
      <c r="Q8" s="13">
        <f t="shared" si="1"/>
        <v>1014</v>
      </c>
      <c r="R8" s="13">
        <v>0</v>
      </c>
      <c r="S8" s="11" t="s">
        <v>969</v>
      </c>
      <c r="T8" s="14">
        <v>46247</v>
      </c>
      <c r="U8" s="11" t="s">
        <v>970</v>
      </c>
      <c r="V8" s="12"/>
      <c r="W8" s="13"/>
      <c r="X8" s="11"/>
      <c r="Y8" s="11"/>
      <c r="Z8" s="11" t="s">
        <v>847</v>
      </c>
      <c r="AA8" s="15"/>
    </row>
    <row r="9" spans="1:27" ht="14.25" x14ac:dyDescent="0.25">
      <c r="A9" s="9" t="s">
        <v>21</v>
      </c>
      <c r="B9" s="10" t="s">
        <v>72</v>
      </c>
      <c r="C9" s="10" t="s">
        <v>73</v>
      </c>
      <c r="D9" s="10" t="s">
        <v>74</v>
      </c>
      <c r="E9" s="11" t="s">
        <v>41</v>
      </c>
      <c r="F9" s="11" t="s">
        <v>75</v>
      </c>
      <c r="G9" s="11" t="s">
        <v>76</v>
      </c>
      <c r="H9" s="12" t="s">
        <v>77</v>
      </c>
      <c r="I9" s="11" t="s">
        <v>45</v>
      </c>
      <c r="J9" s="12" t="s">
        <v>46</v>
      </c>
      <c r="K9" s="12" t="s">
        <v>46</v>
      </c>
      <c r="L9" s="13"/>
      <c r="M9" s="13">
        <v>8548</v>
      </c>
      <c r="N9" s="13">
        <v>9548</v>
      </c>
      <c r="O9" s="13">
        <f t="shared" si="0"/>
        <v>1000</v>
      </c>
      <c r="P9" s="13">
        <v>10000</v>
      </c>
      <c r="Q9" s="13">
        <f t="shared" si="1"/>
        <v>1452</v>
      </c>
      <c r="R9" s="13">
        <v>0</v>
      </c>
      <c r="S9" s="11" t="s">
        <v>969</v>
      </c>
      <c r="T9" s="14">
        <v>46249</v>
      </c>
      <c r="U9" s="11" t="s">
        <v>970</v>
      </c>
      <c r="V9" s="12"/>
      <c r="W9" s="13"/>
      <c r="X9" s="11"/>
      <c r="Y9" s="11"/>
      <c r="Z9" s="11" t="s">
        <v>847</v>
      </c>
      <c r="AA9" s="15"/>
    </row>
    <row r="10" spans="1:27" ht="28.5" x14ac:dyDescent="0.25">
      <c r="A10" s="9" t="s">
        <v>21</v>
      </c>
      <c r="B10" s="10" t="s">
        <v>78</v>
      </c>
      <c r="C10" s="10" t="s">
        <v>79</v>
      </c>
      <c r="D10" s="10" t="s">
        <v>80</v>
      </c>
      <c r="E10" s="11" t="s">
        <v>41</v>
      </c>
      <c r="F10" s="11" t="s">
        <v>81</v>
      </c>
      <c r="G10" s="11" t="s">
        <v>82</v>
      </c>
      <c r="H10" s="12" t="s">
        <v>83</v>
      </c>
      <c r="I10" s="11" t="s">
        <v>45</v>
      </c>
      <c r="J10" s="12" t="s">
        <v>46</v>
      </c>
      <c r="K10" s="12" t="s">
        <v>46</v>
      </c>
      <c r="L10" s="13"/>
      <c r="M10" s="13">
        <v>4725</v>
      </c>
      <c r="N10" s="13">
        <v>7725</v>
      </c>
      <c r="O10" s="13">
        <f t="shared" si="0"/>
        <v>3000</v>
      </c>
      <c r="P10" s="13">
        <v>10000</v>
      </c>
      <c r="Q10" s="13">
        <f t="shared" si="1"/>
        <v>5275</v>
      </c>
      <c r="R10" s="13">
        <v>0</v>
      </c>
      <c r="S10" s="11" t="s">
        <v>969</v>
      </c>
      <c r="T10" s="14">
        <v>46250</v>
      </c>
      <c r="U10" s="11" t="s">
        <v>970</v>
      </c>
      <c r="V10" s="12"/>
      <c r="W10" s="13"/>
      <c r="X10" s="11"/>
      <c r="Y10" s="11"/>
      <c r="Z10" s="11" t="s">
        <v>847</v>
      </c>
      <c r="AA10" s="15"/>
    </row>
    <row r="11" spans="1:27" ht="28.5" x14ac:dyDescent="0.25">
      <c r="A11" s="9" t="s">
        <v>21</v>
      </c>
      <c r="B11" s="10" t="s">
        <v>84</v>
      </c>
      <c r="C11" s="10" t="s">
        <v>85</v>
      </c>
      <c r="D11" s="10" t="s">
        <v>86</v>
      </c>
      <c r="E11" s="11" t="s">
        <v>41</v>
      </c>
      <c r="F11" s="11" t="s">
        <v>87</v>
      </c>
      <c r="G11" s="11" t="s">
        <v>88</v>
      </c>
      <c r="H11" s="12" t="s">
        <v>89</v>
      </c>
      <c r="I11" s="11" t="s">
        <v>45</v>
      </c>
      <c r="J11" s="12" t="s">
        <v>46</v>
      </c>
      <c r="K11" s="12" t="s">
        <v>46</v>
      </c>
      <c r="L11" s="13"/>
      <c r="M11" s="13">
        <v>4717.6400000000003</v>
      </c>
      <c r="N11" s="13">
        <v>9717.64</v>
      </c>
      <c r="O11" s="13">
        <f t="shared" si="0"/>
        <v>4999.9999999999991</v>
      </c>
      <c r="P11" s="13">
        <v>10000</v>
      </c>
      <c r="Q11" s="13">
        <f t="shared" si="1"/>
        <v>5282.36</v>
      </c>
      <c r="R11" s="13">
        <v>0</v>
      </c>
      <c r="S11" s="11" t="s">
        <v>969</v>
      </c>
      <c r="T11" s="14">
        <v>46250</v>
      </c>
      <c r="U11" s="11" t="s">
        <v>970</v>
      </c>
      <c r="V11" s="12"/>
      <c r="W11" s="13"/>
      <c r="X11" s="11"/>
      <c r="Y11" s="11"/>
      <c r="Z11" s="11" t="s">
        <v>847</v>
      </c>
      <c r="AA11" s="15"/>
    </row>
    <row r="12" spans="1:27" ht="14.25" x14ac:dyDescent="0.25">
      <c r="A12" s="9" t="s">
        <v>21</v>
      </c>
      <c r="B12" s="10" t="s">
        <v>90</v>
      </c>
      <c r="C12" s="10" t="s">
        <v>91</v>
      </c>
      <c r="D12" s="10" t="s">
        <v>92</v>
      </c>
      <c r="E12" s="11" t="s">
        <v>34</v>
      </c>
      <c r="F12" s="11" t="s">
        <v>93</v>
      </c>
      <c r="G12" s="11" t="s">
        <v>94</v>
      </c>
      <c r="H12" s="12" t="s">
        <v>37</v>
      </c>
      <c r="I12" s="11" t="s">
        <v>34</v>
      </c>
      <c r="J12" s="12" t="s">
        <v>46</v>
      </c>
      <c r="K12" s="12" t="s">
        <v>52</v>
      </c>
      <c r="L12" s="13"/>
      <c r="M12" s="13">
        <v>9350</v>
      </c>
      <c r="N12" s="13">
        <v>9500</v>
      </c>
      <c r="O12" s="13">
        <f t="shared" si="0"/>
        <v>150</v>
      </c>
      <c r="P12" s="13">
        <v>10000</v>
      </c>
      <c r="Q12" s="13">
        <f t="shared" si="1"/>
        <v>650</v>
      </c>
      <c r="R12" s="13">
        <v>0</v>
      </c>
      <c r="S12" s="11" t="s">
        <v>969</v>
      </c>
      <c r="T12" s="14" t="s">
        <v>95</v>
      </c>
      <c r="U12" s="11" t="s">
        <v>970</v>
      </c>
      <c r="V12" s="12"/>
      <c r="W12" s="13"/>
      <c r="X12" s="11"/>
      <c r="Y12" s="11"/>
      <c r="Z12" s="11" t="s">
        <v>847</v>
      </c>
      <c r="AA12" s="15"/>
    </row>
    <row r="13" spans="1:27" ht="14.25" x14ac:dyDescent="0.25">
      <c r="A13" s="9" t="s">
        <v>21</v>
      </c>
      <c r="B13" s="10" t="s">
        <v>96</v>
      </c>
      <c r="C13" s="10" t="s">
        <v>97</v>
      </c>
      <c r="D13" s="10" t="s">
        <v>98</v>
      </c>
      <c r="E13" s="11" t="s">
        <v>41</v>
      </c>
      <c r="F13" s="11" t="s">
        <v>99</v>
      </c>
      <c r="G13" s="11" t="s">
        <v>100</v>
      </c>
      <c r="H13" s="12" t="s">
        <v>101</v>
      </c>
      <c r="I13" s="11" t="s">
        <v>45</v>
      </c>
      <c r="J13" s="12" t="s">
        <v>59</v>
      </c>
      <c r="K13" s="12" t="s">
        <v>52</v>
      </c>
      <c r="L13" s="13"/>
      <c r="M13" s="13">
        <v>8491</v>
      </c>
      <c r="N13" s="13">
        <v>9500</v>
      </c>
      <c r="O13" s="13">
        <f t="shared" si="0"/>
        <v>1009</v>
      </c>
      <c r="P13" s="13">
        <v>10000</v>
      </c>
      <c r="Q13" s="13">
        <f t="shared" si="1"/>
        <v>1509</v>
      </c>
      <c r="R13" s="13">
        <v>0</v>
      </c>
      <c r="S13" s="11" t="s">
        <v>969</v>
      </c>
      <c r="T13" s="14">
        <v>46248</v>
      </c>
      <c r="U13" s="11" t="s">
        <v>970</v>
      </c>
      <c r="V13" s="12"/>
      <c r="W13" s="13"/>
      <c r="X13" s="11"/>
      <c r="Y13" s="11"/>
      <c r="Z13" s="11" t="s">
        <v>847</v>
      </c>
      <c r="AA13" s="15"/>
    </row>
    <row r="14" spans="1:27" ht="14.25" x14ac:dyDescent="0.25">
      <c r="A14" s="9" t="s">
        <v>21</v>
      </c>
      <c r="B14" s="10" t="s">
        <v>102</v>
      </c>
      <c r="C14" s="10" t="s">
        <v>103</v>
      </c>
      <c r="D14" s="10" t="s">
        <v>104</v>
      </c>
      <c r="E14" s="11" t="s">
        <v>41</v>
      </c>
      <c r="F14" s="11" t="s">
        <v>105</v>
      </c>
      <c r="G14" s="11" t="s">
        <v>106</v>
      </c>
      <c r="H14" s="12" t="s">
        <v>107</v>
      </c>
      <c r="I14" s="11" t="s">
        <v>29</v>
      </c>
      <c r="J14" s="12" t="s">
        <v>46</v>
      </c>
      <c r="K14" s="12" t="s">
        <v>52</v>
      </c>
      <c r="L14" s="13"/>
      <c r="M14" s="13">
        <v>2999</v>
      </c>
      <c r="N14" s="13">
        <v>6999</v>
      </c>
      <c r="O14" s="13">
        <f t="shared" si="0"/>
        <v>4000</v>
      </c>
      <c r="P14" s="13">
        <v>10000</v>
      </c>
      <c r="Q14" s="13">
        <f t="shared" si="1"/>
        <v>7001</v>
      </c>
      <c r="R14" s="13">
        <v>0</v>
      </c>
      <c r="S14" s="11" t="s">
        <v>969</v>
      </c>
      <c r="T14" s="14">
        <v>46250</v>
      </c>
      <c r="U14" s="11" t="s">
        <v>970</v>
      </c>
      <c r="V14" s="12"/>
      <c r="W14" s="13"/>
      <c r="X14" s="11"/>
      <c r="Y14" s="11"/>
      <c r="Z14" s="11" t="s">
        <v>847</v>
      </c>
      <c r="AA14" s="15"/>
    </row>
    <row r="15" spans="1:27" ht="14.25" x14ac:dyDescent="0.25">
      <c r="A15" s="9" t="s">
        <v>21</v>
      </c>
      <c r="B15" s="10" t="s">
        <v>108</v>
      </c>
      <c r="C15" s="10" t="s">
        <v>109</v>
      </c>
      <c r="D15" s="10" t="s">
        <v>110</v>
      </c>
      <c r="E15" s="11" t="s">
        <v>41</v>
      </c>
      <c r="F15" s="11" t="s">
        <v>111</v>
      </c>
      <c r="G15" s="11" t="s">
        <v>112</v>
      </c>
      <c r="H15" s="12">
        <v>2</v>
      </c>
      <c r="I15" s="11" t="s">
        <v>29</v>
      </c>
      <c r="J15" s="12" t="s">
        <v>59</v>
      </c>
      <c r="K15" s="12" t="s">
        <v>59</v>
      </c>
      <c r="L15" s="13"/>
      <c r="M15" s="13">
        <v>1098</v>
      </c>
      <c r="N15" s="13">
        <v>4098</v>
      </c>
      <c r="O15" s="13">
        <f t="shared" si="0"/>
        <v>3000</v>
      </c>
      <c r="P15" s="13">
        <v>10000</v>
      </c>
      <c r="Q15" s="13">
        <f t="shared" si="1"/>
        <v>8902</v>
      </c>
      <c r="R15" s="13">
        <v>0</v>
      </c>
      <c r="S15" s="11" t="s">
        <v>969</v>
      </c>
      <c r="T15" s="14">
        <v>46250</v>
      </c>
      <c r="U15" s="11" t="s">
        <v>970</v>
      </c>
      <c r="V15" s="12"/>
      <c r="W15" s="13"/>
      <c r="X15" s="11"/>
      <c r="Y15" s="11"/>
      <c r="Z15" s="11" t="s">
        <v>847</v>
      </c>
      <c r="AA15" s="15"/>
    </row>
    <row r="16" spans="1:27" ht="14.25" x14ac:dyDescent="0.25">
      <c r="A16" s="9" t="s">
        <v>21</v>
      </c>
      <c r="B16" s="10" t="s">
        <v>113</v>
      </c>
      <c r="C16" s="10" t="s">
        <v>114</v>
      </c>
      <c r="D16" s="10" t="s">
        <v>115</v>
      </c>
      <c r="E16" s="11" t="s">
        <v>116</v>
      </c>
      <c r="F16" s="11" t="s">
        <v>68</v>
      </c>
      <c r="G16" s="11" t="s">
        <v>117</v>
      </c>
      <c r="H16" s="12" t="s">
        <v>118</v>
      </c>
      <c r="I16" s="11" t="s">
        <v>116</v>
      </c>
      <c r="J16" s="12" t="s">
        <v>119</v>
      </c>
      <c r="K16" s="12" t="s">
        <v>30</v>
      </c>
      <c r="L16" s="13"/>
      <c r="M16" s="13">
        <v>12986</v>
      </c>
      <c r="N16" s="13">
        <f>M16</f>
        <v>12986</v>
      </c>
      <c r="O16" s="13">
        <f t="shared" si="0"/>
        <v>0</v>
      </c>
      <c r="P16" s="13">
        <v>10000</v>
      </c>
      <c r="Q16" s="13">
        <f t="shared" si="1"/>
        <v>-2986</v>
      </c>
      <c r="R16" s="13">
        <f>VLOOKUP(B:B,[1]Sheet1!$B$1:$I$13,8,0)</f>
        <v>2986</v>
      </c>
      <c r="S16" s="11" t="s">
        <v>969</v>
      </c>
      <c r="T16" s="14">
        <v>46250</v>
      </c>
      <c r="U16" s="11" t="s">
        <v>970</v>
      </c>
      <c r="V16" s="12"/>
      <c r="W16" s="13"/>
      <c r="X16" s="11"/>
      <c r="Y16" s="11"/>
      <c r="Z16" s="11" t="s">
        <v>847</v>
      </c>
      <c r="AA16" s="15"/>
    </row>
    <row r="17" spans="1:27" ht="14.25" x14ac:dyDescent="0.25">
      <c r="A17" s="9" t="s">
        <v>21</v>
      </c>
      <c r="B17" s="10" t="s">
        <v>120</v>
      </c>
      <c r="C17" s="10" t="s">
        <v>121</v>
      </c>
      <c r="D17" s="10" t="s">
        <v>122</v>
      </c>
      <c r="E17" s="11" t="s">
        <v>34</v>
      </c>
      <c r="F17" s="11" t="s">
        <v>123</v>
      </c>
      <c r="G17" s="11" t="s">
        <v>124</v>
      </c>
      <c r="H17" s="12" t="s">
        <v>125</v>
      </c>
      <c r="I17" s="11" t="s">
        <v>34</v>
      </c>
      <c r="J17" s="12" t="s">
        <v>30</v>
      </c>
      <c r="K17" s="12" t="s">
        <v>30</v>
      </c>
      <c r="L17" s="13"/>
      <c r="M17" s="13">
        <v>9499</v>
      </c>
      <c r="N17" s="13">
        <v>9499</v>
      </c>
      <c r="O17" s="13">
        <f t="shared" si="0"/>
        <v>0</v>
      </c>
      <c r="P17" s="13">
        <v>10000</v>
      </c>
      <c r="Q17" s="13">
        <f t="shared" si="1"/>
        <v>501</v>
      </c>
      <c r="R17" s="13">
        <v>0</v>
      </c>
      <c r="S17" s="11" t="s">
        <v>969</v>
      </c>
      <c r="T17" s="14">
        <v>46251</v>
      </c>
      <c r="U17" s="11" t="s">
        <v>970</v>
      </c>
      <c r="V17" s="12"/>
      <c r="W17" s="13"/>
      <c r="X17" s="11"/>
      <c r="Y17" s="11"/>
      <c r="Z17" s="11" t="s">
        <v>847</v>
      </c>
      <c r="AA17" s="15"/>
    </row>
    <row r="18" spans="1:27" ht="14.25" x14ac:dyDescent="0.25">
      <c r="A18" s="9" t="s">
        <v>21</v>
      </c>
      <c r="B18" s="10" t="s">
        <v>126</v>
      </c>
      <c r="C18" s="10" t="s">
        <v>127</v>
      </c>
      <c r="D18" s="10" t="s">
        <v>128</v>
      </c>
      <c r="E18" s="11" t="s">
        <v>129</v>
      </c>
      <c r="F18" s="11" t="s">
        <v>130</v>
      </c>
      <c r="G18" s="11" t="s">
        <v>131</v>
      </c>
      <c r="H18" s="12" t="s">
        <v>132</v>
      </c>
      <c r="I18" s="11" t="s">
        <v>133</v>
      </c>
      <c r="J18" s="12" t="s">
        <v>46</v>
      </c>
      <c r="K18" s="12" t="s">
        <v>52</v>
      </c>
      <c r="L18" s="13"/>
      <c r="M18" s="13">
        <v>10000</v>
      </c>
      <c r="N18" s="13">
        <v>10000</v>
      </c>
      <c r="O18" s="13">
        <f t="shared" si="0"/>
        <v>0</v>
      </c>
      <c r="P18" s="13">
        <v>10000</v>
      </c>
      <c r="Q18" s="13">
        <f t="shared" si="1"/>
        <v>0</v>
      </c>
      <c r="R18" s="13">
        <v>0</v>
      </c>
      <c r="S18" s="11" t="s">
        <v>969</v>
      </c>
      <c r="T18" s="14">
        <v>46250</v>
      </c>
      <c r="U18" s="11" t="s">
        <v>970</v>
      </c>
      <c r="V18" s="12"/>
      <c r="W18" s="13"/>
      <c r="X18" s="11"/>
      <c r="Y18" s="11"/>
      <c r="Z18" s="11" t="s">
        <v>847</v>
      </c>
      <c r="AA18" s="15"/>
    </row>
    <row r="19" spans="1:27" ht="15.6" customHeight="1" x14ac:dyDescent="0.25">
      <c r="A19" s="9" t="s">
        <v>21</v>
      </c>
      <c r="B19" s="10" t="s">
        <v>134</v>
      </c>
      <c r="C19" s="10" t="s">
        <v>135</v>
      </c>
      <c r="D19" s="10" t="s">
        <v>136</v>
      </c>
      <c r="E19" s="11" t="s">
        <v>34</v>
      </c>
      <c r="F19" s="11" t="s">
        <v>137</v>
      </c>
      <c r="G19" s="11" t="s">
        <v>138</v>
      </c>
      <c r="H19" s="12" t="s">
        <v>139</v>
      </c>
      <c r="I19" s="11" t="s">
        <v>34</v>
      </c>
      <c r="J19" s="12" t="s">
        <v>59</v>
      </c>
      <c r="K19" s="12" t="s">
        <v>52</v>
      </c>
      <c r="L19" s="13"/>
      <c r="M19" s="13">
        <v>11000</v>
      </c>
      <c r="N19" s="13">
        <v>10000</v>
      </c>
      <c r="O19" s="13">
        <f t="shared" si="0"/>
        <v>-1000</v>
      </c>
      <c r="P19" s="13">
        <v>10000</v>
      </c>
      <c r="Q19" s="13">
        <f t="shared" si="1"/>
        <v>-1000</v>
      </c>
      <c r="R19" s="13">
        <v>0</v>
      </c>
      <c r="S19" s="11" t="s">
        <v>969</v>
      </c>
      <c r="T19" s="14">
        <v>46253</v>
      </c>
      <c r="U19" s="11" t="s">
        <v>970</v>
      </c>
      <c r="V19" s="12"/>
      <c r="W19" s="13"/>
      <c r="X19" s="11"/>
      <c r="Y19" s="11"/>
      <c r="Z19" s="11" t="s">
        <v>847</v>
      </c>
      <c r="AA19" s="15"/>
    </row>
    <row r="20" spans="1:27" ht="14.25" x14ac:dyDescent="0.25">
      <c r="A20" s="9" t="s">
        <v>21</v>
      </c>
      <c r="B20" s="10" t="s">
        <v>140</v>
      </c>
      <c r="C20" s="10" t="s">
        <v>141</v>
      </c>
      <c r="D20" s="10" t="s">
        <v>142</v>
      </c>
      <c r="E20" s="11" t="s">
        <v>41</v>
      </c>
      <c r="F20" s="11" t="s">
        <v>143</v>
      </c>
      <c r="G20" s="11" t="s">
        <v>144</v>
      </c>
      <c r="H20" s="12" t="s">
        <v>145</v>
      </c>
      <c r="I20" s="11" t="s">
        <v>45</v>
      </c>
      <c r="J20" s="12" t="s">
        <v>46</v>
      </c>
      <c r="K20" s="12" t="s">
        <v>46</v>
      </c>
      <c r="L20" s="13"/>
      <c r="M20" s="13">
        <v>7000</v>
      </c>
      <c r="N20" s="13">
        <v>9000</v>
      </c>
      <c r="O20" s="13">
        <f t="shared" si="0"/>
        <v>2000</v>
      </c>
      <c r="P20" s="13">
        <v>10000</v>
      </c>
      <c r="Q20" s="13">
        <f t="shared" si="1"/>
        <v>3000</v>
      </c>
      <c r="R20" s="13">
        <v>0</v>
      </c>
      <c r="S20" s="11" t="s">
        <v>969</v>
      </c>
      <c r="T20" s="14">
        <v>46253</v>
      </c>
      <c r="U20" s="11" t="s">
        <v>970</v>
      </c>
      <c r="V20" s="12"/>
      <c r="W20" s="13"/>
      <c r="X20" s="11"/>
      <c r="Y20" s="11"/>
      <c r="Z20" s="11" t="s">
        <v>847</v>
      </c>
      <c r="AA20" s="15"/>
    </row>
    <row r="21" spans="1:27" ht="28.5" x14ac:dyDescent="0.25">
      <c r="A21" s="9" t="s">
        <v>21</v>
      </c>
      <c r="B21" s="10" t="s">
        <v>146</v>
      </c>
      <c r="C21" s="10" t="s">
        <v>147</v>
      </c>
      <c r="D21" s="10" t="s">
        <v>148</v>
      </c>
      <c r="E21" s="11" t="s">
        <v>41</v>
      </c>
      <c r="F21" s="11" t="s">
        <v>149</v>
      </c>
      <c r="G21" s="11" t="s">
        <v>88</v>
      </c>
      <c r="H21" s="12" t="s">
        <v>150</v>
      </c>
      <c r="I21" s="11" t="s">
        <v>45</v>
      </c>
      <c r="J21" s="12" t="s">
        <v>46</v>
      </c>
      <c r="K21" s="12" t="s">
        <v>46</v>
      </c>
      <c r="L21" s="13"/>
      <c r="M21" s="13">
        <v>8488.7999999999993</v>
      </c>
      <c r="N21" s="13">
        <v>9488</v>
      </c>
      <c r="O21" s="13">
        <f t="shared" si="0"/>
        <v>999.20000000000073</v>
      </c>
      <c r="P21" s="13">
        <v>10000</v>
      </c>
      <c r="Q21" s="13">
        <f t="shared" si="1"/>
        <v>1511.2000000000007</v>
      </c>
      <c r="R21" s="13">
        <v>0</v>
      </c>
      <c r="S21" s="11" t="s">
        <v>969</v>
      </c>
      <c r="T21" s="14">
        <v>46253</v>
      </c>
      <c r="U21" s="11" t="s">
        <v>970</v>
      </c>
      <c r="V21" s="12"/>
      <c r="W21" s="13"/>
      <c r="X21" s="11"/>
      <c r="Y21" s="11"/>
      <c r="Z21" s="11" t="s">
        <v>847</v>
      </c>
      <c r="AA21" s="15"/>
    </row>
    <row r="22" spans="1:27" ht="14.25" x14ac:dyDescent="0.25">
      <c r="A22" s="9" t="s">
        <v>21</v>
      </c>
      <c r="B22" s="10" t="s">
        <v>151</v>
      </c>
      <c r="C22" s="10" t="s">
        <v>152</v>
      </c>
      <c r="D22" s="10" t="s">
        <v>153</v>
      </c>
      <c r="E22" s="11" t="s">
        <v>41</v>
      </c>
      <c r="F22" s="11" t="s">
        <v>154</v>
      </c>
      <c r="G22" s="11" t="s">
        <v>155</v>
      </c>
      <c r="H22" s="12" t="s">
        <v>44</v>
      </c>
      <c r="I22" s="11" t="s">
        <v>156</v>
      </c>
      <c r="J22" s="12" t="s">
        <v>46</v>
      </c>
      <c r="K22" s="12" t="s">
        <v>46</v>
      </c>
      <c r="L22" s="13"/>
      <c r="M22" s="13">
        <v>3683</v>
      </c>
      <c r="N22" s="13">
        <v>7683</v>
      </c>
      <c r="O22" s="13">
        <f t="shared" si="0"/>
        <v>4000</v>
      </c>
      <c r="P22" s="13">
        <v>10000</v>
      </c>
      <c r="Q22" s="13">
        <f t="shared" si="1"/>
        <v>6317</v>
      </c>
      <c r="R22" s="13">
        <v>0</v>
      </c>
      <c r="S22" s="11" t="s">
        <v>969</v>
      </c>
      <c r="T22" s="14">
        <v>46253</v>
      </c>
      <c r="U22" s="11" t="s">
        <v>970</v>
      </c>
      <c r="V22" s="12"/>
      <c r="W22" s="13"/>
      <c r="X22" s="11"/>
      <c r="Y22" s="11"/>
      <c r="Z22" s="11" t="s">
        <v>847</v>
      </c>
      <c r="AA22" s="15"/>
    </row>
    <row r="23" spans="1:27" ht="14.25" x14ac:dyDescent="0.25">
      <c r="A23" s="9" t="s">
        <v>21</v>
      </c>
      <c r="B23" s="10" t="s">
        <v>157</v>
      </c>
      <c r="C23" s="10" t="s">
        <v>158</v>
      </c>
      <c r="D23" s="10" t="s">
        <v>159</v>
      </c>
      <c r="E23" s="11" t="s">
        <v>41</v>
      </c>
      <c r="F23" s="11" t="s">
        <v>160</v>
      </c>
      <c r="G23" s="11" t="s">
        <v>161</v>
      </c>
      <c r="H23" s="12" t="s">
        <v>132</v>
      </c>
      <c r="I23" s="11" t="s">
        <v>156</v>
      </c>
      <c r="J23" s="12" t="s">
        <v>46</v>
      </c>
      <c r="K23" s="12" t="s">
        <v>52</v>
      </c>
      <c r="L23" s="13"/>
      <c r="M23" s="13">
        <v>2319</v>
      </c>
      <c r="N23" s="13">
        <v>5319</v>
      </c>
      <c r="O23" s="13">
        <f t="shared" si="0"/>
        <v>3000</v>
      </c>
      <c r="P23" s="13">
        <v>10000</v>
      </c>
      <c r="Q23" s="13">
        <f t="shared" si="1"/>
        <v>7681</v>
      </c>
      <c r="R23" s="13">
        <v>0</v>
      </c>
      <c r="S23" s="11" t="s">
        <v>969</v>
      </c>
      <c r="T23" s="14">
        <v>46252</v>
      </c>
      <c r="U23" s="11" t="s">
        <v>970</v>
      </c>
      <c r="V23" s="12"/>
      <c r="W23" s="13"/>
      <c r="X23" s="11"/>
      <c r="Y23" s="11"/>
      <c r="Z23" s="11" t="s">
        <v>847</v>
      </c>
      <c r="AA23" s="15"/>
    </row>
    <row r="24" spans="1:27" ht="14.25" x14ac:dyDescent="0.25">
      <c r="A24" s="9" t="s">
        <v>21</v>
      </c>
      <c r="B24" s="10" t="s">
        <v>162</v>
      </c>
      <c r="C24" s="10" t="s">
        <v>163</v>
      </c>
      <c r="D24" s="10" t="s">
        <v>164</v>
      </c>
      <c r="E24" s="11" t="s">
        <v>165</v>
      </c>
      <c r="F24" s="11" t="s">
        <v>166</v>
      </c>
      <c r="G24" s="11" t="s">
        <v>167</v>
      </c>
      <c r="H24" s="12" t="s">
        <v>168</v>
      </c>
      <c r="I24" s="11" t="s">
        <v>169</v>
      </c>
      <c r="J24" s="12" t="s">
        <v>46</v>
      </c>
      <c r="K24" s="12" t="s">
        <v>46</v>
      </c>
      <c r="L24" s="13"/>
      <c r="M24" s="13">
        <v>5500</v>
      </c>
      <c r="N24" s="13">
        <v>7500</v>
      </c>
      <c r="O24" s="13">
        <f t="shared" si="0"/>
        <v>2000</v>
      </c>
      <c r="P24" s="13">
        <v>10000</v>
      </c>
      <c r="Q24" s="13">
        <f t="shared" si="1"/>
        <v>4500</v>
      </c>
      <c r="R24" s="13">
        <v>0</v>
      </c>
      <c r="S24" s="11" t="s">
        <v>969</v>
      </c>
      <c r="T24" s="14">
        <v>46253</v>
      </c>
      <c r="U24" s="11" t="s">
        <v>970</v>
      </c>
      <c r="V24" s="12"/>
      <c r="W24" s="13"/>
      <c r="X24" s="11"/>
      <c r="Y24" s="11"/>
      <c r="Z24" s="11" t="s">
        <v>847</v>
      </c>
      <c r="AA24" s="15"/>
    </row>
    <row r="25" spans="1:27" ht="14.25" x14ac:dyDescent="0.25">
      <c r="A25" s="9" t="s">
        <v>21</v>
      </c>
      <c r="B25" s="10" t="s">
        <v>170</v>
      </c>
      <c r="C25" s="10" t="s">
        <v>171</v>
      </c>
      <c r="D25" s="10" t="s">
        <v>172</v>
      </c>
      <c r="E25" s="11" t="s">
        <v>165</v>
      </c>
      <c r="F25" s="11" t="s">
        <v>173</v>
      </c>
      <c r="G25" s="11" t="s">
        <v>174</v>
      </c>
      <c r="H25" s="12" t="s">
        <v>132</v>
      </c>
      <c r="I25" s="11" t="s">
        <v>165</v>
      </c>
      <c r="J25" s="12" t="s">
        <v>30</v>
      </c>
      <c r="K25" s="12" t="s">
        <v>30</v>
      </c>
      <c r="L25" s="13"/>
      <c r="M25" s="13">
        <v>8243</v>
      </c>
      <c r="N25" s="13">
        <v>9600</v>
      </c>
      <c r="O25" s="13">
        <f t="shared" si="0"/>
        <v>1357</v>
      </c>
      <c r="P25" s="13">
        <v>10000</v>
      </c>
      <c r="Q25" s="13">
        <f t="shared" si="1"/>
        <v>1757</v>
      </c>
      <c r="R25" s="13">
        <v>0</v>
      </c>
      <c r="S25" s="11" t="s">
        <v>969</v>
      </c>
      <c r="T25" s="14">
        <v>46253</v>
      </c>
      <c r="U25" s="11" t="s">
        <v>970</v>
      </c>
      <c r="V25" s="12"/>
      <c r="W25" s="13"/>
      <c r="X25" s="11"/>
      <c r="Y25" s="11"/>
      <c r="Z25" s="11" t="s">
        <v>847</v>
      </c>
      <c r="AA25" s="15"/>
    </row>
    <row r="26" spans="1:27" ht="14.25" x14ac:dyDescent="0.25">
      <c r="A26" s="9" t="s">
        <v>21</v>
      </c>
      <c r="B26" s="10" t="s">
        <v>175</v>
      </c>
      <c r="C26" s="10" t="s">
        <v>176</v>
      </c>
      <c r="D26" s="10" t="s">
        <v>177</v>
      </c>
      <c r="E26" s="11" t="s">
        <v>34</v>
      </c>
      <c r="F26" s="11" t="s">
        <v>178</v>
      </c>
      <c r="G26" s="11" t="s">
        <v>179</v>
      </c>
      <c r="H26" s="12" t="s">
        <v>37</v>
      </c>
      <c r="I26" s="11" t="s">
        <v>34</v>
      </c>
      <c r="J26" s="12" t="s">
        <v>30</v>
      </c>
      <c r="K26" s="12" t="s">
        <v>52</v>
      </c>
      <c r="L26" s="13"/>
      <c r="M26" s="13">
        <v>9000</v>
      </c>
      <c r="N26" s="13">
        <v>10000</v>
      </c>
      <c r="O26" s="13">
        <f t="shared" si="0"/>
        <v>1000</v>
      </c>
      <c r="P26" s="13">
        <v>10000</v>
      </c>
      <c r="Q26" s="13">
        <f t="shared" si="1"/>
        <v>1000</v>
      </c>
      <c r="R26" s="13">
        <v>0</v>
      </c>
      <c r="S26" s="11" t="s">
        <v>969</v>
      </c>
      <c r="T26" s="14">
        <v>46253</v>
      </c>
      <c r="U26" s="11" t="s">
        <v>970</v>
      </c>
      <c r="V26" s="12"/>
      <c r="W26" s="13"/>
      <c r="X26" s="11"/>
      <c r="Y26" s="11"/>
      <c r="Z26" s="11" t="s">
        <v>847</v>
      </c>
      <c r="AA26" s="15"/>
    </row>
    <row r="27" spans="1:27" ht="14.25" x14ac:dyDescent="0.25">
      <c r="A27" s="9" t="s">
        <v>21</v>
      </c>
      <c r="B27" s="10" t="s">
        <v>180</v>
      </c>
      <c r="C27" s="10" t="s">
        <v>181</v>
      </c>
      <c r="D27" s="10" t="s">
        <v>182</v>
      </c>
      <c r="E27" s="11" t="s">
        <v>41</v>
      </c>
      <c r="F27" s="11" t="s">
        <v>183</v>
      </c>
      <c r="G27" s="11" t="s">
        <v>184</v>
      </c>
      <c r="H27" s="12" t="s">
        <v>185</v>
      </c>
      <c r="I27" s="11" t="s">
        <v>45</v>
      </c>
      <c r="J27" s="12" t="s">
        <v>59</v>
      </c>
      <c r="K27" s="12" t="s">
        <v>59</v>
      </c>
      <c r="L27" s="13"/>
      <c r="M27" s="13">
        <v>2950</v>
      </c>
      <c r="N27" s="13">
        <v>7500</v>
      </c>
      <c r="O27" s="13">
        <f t="shared" si="0"/>
        <v>4550</v>
      </c>
      <c r="P27" s="13">
        <v>10000</v>
      </c>
      <c r="Q27" s="13">
        <f t="shared" si="1"/>
        <v>7050</v>
      </c>
      <c r="R27" s="13">
        <v>0</v>
      </c>
      <c r="S27" s="11" t="s">
        <v>969</v>
      </c>
      <c r="T27" s="14">
        <v>46256</v>
      </c>
      <c r="U27" s="11" t="s">
        <v>970</v>
      </c>
      <c r="V27" s="12"/>
      <c r="W27" s="13"/>
      <c r="X27" s="11"/>
      <c r="Y27" s="11"/>
      <c r="Z27" s="11" t="s">
        <v>847</v>
      </c>
      <c r="AA27" s="15"/>
    </row>
    <row r="28" spans="1:27" ht="14.25" x14ac:dyDescent="0.25">
      <c r="A28" s="9" t="s">
        <v>21</v>
      </c>
      <c r="B28" s="10" t="s">
        <v>186</v>
      </c>
      <c r="C28" s="10" t="s">
        <v>187</v>
      </c>
      <c r="D28" s="10" t="s">
        <v>188</v>
      </c>
      <c r="E28" s="11" t="s">
        <v>41</v>
      </c>
      <c r="F28" s="11" t="s">
        <v>189</v>
      </c>
      <c r="G28" s="11" t="s">
        <v>190</v>
      </c>
      <c r="H28" s="12" t="s">
        <v>70</v>
      </c>
      <c r="I28" s="11" t="s">
        <v>45</v>
      </c>
      <c r="J28" s="12" t="s">
        <v>59</v>
      </c>
      <c r="K28" s="12" t="s">
        <v>59</v>
      </c>
      <c r="L28" s="13"/>
      <c r="M28" s="13">
        <v>9785</v>
      </c>
      <c r="N28" s="13">
        <v>9785</v>
      </c>
      <c r="O28" s="13">
        <f t="shared" si="0"/>
        <v>0</v>
      </c>
      <c r="P28" s="13">
        <v>10000</v>
      </c>
      <c r="Q28" s="13">
        <f t="shared" si="1"/>
        <v>215</v>
      </c>
      <c r="R28" s="13">
        <v>0</v>
      </c>
      <c r="S28" s="11" t="s">
        <v>969</v>
      </c>
      <c r="T28" s="14">
        <v>46257</v>
      </c>
      <c r="U28" s="11" t="s">
        <v>970</v>
      </c>
      <c r="V28" s="12"/>
      <c r="W28" s="13"/>
      <c r="X28" s="11"/>
      <c r="Y28" s="11"/>
      <c r="Z28" s="11" t="s">
        <v>847</v>
      </c>
      <c r="AA28" s="15"/>
    </row>
    <row r="29" spans="1:27" ht="14.25" x14ac:dyDescent="0.25">
      <c r="A29" s="9" t="s">
        <v>21</v>
      </c>
      <c r="B29" s="10" t="s">
        <v>191</v>
      </c>
      <c r="C29" s="10" t="s">
        <v>192</v>
      </c>
      <c r="D29" s="10" t="s">
        <v>193</v>
      </c>
      <c r="E29" s="11" t="s">
        <v>41</v>
      </c>
      <c r="F29" s="11" t="s">
        <v>194</v>
      </c>
      <c r="G29" s="11" t="s">
        <v>195</v>
      </c>
      <c r="H29" s="12" t="s">
        <v>44</v>
      </c>
      <c r="I29" s="11" t="s">
        <v>45</v>
      </c>
      <c r="J29" s="12" t="s">
        <v>46</v>
      </c>
      <c r="K29" s="12" t="s">
        <v>46</v>
      </c>
      <c r="L29" s="13"/>
      <c r="M29" s="13">
        <v>10569</v>
      </c>
      <c r="N29" s="13">
        <v>10000</v>
      </c>
      <c r="O29" s="13">
        <f t="shared" si="0"/>
        <v>-569</v>
      </c>
      <c r="P29" s="13">
        <v>10000</v>
      </c>
      <c r="Q29" s="13">
        <f t="shared" si="1"/>
        <v>-569</v>
      </c>
      <c r="R29" s="13">
        <v>0</v>
      </c>
      <c r="S29" s="11" t="s">
        <v>969</v>
      </c>
      <c r="T29" s="14">
        <v>46255</v>
      </c>
      <c r="U29" s="11" t="s">
        <v>970</v>
      </c>
      <c r="V29" s="12"/>
      <c r="W29" s="13"/>
      <c r="X29" s="11"/>
      <c r="Y29" s="11"/>
      <c r="Z29" s="11" t="s">
        <v>847</v>
      </c>
      <c r="AA29" s="15"/>
    </row>
    <row r="30" spans="1:27" ht="14.25" x14ac:dyDescent="0.25">
      <c r="A30" s="9" t="s">
        <v>21</v>
      </c>
      <c r="B30" s="10" t="s">
        <v>196</v>
      </c>
      <c r="C30" s="10" t="s">
        <v>197</v>
      </c>
      <c r="D30" s="10" t="s">
        <v>198</v>
      </c>
      <c r="E30" s="11" t="s">
        <v>34</v>
      </c>
      <c r="F30" s="11" t="s">
        <v>199</v>
      </c>
      <c r="G30" s="11" t="s">
        <v>200</v>
      </c>
      <c r="H30" s="12" t="s">
        <v>37</v>
      </c>
      <c r="I30" s="11" t="s">
        <v>34</v>
      </c>
      <c r="J30" s="12" t="s">
        <v>30</v>
      </c>
      <c r="K30" s="12" t="s">
        <v>52</v>
      </c>
      <c r="L30" s="13"/>
      <c r="M30" s="13">
        <v>7000</v>
      </c>
      <c r="N30" s="13">
        <v>10000</v>
      </c>
      <c r="O30" s="13">
        <f t="shared" si="0"/>
        <v>3000</v>
      </c>
      <c r="P30" s="13">
        <v>10000</v>
      </c>
      <c r="Q30" s="13">
        <f t="shared" si="1"/>
        <v>3000</v>
      </c>
      <c r="R30" s="13">
        <v>0</v>
      </c>
      <c r="S30" s="11" t="s">
        <v>969</v>
      </c>
      <c r="T30" s="14">
        <v>46254</v>
      </c>
      <c r="U30" s="11" t="s">
        <v>970</v>
      </c>
      <c r="V30" s="12"/>
      <c r="W30" s="13"/>
      <c r="X30" s="11"/>
      <c r="Y30" s="11"/>
      <c r="Z30" s="11" t="s">
        <v>847</v>
      </c>
      <c r="AA30" s="15"/>
    </row>
    <row r="31" spans="1:27" ht="14.25" x14ac:dyDescent="0.25">
      <c r="A31" s="9" t="s">
        <v>21</v>
      </c>
      <c r="B31" s="10" t="s">
        <v>201</v>
      </c>
      <c r="C31" s="10" t="s">
        <v>202</v>
      </c>
      <c r="D31" s="10" t="s">
        <v>203</v>
      </c>
      <c r="E31" s="11" t="s">
        <v>56</v>
      </c>
      <c r="F31" s="11" t="s">
        <v>204</v>
      </c>
      <c r="G31" s="11" t="s">
        <v>205</v>
      </c>
      <c r="H31" s="12" t="s">
        <v>37</v>
      </c>
      <c r="I31" s="11" t="s">
        <v>56</v>
      </c>
      <c r="J31" s="12" t="s">
        <v>59</v>
      </c>
      <c r="K31" s="12" t="s">
        <v>52</v>
      </c>
      <c r="L31" s="13"/>
      <c r="M31" s="13">
        <v>10000</v>
      </c>
      <c r="N31" s="13">
        <v>10000</v>
      </c>
      <c r="O31" s="13">
        <f t="shared" si="0"/>
        <v>0</v>
      </c>
      <c r="P31" s="13">
        <v>10000</v>
      </c>
      <c r="Q31" s="13">
        <f t="shared" si="1"/>
        <v>0</v>
      </c>
      <c r="R31" s="13">
        <v>0</v>
      </c>
      <c r="S31" s="11" t="s">
        <v>969</v>
      </c>
      <c r="T31" s="14">
        <v>46254</v>
      </c>
      <c r="U31" s="11" t="s">
        <v>970</v>
      </c>
      <c r="V31" s="12"/>
      <c r="W31" s="13"/>
      <c r="X31" s="11"/>
      <c r="Y31" s="11"/>
      <c r="Z31" s="11" t="s">
        <v>847</v>
      </c>
      <c r="AA31" s="15"/>
    </row>
    <row r="32" spans="1:27" ht="28.5" x14ac:dyDescent="0.25">
      <c r="A32" s="9" t="s">
        <v>21</v>
      </c>
      <c r="B32" s="10" t="s">
        <v>206</v>
      </c>
      <c r="C32" s="10" t="s">
        <v>207</v>
      </c>
      <c r="D32" s="10" t="s">
        <v>208</v>
      </c>
      <c r="E32" s="11" t="s">
        <v>41</v>
      </c>
      <c r="F32" s="11" t="s">
        <v>209</v>
      </c>
      <c r="G32" s="11" t="s">
        <v>210</v>
      </c>
      <c r="H32" s="12" t="s">
        <v>211</v>
      </c>
      <c r="I32" s="11" t="s">
        <v>45</v>
      </c>
      <c r="J32" s="12" t="s">
        <v>212</v>
      </c>
      <c r="K32" s="12" t="s">
        <v>212</v>
      </c>
      <c r="L32" s="13"/>
      <c r="M32" s="13">
        <v>10832</v>
      </c>
      <c r="N32" s="13">
        <v>10000</v>
      </c>
      <c r="O32" s="13">
        <f t="shared" si="0"/>
        <v>-832</v>
      </c>
      <c r="P32" s="13">
        <v>10000</v>
      </c>
      <c r="Q32" s="13">
        <f t="shared" si="1"/>
        <v>-832</v>
      </c>
      <c r="R32" s="13">
        <v>0</v>
      </c>
      <c r="S32" s="11" t="s">
        <v>969</v>
      </c>
      <c r="T32" s="14">
        <v>46242</v>
      </c>
      <c r="U32" s="11" t="s">
        <v>970</v>
      </c>
      <c r="V32" s="12"/>
      <c r="W32" s="13"/>
      <c r="X32" s="11"/>
      <c r="Y32" s="11"/>
      <c r="Z32" s="11" t="s">
        <v>847</v>
      </c>
      <c r="AA32" s="15"/>
    </row>
    <row r="33" spans="1:27" ht="14.25" x14ac:dyDescent="0.25">
      <c r="A33" s="9" t="s">
        <v>21</v>
      </c>
      <c r="B33" s="10" t="s">
        <v>213</v>
      </c>
      <c r="C33" s="10" t="s">
        <v>214</v>
      </c>
      <c r="D33" s="10" t="s">
        <v>215</v>
      </c>
      <c r="E33" s="11" t="s">
        <v>41</v>
      </c>
      <c r="F33" s="11" t="s">
        <v>216</v>
      </c>
      <c r="G33" s="11" t="s">
        <v>217</v>
      </c>
      <c r="H33" s="12" t="s">
        <v>28</v>
      </c>
      <c r="I33" s="11" t="s">
        <v>29</v>
      </c>
      <c r="J33" s="12" t="s">
        <v>212</v>
      </c>
      <c r="K33" s="12" t="s">
        <v>212</v>
      </c>
      <c r="L33" s="13"/>
      <c r="M33" s="13">
        <v>2074</v>
      </c>
      <c r="N33" s="13">
        <v>8074</v>
      </c>
      <c r="O33" s="13">
        <f t="shared" si="0"/>
        <v>6000</v>
      </c>
      <c r="P33" s="13">
        <v>10000</v>
      </c>
      <c r="Q33" s="13">
        <f t="shared" si="1"/>
        <v>7926</v>
      </c>
      <c r="R33" s="13">
        <v>0</v>
      </c>
      <c r="S33" s="11" t="s">
        <v>969</v>
      </c>
      <c r="T33" s="14">
        <v>46254</v>
      </c>
      <c r="U33" s="11" t="s">
        <v>970</v>
      </c>
      <c r="V33" s="12"/>
      <c r="W33" s="13"/>
      <c r="X33" s="11"/>
      <c r="Y33" s="11"/>
      <c r="Z33" s="11" t="s">
        <v>847</v>
      </c>
      <c r="AA33" s="15"/>
    </row>
    <row r="34" spans="1:27" ht="14.25" x14ac:dyDescent="0.25">
      <c r="A34" s="9" t="s">
        <v>21</v>
      </c>
      <c r="B34" s="10" t="s">
        <v>218</v>
      </c>
      <c r="C34" s="10" t="s">
        <v>219</v>
      </c>
      <c r="D34" s="10" t="s">
        <v>220</v>
      </c>
      <c r="E34" s="11" t="s">
        <v>41</v>
      </c>
      <c r="F34" s="11" t="s">
        <v>221</v>
      </c>
      <c r="G34" s="11" t="s">
        <v>222</v>
      </c>
      <c r="H34" s="12" t="s">
        <v>223</v>
      </c>
      <c r="I34" s="11" t="s">
        <v>29</v>
      </c>
      <c r="J34" s="12" t="s">
        <v>212</v>
      </c>
      <c r="K34" s="12" t="s">
        <v>212</v>
      </c>
      <c r="L34" s="13"/>
      <c r="M34" s="13">
        <v>3670</v>
      </c>
      <c r="N34" s="13">
        <v>8670</v>
      </c>
      <c r="O34" s="13">
        <f t="shared" si="0"/>
        <v>5000</v>
      </c>
      <c r="P34" s="13">
        <v>10000</v>
      </c>
      <c r="Q34" s="13">
        <f t="shared" si="1"/>
        <v>6330</v>
      </c>
      <c r="R34" s="13">
        <v>0</v>
      </c>
      <c r="S34" s="11" t="s">
        <v>969</v>
      </c>
      <c r="T34" s="14">
        <v>46251</v>
      </c>
      <c r="U34" s="11" t="s">
        <v>970</v>
      </c>
      <c r="V34" s="12"/>
      <c r="W34" s="13"/>
      <c r="X34" s="11"/>
      <c r="Y34" s="11"/>
      <c r="Z34" s="11" t="s">
        <v>847</v>
      </c>
      <c r="AA34" s="15"/>
    </row>
    <row r="35" spans="1:27" ht="28.5" x14ac:dyDescent="0.25">
      <c r="A35" s="9" t="s">
        <v>21</v>
      </c>
      <c r="B35" s="10" t="s">
        <v>224</v>
      </c>
      <c r="C35" s="10" t="s">
        <v>225</v>
      </c>
      <c r="D35" s="10" t="s">
        <v>226</v>
      </c>
      <c r="E35" s="11" t="s">
        <v>41</v>
      </c>
      <c r="F35" s="11" t="s">
        <v>227</v>
      </c>
      <c r="G35" s="11" t="s">
        <v>228</v>
      </c>
      <c r="H35" s="12" t="s">
        <v>229</v>
      </c>
      <c r="I35" s="11" t="s">
        <v>45</v>
      </c>
      <c r="J35" s="12" t="s">
        <v>212</v>
      </c>
      <c r="K35" s="12" t="s">
        <v>212</v>
      </c>
      <c r="L35" s="13"/>
      <c r="M35" s="13">
        <v>10573</v>
      </c>
      <c r="N35" s="13">
        <v>10000</v>
      </c>
      <c r="O35" s="13">
        <f t="shared" si="0"/>
        <v>-573</v>
      </c>
      <c r="P35" s="13">
        <v>10000</v>
      </c>
      <c r="Q35" s="13">
        <f t="shared" si="1"/>
        <v>-573</v>
      </c>
      <c r="R35" s="13">
        <v>0</v>
      </c>
      <c r="S35" s="11" t="s">
        <v>969</v>
      </c>
      <c r="T35" s="14">
        <v>46250</v>
      </c>
      <c r="U35" s="11" t="s">
        <v>970</v>
      </c>
      <c r="V35" s="12"/>
      <c r="W35" s="13"/>
      <c r="X35" s="11"/>
      <c r="Y35" s="11"/>
      <c r="Z35" s="11" t="s">
        <v>847</v>
      </c>
      <c r="AA35" s="15"/>
    </row>
    <row r="36" spans="1:27" ht="28.5" x14ac:dyDescent="0.25">
      <c r="A36" s="9" t="s">
        <v>21</v>
      </c>
      <c r="B36" s="10" t="s">
        <v>230</v>
      </c>
      <c r="C36" s="10" t="s">
        <v>231</v>
      </c>
      <c r="D36" s="10" t="s">
        <v>232</v>
      </c>
      <c r="E36" s="11" t="s">
        <v>41</v>
      </c>
      <c r="F36" s="11" t="s">
        <v>233</v>
      </c>
      <c r="G36" s="11" t="s">
        <v>234</v>
      </c>
      <c r="H36" s="12" t="s">
        <v>235</v>
      </c>
      <c r="I36" s="11"/>
      <c r="J36" s="12" t="s">
        <v>212</v>
      </c>
      <c r="K36" s="12" t="s">
        <v>212</v>
      </c>
      <c r="L36" s="13"/>
      <c r="M36" s="13">
        <v>8350</v>
      </c>
      <c r="N36" s="13">
        <v>9350</v>
      </c>
      <c r="O36" s="13">
        <f t="shared" si="0"/>
        <v>1000</v>
      </c>
      <c r="P36" s="13">
        <v>10000</v>
      </c>
      <c r="Q36" s="13">
        <f t="shared" si="1"/>
        <v>1650</v>
      </c>
      <c r="R36" s="13">
        <v>0</v>
      </c>
      <c r="S36" s="11" t="s">
        <v>969</v>
      </c>
      <c r="T36" s="14">
        <v>46255</v>
      </c>
      <c r="U36" s="11" t="s">
        <v>970</v>
      </c>
      <c r="V36" s="12"/>
      <c r="W36" s="13"/>
      <c r="X36" s="11"/>
      <c r="Y36" s="11"/>
      <c r="Z36" s="11" t="s">
        <v>847</v>
      </c>
      <c r="AA36" s="15"/>
    </row>
    <row r="37" spans="1:27" ht="14.25" x14ac:dyDescent="0.25">
      <c r="A37" s="9" t="s">
        <v>21</v>
      </c>
      <c r="B37" s="10" t="s">
        <v>236</v>
      </c>
      <c r="C37" s="10" t="s">
        <v>237</v>
      </c>
      <c r="D37" s="10" t="s">
        <v>238</v>
      </c>
      <c r="E37" s="11" t="s">
        <v>41</v>
      </c>
      <c r="F37" s="11" t="s">
        <v>239</v>
      </c>
      <c r="G37" s="11" t="s">
        <v>240</v>
      </c>
      <c r="H37" s="12" t="s">
        <v>28</v>
      </c>
      <c r="I37" s="11" t="s">
        <v>29</v>
      </c>
      <c r="J37" s="12" t="s">
        <v>212</v>
      </c>
      <c r="K37" s="12" t="s">
        <v>212</v>
      </c>
      <c r="L37" s="13"/>
      <c r="M37" s="13">
        <v>8361</v>
      </c>
      <c r="N37" s="13">
        <v>9361</v>
      </c>
      <c r="O37" s="13">
        <f t="shared" si="0"/>
        <v>1000</v>
      </c>
      <c r="P37" s="13">
        <v>10000</v>
      </c>
      <c r="Q37" s="13">
        <f t="shared" si="1"/>
        <v>1639</v>
      </c>
      <c r="R37" s="13">
        <v>0</v>
      </c>
      <c r="S37" s="11" t="s">
        <v>969</v>
      </c>
      <c r="T37" s="14">
        <v>46255</v>
      </c>
      <c r="U37" s="11" t="s">
        <v>970</v>
      </c>
      <c r="V37" s="12"/>
      <c r="W37" s="13"/>
      <c r="X37" s="11"/>
      <c r="Y37" s="11"/>
      <c r="Z37" s="11" t="s">
        <v>847</v>
      </c>
      <c r="AA37" s="15"/>
    </row>
    <row r="38" spans="1:27" ht="14.25" x14ac:dyDescent="0.25">
      <c r="A38" s="9" t="s">
        <v>21</v>
      </c>
      <c r="B38" s="10" t="s">
        <v>241</v>
      </c>
      <c r="C38" s="10" t="s">
        <v>242</v>
      </c>
      <c r="D38" s="10" t="s">
        <v>243</v>
      </c>
      <c r="E38" s="11" t="s">
        <v>41</v>
      </c>
      <c r="F38" s="11" t="s">
        <v>216</v>
      </c>
      <c r="G38" s="11" t="s">
        <v>244</v>
      </c>
      <c r="H38" s="12" t="s">
        <v>245</v>
      </c>
      <c r="I38" s="11" t="s">
        <v>156</v>
      </c>
      <c r="J38" s="12" t="s">
        <v>46</v>
      </c>
      <c r="K38" s="12" t="s">
        <v>46</v>
      </c>
      <c r="L38" s="13"/>
      <c r="M38" s="13">
        <v>5000</v>
      </c>
      <c r="N38" s="13">
        <v>8500</v>
      </c>
      <c r="O38" s="13">
        <f t="shared" si="0"/>
        <v>3500</v>
      </c>
      <c r="P38" s="13">
        <v>10000</v>
      </c>
      <c r="Q38" s="13">
        <f t="shared" si="1"/>
        <v>5000</v>
      </c>
      <c r="R38" s="13">
        <v>0</v>
      </c>
      <c r="S38" s="11" t="s">
        <v>969</v>
      </c>
      <c r="T38" s="14">
        <v>46257</v>
      </c>
      <c r="U38" s="11" t="s">
        <v>970</v>
      </c>
      <c r="V38" s="12"/>
      <c r="W38" s="13">
        <v>548</v>
      </c>
      <c r="X38" s="11">
        <v>46257</v>
      </c>
      <c r="Y38" s="11"/>
      <c r="Z38" s="11" t="s">
        <v>847</v>
      </c>
      <c r="AA38" s="15"/>
    </row>
    <row r="39" spans="1:27" ht="14.25" x14ac:dyDescent="0.25">
      <c r="A39" s="9" t="s">
        <v>21</v>
      </c>
      <c r="B39" s="10" t="s">
        <v>246</v>
      </c>
      <c r="C39" s="10" t="s">
        <v>247</v>
      </c>
      <c r="D39" s="10" t="s">
        <v>248</v>
      </c>
      <c r="E39" s="11" t="s">
        <v>165</v>
      </c>
      <c r="F39" s="11" t="s">
        <v>99</v>
      </c>
      <c r="G39" s="11" t="s">
        <v>249</v>
      </c>
      <c r="H39" s="12" t="s">
        <v>250</v>
      </c>
      <c r="I39" s="11" t="s">
        <v>165</v>
      </c>
      <c r="J39" s="12" t="s">
        <v>30</v>
      </c>
      <c r="K39" s="12" t="s">
        <v>30</v>
      </c>
      <c r="L39" s="13"/>
      <c r="M39" s="13">
        <v>12600</v>
      </c>
      <c r="N39" s="13">
        <v>10000</v>
      </c>
      <c r="O39" s="13">
        <f t="shared" si="0"/>
        <v>-2600</v>
      </c>
      <c r="P39" s="13">
        <v>10000</v>
      </c>
      <c r="Q39" s="13">
        <f t="shared" si="1"/>
        <v>-2600</v>
      </c>
      <c r="R39" s="13">
        <v>0</v>
      </c>
      <c r="S39" s="11" t="s">
        <v>969</v>
      </c>
      <c r="T39" s="14">
        <v>46256</v>
      </c>
      <c r="U39" s="11" t="s">
        <v>970</v>
      </c>
      <c r="V39" s="12"/>
      <c r="W39" s="13"/>
      <c r="X39" s="11"/>
      <c r="Y39" s="11"/>
      <c r="Z39" s="11" t="s">
        <v>847</v>
      </c>
      <c r="AA39" s="15"/>
    </row>
    <row r="40" spans="1:27" ht="14.25" x14ac:dyDescent="0.25">
      <c r="A40" s="9" t="s">
        <v>21</v>
      </c>
      <c r="B40" s="10" t="s">
        <v>251</v>
      </c>
      <c r="C40" s="10" t="s">
        <v>252</v>
      </c>
      <c r="D40" s="10" t="s">
        <v>253</v>
      </c>
      <c r="E40" s="11" t="s">
        <v>41</v>
      </c>
      <c r="F40" s="11" t="s">
        <v>254</v>
      </c>
      <c r="G40" s="11" t="s">
        <v>255</v>
      </c>
      <c r="H40" s="12" t="s">
        <v>256</v>
      </c>
      <c r="I40" s="11" t="s">
        <v>156</v>
      </c>
      <c r="J40" s="12" t="s">
        <v>30</v>
      </c>
      <c r="K40" s="12" t="s">
        <v>30</v>
      </c>
      <c r="L40" s="13"/>
      <c r="M40" s="13">
        <v>5156</v>
      </c>
      <c r="N40" s="13">
        <v>9860</v>
      </c>
      <c r="O40" s="13">
        <f t="shared" si="0"/>
        <v>4704</v>
      </c>
      <c r="P40" s="13">
        <v>10000</v>
      </c>
      <c r="Q40" s="13">
        <f t="shared" si="1"/>
        <v>4844</v>
      </c>
      <c r="R40" s="13">
        <v>0</v>
      </c>
      <c r="S40" s="11" t="s">
        <v>969</v>
      </c>
      <c r="T40" s="14">
        <v>46256</v>
      </c>
      <c r="U40" s="11" t="s">
        <v>970</v>
      </c>
      <c r="V40" s="12"/>
      <c r="W40" s="13"/>
      <c r="X40" s="11"/>
      <c r="Y40" s="11"/>
      <c r="Z40" s="11" t="s">
        <v>847</v>
      </c>
      <c r="AA40" s="15"/>
    </row>
    <row r="41" spans="1:27" ht="28.5" x14ac:dyDescent="0.25">
      <c r="A41" s="9" t="s">
        <v>21</v>
      </c>
      <c r="B41" s="10" t="s">
        <v>257</v>
      </c>
      <c r="C41" s="10" t="s">
        <v>258</v>
      </c>
      <c r="D41" s="10" t="s">
        <v>259</v>
      </c>
      <c r="E41" s="11" t="s">
        <v>165</v>
      </c>
      <c r="F41" s="11" t="s">
        <v>260</v>
      </c>
      <c r="G41" s="11" t="s">
        <v>261</v>
      </c>
      <c r="H41" s="12" t="s">
        <v>262</v>
      </c>
      <c r="I41" s="11" t="s">
        <v>165</v>
      </c>
      <c r="J41" s="12" t="s">
        <v>30</v>
      </c>
      <c r="K41" s="12" t="s">
        <v>30</v>
      </c>
      <c r="L41" s="13"/>
      <c r="M41" s="13">
        <v>10710</v>
      </c>
      <c r="N41" s="13">
        <v>10000</v>
      </c>
      <c r="O41" s="13">
        <f t="shared" si="0"/>
        <v>-710</v>
      </c>
      <c r="P41" s="13">
        <v>10000</v>
      </c>
      <c r="Q41" s="13">
        <f t="shared" si="1"/>
        <v>-710</v>
      </c>
      <c r="R41" s="13">
        <v>0</v>
      </c>
      <c r="S41" s="11" t="s">
        <v>969</v>
      </c>
      <c r="T41" s="14">
        <v>46257</v>
      </c>
      <c r="U41" s="11" t="s">
        <v>970</v>
      </c>
      <c r="V41" s="12"/>
      <c r="W41" s="13"/>
      <c r="X41" s="11"/>
      <c r="Y41" s="11"/>
      <c r="Z41" s="11" t="s">
        <v>847</v>
      </c>
      <c r="AA41" s="15"/>
    </row>
    <row r="42" spans="1:27" ht="14.25" x14ac:dyDescent="0.25">
      <c r="A42" s="9" t="s">
        <v>21</v>
      </c>
      <c r="B42" s="10" t="s">
        <v>263</v>
      </c>
      <c r="C42" s="10" t="s">
        <v>264</v>
      </c>
      <c r="D42" s="10" t="s">
        <v>265</v>
      </c>
      <c r="E42" s="11" t="s">
        <v>41</v>
      </c>
      <c r="F42" s="11" t="s">
        <v>266</v>
      </c>
      <c r="G42" s="11" t="s">
        <v>267</v>
      </c>
      <c r="H42" s="12" t="s">
        <v>268</v>
      </c>
      <c r="I42" s="11" t="s">
        <v>45</v>
      </c>
      <c r="J42" s="12" t="s">
        <v>30</v>
      </c>
      <c r="K42" s="12" t="s">
        <v>30</v>
      </c>
      <c r="L42" s="13"/>
      <c r="M42" s="13">
        <v>8873</v>
      </c>
      <c r="N42" s="13">
        <v>9873</v>
      </c>
      <c r="O42" s="13">
        <f t="shared" si="0"/>
        <v>1000</v>
      </c>
      <c r="P42" s="13">
        <v>10000</v>
      </c>
      <c r="Q42" s="13">
        <f t="shared" si="1"/>
        <v>1127</v>
      </c>
      <c r="R42" s="13">
        <v>0</v>
      </c>
      <c r="S42" s="11" t="s">
        <v>969</v>
      </c>
      <c r="T42" s="14">
        <v>46257</v>
      </c>
      <c r="U42" s="11" t="s">
        <v>970</v>
      </c>
      <c r="V42" s="12"/>
      <c r="W42" s="13"/>
      <c r="X42" s="11"/>
      <c r="Y42" s="11"/>
      <c r="Z42" s="11" t="s">
        <v>847</v>
      </c>
      <c r="AA42" s="15"/>
    </row>
    <row r="43" spans="1:27" ht="14.25" x14ac:dyDescent="0.25">
      <c r="A43" s="9" t="s">
        <v>21</v>
      </c>
      <c r="B43" s="10" t="s">
        <v>269</v>
      </c>
      <c r="C43" s="10" t="s">
        <v>270</v>
      </c>
      <c r="D43" s="10" t="s">
        <v>271</v>
      </c>
      <c r="E43" s="11" t="s">
        <v>41</v>
      </c>
      <c r="F43" s="11" t="s">
        <v>260</v>
      </c>
      <c r="G43" s="11" t="s">
        <v>272</v>
      </c>
      <c r="H43" s="12" t="s">
        <v>273</v>
      </c>
      <c r="I43" s="11" t="s">
        <v>45</v>
      </c>
      <c r="J43" s="12" t="s">
        <v>30</v>
      </c>
      <c r="K43" s="12" t="s">
        <v>30</v>
      </c>
      <c r="L43" s="13"/>
      <c r="M43" s="13">
        <v>6427</v>
      </c>
      <c r="N43" s="13">
        <v>9600</v>
      </c>
      <c r="O43" s="13">
        <f t="shared" si="0"/>
        <v>3173</v>
      </c>
      <c r="P43" s="13">
        <v>10000</v>
      </c>
      <c r="Q43" s="13">
        <f t="shared" si="1"/>
        <v>3573</v>
      </c>
      <c r="R43" s="13">
        <v>0</v>
      </c>
      <c r="S43" s="11" t="s">
        <v>969</v>
      </c>
      <c r="T43" s="14">
        <v>46257</v>
      </c>
      <c r="U43" s="11" t="s">
        <v>970</v>
      </c>
      <c r="V43" s="12"/>
      <c r="W43" s="13"/>
      <c r="X43" s="11"/>
      <c r="Y43" s="11"/>
      <c r="Z43" s="11" t="s">
        <v>847</v>
      </c>
      <c r="AA43" s="15"/>
    </row>
    <row r="44" spans="1:27" ht="14.25" x14ac:dyDescent="0.25">
      <c r="A44" s="9" t="s">
        <v>21</v>
      </c>
      <c r="B44" s="10" t="s">
        <v>274</v>
      </c>
      <c r="C44" s="10" t="s">
        <v>275</v>
      </c>
      <c r="D44" s="10" t="s">
        <v>276</v>
      </c>
      <c r="E44" s="11" t="s">
        <v>41</v>
      </c>
      <c r="F44" s="11" t="s">
        <v>277</v>
      </c>
      <c r="G44" s="11" t="s">
        <v>278</v>
      </c>
      <c r="H44" s="12" t="s">
        <v>279</v>
      </c>
      <c r="I44" s="11" t="s">
        <v>280</v>
      </c>
      <c r="J44" s="12" t="s">
        <v>30</v>
      </c>
      <c r="K44" s="12" t="s">
        <v>30</v>
      </c>
      <c r="L44" s="13"/>
      <c r="M44" s="13">
        <v>12361</v>
      </c>
      <c r="N44" s="13">
        <f>M44</f>
        <v>12361</v>
      </c>
      <c r="O44" s="13">
        <f t="shared" si="0"/>
        <v>0</v>
      </c>
      <c r="P44" s="13">
        <v>10000</v>
      </c>
      <c r="Q44" s="13">
        <f t="shared" si="1"/>
        <v>-2361</v>
      </c>
      <c r="R44" s="13">
        <f>VLOOKUP(B:B,[1]Sheet1!$B$1:$I$13,8,0)</f>
        <v>2361</v>
      </c>
      <c r="S44" s="11" t="s">
        <v>969</v>
      </c>
      <c r="T44" s="14">
        <v>46257</v>
      </c>
      <c r="U44" s="11" t="s">
        <v>970</v>
      </c>
      <c r="V44" s="12"/>
      <c r="W44" s="13"/>
      <c r="X44" s="11"/>
      <c r="Y44" s="11"/>
      <c r="Z44" s="11" t="s">
        <v>847</v>
      </c>
      <c r="AA44" s="15"/>
    </row>
    <row r="45" spans="1:27" ht="14.25" x14ac:dyDescent="0.25">
      <c r="A45" s="9" t="s">
        <v>21</v>
      </c>
      <c r="B45" s="10" t="s">
        <v>281</v>
      </c>
      <c r="C45" s="10" t="s">
        <v>282</v>
      </c>
      <c r="D45" s="10" t="s">
        <v>283</v>
      </c>
      <c r="E45" s="11" t="s">
        <v>165</v>
      </c>
      <c r="F45" s="11" t="s">
        <v>284</v>
      </c>
      <c r="G45" s="11" t="s">
        <v>285</v>
      </c>
      <c r="H45" s="12" t="s">
        <v>132</v>
      </c>
      <c r="I45" s="11" t="s">
        <v>165</v>
      </c>
      <c r="J45" s="12" t="s">
        <v>30</v>
      </c>
      <c r="K45" s="12" t="s">
        <v>30</v>
      </c>
      <c r="L45" s="13"/>
      <c r="M45" s="13">
        <v>7139</v>
      </c>
      <c r="N45" s="13">
        <v>9400</v>
      </c>
      <c r="O45" s="13">
        <f t="shared" si="0"/>
        <v>2261</v>
      </c>
      <c r="P45" s="13">
        <v>10000</v>
      </c>
      <c r="Q45" s="13">
        <f t="shared" si="1"/>
        <v>2861</v>
      </c>
      <c r="R45" s="13">
        <v>0</v>
      </c>
      <c r="S45" s="11" t="s">
        <v>969</v>
      </c>
      <c r="T45" s="14">
        <v>46257</v>
      </c>
      <c r="U45" s="11" t="s">
        <v>970</v>
      </c>
      <c r="V45" s="12"/>
      <c r="W45" s="13"/>
      <c r="X45" s="11"/>
      <c r="Y45" s="11"/>
      <c r="Z45" s="11" t="s">
        <v>847</v>
      </c>
      <c r="AA45" s="15"/>
    </row>
    <row r="46" spans="1:27" ht="14.25" x14ac:dyDescent="0.25">
      <c r="A46" s="9" t="s">
        <v>21</v>
      </c>
      <c r="B46" s="10" t="s">
        <v>286</v>
      </c>
      <c r="C46" s="10" t="s">
        <v>287</v>
      </c>
      <c r="D46" s="10" t="s">
        <v>288</v>
      </c>
      <c r="E46" s="11" t="s">
        <v>56</v>
      </c>
      <c r="F46" s="11" t="s">
        <v>289</v>
      </c>
      <c r="G46" s="11" t="s">
        <v>290</v>
      </c>
      <c r="H46" s="12" t="s">
        <v>132</v>
      </c>
      <c r="I46" s="11" t="s">
        <v>291</v>
      </c>
      <c r="J46" s="12" t="s">
        <v>59</v>
      </c>
      <c r="K46" s="12" t="s">
        <v>52</v>
      </c>
      <c r="L46" s="13"/>
      <c r="M46" s="13">
        <v>10300</v>
      </c>
      <c r="N46" s="13">
        <v>10000</v>
      </c>
      <c r="O46" s="13">
        <f t="shared" si="0"/>
        <v>-300</v>
      </c>
      <c r="P46" s="13">
        <v>10000</v>
      </c>
      <c r="Q46" s="13">
        <f t="shared" si="1"/>
        <v>-300</v>
      </c>
      <c r="R46" s="13">
        <v>0</v>
      </c>
      <c r="S46" s="11" t="s">
        <v>969</v>
      </c>
      <c r="T46" s="14">
        <v>46255</v>
      </c>
      <c r="U46" s="11" t="s">
        <v>970</v>
      </c>
      <c r="V46" s="12"/>
      <c r="W46" s="13"/>
      <c r="X46" s="11"/>
      <c r="Y46" s="11"/>
      <c r="Z46" s="11" t="s">
        <v>847</v>
      </c>
      <c r="AA46" s="15"/>
    </row>
    <row r="47" spans="1:27" ht="28.5" x14ac:dyDescent="0.25">
      <c r="A47" s="9" t="s">
        <v>21</v>
      </c>
      <c r="B47" s="10" t="s">
        <v>292</v>
      </c>
      <c r="C47" s="10" t="s">
        <v>293</v>
      </c>
      <c r="D47" s="10" t="s">
        <v>294</v>
      </c>
      <c r="E47" s="11" t="s">
        <v>41</v>
      </c>
      <c r="F47" s="11" t="s">
        <v>295</v>
      </c>
      <c r="G47" s="11" t="s">
        <v>296</v>
      </c>
      <c r="H47" s="12" t="s">
        <v>297</v>
      </c>
      <c r="I47" s="11" t="s">
        <v>29</v>
      </c>
      <c r="J47" s="12" t="s">
        <v>212</v>
      </c>
      <c r="K47" s="12" t="s">
        <v>52</v>
      </c>
      <c r="L47" s="13"/>
      <c r="M47" s="13">
        <v>8499</v>
      </c>
      <c r="N47" s="13">
        <v>9499</v>
      </c>
      <c r="O47" s="13">
        <f t="shared" si="0"/>
        <v>1000</v>
      </c>
      <c r="P47" s="13">
        <v>10000</v>
      </c>
      <c r="Q47" s="13">
        <f t="shared" si="1"/>
        <v>1501</v>
      </c>
      <c r="R47" s="13">
        <v>0</v>
      </c>
      <c r="S47" s="11" t="s">
        <v>969</v>
      </c>
      <c r="T47" s="14">
        <v>46257</v>
      </c>
      <c r="U47" s="11" t="s">
        <v>970</v>
      </c>
      <c r="V47" s="12"/>
      <c r="W47" s="13"/>
      <c r="X47" s="11"/>
      <c r="Y47" s="11"/>
      <c r="Z47" s="11" t="s">
        <v>847</v>
      </c>
      <c r="AA47" s="15"/>
    </row>
    <row r="48" spans="1:27" ht="14.25" x14ac:dyDescent="0.25">
      <c r="A48" s="9" t="s">
        <v>21</v>
      </c>
      <c r="B48" s="10" t="s">
        <v>298</v>
      </c>
      <c r="C48" s="10" t="s">
        <v>299</v>
      </c>
      <c r="D48" s="10" t="s">
        <v>300</v>
      </c>
      <c r="E48" s="11" t="s">
        <v>41</v>
      </c>
      <c r="F48" s="11" t="s">
        <v>301</v>
      </c>
      <c r="G48" s="11" t="s">
        <v>302</v>
      </c>
      <c r="H48" s="12" t="s">
        <v>44</v>
      </c>
      <c r="I48" s="11" t="s">
        <v>45</v>
      </c>
      <c r="J48" s="12" t="s">
        <v>46</v>
      </c>
      <c r="K48" s="12" t="s">
        <v>46</v>
      </c>
      <c r="L48" s="13"/>
      <c r="M48" s="13">
        <v>4930</v>
      </c>
      <c r="N48" s="13">
        <v>10000</v>
      </c>
      <c r="O48" s="13">
        <f t="shared" si="0"/>
        <v>5070</v>
      </c>
      <c r="P48" s="13">
        <v>10000</v>
      </c>
      <c r="Q48" s="13">
        <f t="shared" si="1"/>
        <v>5070</v>
      </c>
      <c r="R48" s="13">
        <v>0</v>
      </c>
      <c r="S48" s="11" t="s">
        <v>969</v>
      </c>
      <c r="T48" s="14">
        <v>46259</v>
      </c>
      <c r="U48" s="11" t="s">
        <v>970</v>
      </c>
      <c r="V48" s="12"/>
      <c r="W48" s="13"/>
      <c r="X48" s="11"/>
      <c r="Y48" s="11"/>
      <c r="Z48" s="11" t="s">
        <v>847</v>
      </c>
      <c r="AA48" s="15"/>
    </row>
    <row r="49" spans="1:27" ht="14.25" x14ac:dyDescent="0.25">
      <c r="A49" s="9" t="s">
        <v>21</v>
      </c>
      <c r="B49" s="10" t="s">
        <v>303</v>
      </c>
      <c r="C49" s="10" t="s">
        <v>304</v>
      </c>
      <c r="D49" s="10" t="s">
        <v>305</v>
      </c>
      <c r="E49" s="11" t="s">
        <v>41</v>
      </c>
      <c r="F49" s="11" t="s">
        <v>306</v>
      </c>
      <c r="G49" s="11" t="s">
        <v>307</v>
      </c>
      <c r="H49" s="12" t="s">
        <v>308</v>
      </c>
      <c r="I49" s="11" t="s">
        <v>29</v>
      </c>
      <c r="J49" s="12" t="s">
        <v>46</v>
      </c>
      <c r="K49" s="12" t="s">
        <v>46</v>
      </c>
      <c r="L49" s="13"/>
      <c r="M49" s="13">
        <v>3000</v>
      </c>
      <c r="N49" s="13">
        <v>6450</v>
      </c>
      <c r="O49" s="13">
        <f t="shared" si="0"/>
        <v>3450</v>
      </c>
      <c r="P49" s="13">
        <v>10000</v>
      </c>
      <c r="Q49" s="13">
        <f t="shared" si="1"/>
        <v>7000</v>
      </c>
      <c r="R49" s="13">
        <v>0</v>
      </c>
      <c r="S49" s="11" t="s">
        <v>969</v>
      </c>
      <c r="T49" s="14">
        <v>46259</v>
      </c>
      <c r="U49" s="11" t="s">
        <v>970</v>
      </c>
      <c r="V49" s="12"/>
      <c r="W49" s="13"/>
      <c r="X49" s="11"/>
      <c r="Y49" s="11"/>
      <c r="Z49" s="11" t="s">
        <v>847</v>
      </c>
      <c r="AA49" s="15"/>
    </row>
    <row r="50" spans="1:27" ht="28.5" x14ac:dyDescent="0.25">
      <c r="A50" s="9" t="s">
        <v>21</v>
      </c>
      <c r="B50" s="10" t="s">
        <v>309</v>
      </c>
      <c r="C50" s="10" t="s">
        <v>310</v>
      </c>
      <c r="D50" s="10" t="s">
        <v>311</v>
      </c>
      <c r="E50" s="11" t="s">
        <v>56</v>
      </c>
      <c r="F50" s="11" t="s">
        <v>312</v>
      </c>
      <c r="G50" s="11" t="s">
        <v>313</v>
      </c>
      <c r="H50" s="12" t="s">
        <v>308</v>
      </c>
      <c r="I50" s="11" t="s">
        <v>56</v>
      </c>
      <c r="J50" s="12" t="s">
        <v>46</v>
      </c>
      <c r="K50" s="12" t="s">
        <v>46</v>
      </c>
      <c r="L50" s="13"/>
      <c r="M50" s="13">
        <v>9200</v>
      </c>
      <c r="N50" s="13">
        <v>9200</v>
      </c>
      <c r="O50" s="13">
        <f t="shared" si="0"/>
        <v>0</v>
      </c>
      <c r="P50" s="13">
        <v>10000</v>
      </c>
      <c r="Q50" s="13">
        <f t="shared" si="1"/>
        <v>800</v>
      </c>
      <c r="R50" s="13">
        <v>0</v>
      </c>
      <c r="S50" s="11" t="s">
        <v>969</v>
      </c>
      <c r="T50" s="14">
        <v>46260</v>
      </c>
      <c r="U50" s="11" t="s">
        <v>970</v>
      </c>
      <c r="V50" s="12"/>
      <c r="W50" s="13"/>
      <c r="X50" s="11"/>
      <c r="Y50" s="11"/>
      <c r="Z50" s="11" t="s">
        <v>847</v>
      </c>
      <c r="AA50" s="15"/>
    </row>
    <row r="51" spans="1:27" ht="28.5" x14ac:dyDescent="0.25">
      <c r="A51" s="9" t="s">
        <v>21</v>
      </c>
      <c r="B51" s="10" t="s">
        <v>314</v>
      </c>
      <c r="C51" s="10" t="s">
        <v>315</v>
      </c>
      <c r="D51" s="10" t="s">
        <v>316</v>
      </c>
      <c r="E51" s="11" t="s">
        <v>41</v>
      </c>
      <c r="F51" s="11" t="s">
        <v>63</v>
      </c>
      <c r="G51" s="11" t="s">
        <v>317</v>
      </c>
      <c r="H51" s="12" t="s">
        <v>318</v>
      </c>
      <c r="I51" s="11" t="s">
        <v>45</v>
      </c>
      <c r="J51" s="12" t="s">
        <v>46</v>
      </c>
      <c r="K51" s="12" t="s">
        <v>46</v>
      </c>
      <c r="L51" s="13"/>
      <c r="M51" s="13">
        <v>10620</v>
      </c>
      <c r="N51" s="13">
        <v>10000</v>
      </c>
      <c r="O51" s="13">
        <f t="shared" si="0"/>
        <v>-620</v>
      </c>
      <c r="P51" s="13">
        <v>10000</v>
      </c>
      <c r="Q51" s="13">
        <f t="shared" si="1"/>
        <v>-620</v>
      </c>
      <c r="R51" s="13">
        <v>0</v>
      </c>
      <c r="S51" s="11" t="s">
        <v>969</v>
      </c>
      <c r="T51" s="14">
        <v>46264</v>
      </c>
      <c r="U51" s="11" t="s">
        <v>970</v>
      </c>
      <c r="V51" s="12"/>
      <c r="W51" s="13"/>
      <c r="X51" s="11"/>
      <c r="Y51" s="11"/>
      <c r="Z51" s="11" t="s">
        <v>847</v>
      </c>
      <c r="AA51" s="15"/>
    </row>
    <row r="52" spans="1:27" ht="14.25" x14ac:dyDescent="0.25">
      <c r="A52" s="9" t="s">
        <v>21</v>
      </c>
      <c r="B52" s="10" t="s">
        <v>319</v>
      </c>
      <c r="C52" s="10" t="s">
        <v>320</v>
      </c>
      <c r="D52" s="10" t="s">
        <v>321</v>
      </c>
      <c r="E52" s="11" t="s">
        <v>34</v>
      </c>
      <c r="F52" s="11" t="s">
        <v>260</v>
      </c>
      <c r="G52" s="11" t="s">
        <v>322</v>
      </c>
      <c r="H52" s="12" t="s">
        <v>37</v>
      </c>
      <c r="I52" s="11" t="s">
        <v>34</v>
      </c>
      <c r="J52" s="12" t="s">
        <v>30</v>
      </c>
      <c r="K52" s="12" t="s">
        <v>52</v>
      </c>
      <c r="L52" s="13"/>
      <c r="M52" s="13">
        <v>10000</v>
      </c>
      <c r="N52" s="13">
        <v>10000</v>
      </c>
      <c r="O52" s="13">
        <f t="shared" si="0"/>
        <v>0</v>
      </c>
      <c r="P52" s="13">
        <v>10000</v>
      </c>
      <c r="Q52" s="13">
        <f t="shared" si="1"/>
        <v>0</v>
      </c>
      <c r="R52" s="13">
        <v>0</v>
      </c>
      <c r="S52" s="11" t="s">
        <v>969</v>
      </c>
      <c r="T52" s="14">
        <v>46258</v>
      </c>
      <c r="U52" s="11" t="s">
        <v>970</v>
      </c>
      <c r="V52" s="12"/>
      <c r="W52" s="13"/>
      <c r="X52" s="11"/>
      <c r="Y52" s="11"/>
      <c r="Z52" s="11" t="s">
        <v>847</v>
      </c>
      <c r="AA52" s="15"/>
    </row>
    <row r="53" spans="1:27" ht="28.5" x14ac:dyDescent="0.25">
      <c r="A53" s="9" t="s">
        <v>21</v>
      </c>
      <c r="B53" s="10" t="s">
        <v>323</v>
      </c>
      <c r="C53" s="10" t="s">
        <v>324</v>
      </c>
      <c r="D53" s="10" t="s">
        <v>325</v>
      </c>
      <c r="E53" s="11" t="s">
        <v>34</v>
      </c>
      <c r="F53" s="11" t="s">
        <v>326</v>
      </c>
      <c r="G53" s="11" t="s">
        <v>327</v>
      </c>
      <c r="H53" s="12" t="s">
        <v>37</v>
      </c>
      <c r="I53" s="11" t="s">
        <v>34</v>
      </c>
      <c r="J53" s="12" t="s">
        <v>46</v>
      </c>
      <c r="K53" s="12" t="s">
        <v>52</v>
      </c>
      <c r="L53" s="13"/>
      <c r="M53" s="13">
        <v>10000</v>
      </c>
      <c r="N53" s="13">
        <v>10000</v>
      </c>
      <c r="O53" s="13">
        <f t="shared" si="0"/>
        <v>0</v>
      </c>
      <c r="P53" s="13">
        <v>10000</v>
      </c>
      <c r="Q53" s="13">
        <f t="shared" si="1"/>
        <v>0</v>
      </c>
      <c r="R53" s="13">
        <v>0</v>
      </c>
      <c r="S53" s="11" t="s">
        <v>969</v>
      </c>
      <c r="T53" s="14">
        <v>46258</v>
      </c>
      <c r="U53" s="11" t="s">
        <v>970</v>
      </c>
      <c r="V53" s="12"/>
      <c r="W53" s="13"/>
      <c r="X53" s="11"/>
      <c r="Y53" s="11"/>
      <c r="Z53" s="11" t="s">
        <v>847</v>
      </c>
      <c r="AA53" s="15"/>
    </row>
    <row r="54" spans="1:27" ht="14.25" x14ac:dyDescent="0.25">
      <c r="A54" s="9" t="s">
        <v>21</v>
      </c>
      <c r="B54" s="10" t="s">
        <v>328</v>
      </c>
      <c r="C54" s="10" t="s">
        <v>329</v>
      </c>
      <c r="D54" s="10" t="s">
        <v>330</v>
      </c>
      <c r="E54" s="11" t="s">
        <v>34</v>
      </c>
      <c r="F54" s="11" t="s">
        <v>331</v>
      </c>
      <c r="G54" s="11" t="s">
        <v>332</v>
      </c>
      <c r="H54" s="12" t="s">
        <v>37</v>
      </c>
      <c r="I54" s="11" t="s">
        <v>34</v>
      </c>
      <c r="J54" s="12" t="s">
        <v>30</v>
      </c>
      <c r="K54" s="12" t="s">
        <v>52</v>
      </c>
      <c r="L54" s="13"/>
      <c r="M54" s="13">
        <v>10800</v>
      </c>
      <c r="N54" s="13">
        <v>10000</v>
      </c>
      <c r="O54" s="13">
        <f t="shared" si="0"/>
        <v>-800</v>
      </c>
      <c r="P54" s="13">
        <v>10000</v>
      </c>
      <c r="Q54" s="13">
        <f t="shared" si="1"/>
        <v>-800</v>
      </c>
      <c r="R54" s="13">
        <v>0</v>
      </c>
      <c r="S54" s="11" t="s">
        <v>969</v>
      </c>
      <c r="T54" s="14">
        <v>46257</v>
      </c>
      <c r="U54" s="11" t="s">
        <v>970</v>
      </c>
      <c r="V54" s="12"/>
      <c r="W54" s="13"/>
      <c r="X54" s="11"/>
      <c r="Y54" s="11"/>
      <c r="Z54" s="11" t="s">
        <v>847</v>
      </c>
      <c r="AA54" s="15"/>
    </row>
    <row r="55" spans="1:27" ht="14.25" x14ac:dyDescent="0.25">
      <c r="A55" s="9" t="s">
        <v>21</v>
      </c>
      <c r="B55" s="10" t="s">
        <v>333</v>
      </c>
      <c r="C55" s="10" t="s">
        <v>334</v>
      </c>
      <c r="D55" s="10" t="s">
        <v>335</v>
      </c>
      <c r="E55" s="11" t="s">
        <v>129</v>
      </c>
      <c r="F55" s="11" t="s">
        <v>336</v>
      </c>
      <c r="G55" s="11" t="s">
        <v>337</v>
      </c>
      <c r="H55" s="12" t="s">
        <v>132</v>
      </c>
      <c r="I55" s="11" t="s">
        <v>133</v>
      </c>
      <c r="J55" s="12" t="s">
        <v>30</v>
      </c>
      <c r="K55" s="12" t="s">
        <v>52</v>
      </c>
      <c r="L55" s="13"/>
      <c r="M55" s="13">
        <v>10000</v>
      </c>
      <c r="N55" s="13">
        <v>10000</v>
      </c>
      <c r="O55" s="13">
        <f t="shared" si="0"/>
        <v>0</v>
      </c>
      <c r="P55" s="13">
        <v>10000</v>
      </c>
      <c r="Q55" s="13">
        <f t="shared" si="1"/>
        <v>0</v>
      </c>
      <c r="R55" s="13">
        <v>0</v>
      </c>
      <c r="S55" s="11" t="s">
        <v>969</v>
      </c>
      <c r="T55" s="14">
        <v>46256</v>
      </c>
      <c r="U55" s="11" t="s">
        <v>970</v>
      </c>
      <c r="V55" s="12"/>
      <c r="W55" s="13"/>
      <c r="X55" s="11"/>
      <c r="Y55" s="11"/>
      <c r="Z55" s="11" t="s">
        <v>847</v>
      </c>
      <c r="AA55" s="15"/>
    </row>
    <row r="56" spans="1:27" ht="14.25" x14ac:dyDescent="0.25">
      <c r="A56" s="9" t="s">
        <v>21</v>
      </c>
      <c r="B56" s="10" t="s">
        <v>338</v>
      </c>
      <c r="C56" s="10" t="s">
        <v>339</v>
      </c>
      <c r="D56" s="10" t="s">
        <v>340</v>
      </c>
      <c r="E56" s="11" t="s">
        <v>129</v>
      </c>
      <c r="F56" s="11" t="s">
        <v>341</v>
      </c>
      <c r="G56" s="11" t="s">
        <v>337</v>
      </c>
      <c r="H56" s="12" t="s">
        <v>132</v>
      </c>
      <c r="I56" s="11" t="s">
        <v>133</v>
      </c>
      <c r="J56" s="12" t="s">
        <v>30</v>
      </c>
      <c r="K56" s="12" t="s">
        <v>52</v>
      </c>
      <c r="L56" s="13"/>
      <c r="M56" s="13">
        <v>10000</v>
      </c>
      <c r="N56" s="13">
        <v>10000</v>
      </c>
      <c r="O56" s="13">
        <f t="shared" si="0"/>
        <v>0</v>
      </c>
      <c r="P56" s="13">
        <v>10000</v>
      </c>
      <c r="Q56" s="13">
        <f t="shared" si="1"/>
        <v>0</v>
      </c>
      <c r="R56" s="13">
        <v>0</v>
      </c>
      <c r="S56" s="11" t="s">
        <v>969</v>
      </c>
      <c r="T56" s="14">
        <v>46257</v>
      </c>
      <c r="U56" s="11" t="s">
        <v>970</v>
      </c>
      <c r="V56" s="12"/>
      <c r="W56" s="13"/>
      <c r="X56" s="11"/>
      <c r="Y56" s="11"/>
      <c r="Z56" s="11" t="s">
        <v>847</v>
      </c>
      <c r="AA56" s="15"/>
    </row>
    <row r="57" spans="1:27" ht="14.25" x14ac:dyDescent="0.25">
      <c r="A57" s="9" t="s">
        <v>21</v>
      </c>
      <c r="B57" s="10" t="s">
        <v>342</v>
      </c>
      <c r="C57" s="10" t="s">
        <v>343</v>
      </c>
      <c r="D57" s="10" t="s">
        <v>344</v>
      </c>
      <c r="E57" s="11" t="s">
        <v>34</v>
      </c>
      <c r="F57" s="11" t="s">
        <v>345</v>
      </c>
      <c r="G57" s="11" t="s">
        <v>346</v>
      </c>
      <c r="H57" s="12" t="s">
        <v>37</v>
      </c>
      <c r="I57" s="11" t="s">
        <v>34</v>
      </c>
      <c r="J57" s="12" t="s">
        <v>46</v>
      </c>
      <c r="K57" s="12" t="s">
        <v>52</v>
      </c>
      <c r="L57" s="13"/>
      <c r="M57" s="13">
        <v>10000</v>
      </c>
      <c r="N57" s="13">
        <v>10000</v>
      </c>
      <c r="O57" s="13">
        <f t="shared" si="0"/>
        <v>0</v>
      </c>
      <c r="P57" s="13">
        <v>10000</v>
      </c>
      <c r="Q57" s="13">
        <f t="shared" si="1"/>
        <v>0</v>
      </c>
      <c r="R57" s="13">
        <v>0</v>
      </c>
      <c r="S57" s="11" t="s">
        <v>969</v>
      </c>
      <c r="T57" s="14">
        <v>46258</v>
      </c>
      <c r="U57" s="11" t="s">
        <v>970</v>
      </c>
      <c r="V57" s="12"/>
      <c r="W57" s="13"/>
      <c r="X57" s="11"/>
      <c r="Y57" s="11"/>
      <c r="Z57" s="11" t="s">
        <v>847</v>
      </c>
      <c r="AA57" s="15"/>
    </row>
    <row r="58" spans="1:27" ht="14.25" x14ac:dyDescent="0.25">
      <c r="A58" s="9" t="s">
        <v>21</v>
      </c>
      <c r="B58" s="10" t="s">
        <v>347</v>
      </c>
      <c r="C58" s="10" t="s">
        <v>348</v>
      </c>
      <c r="D58" s="10" t="s">
        <v>349</v>
      </c>
      <c r="E58" s="11" t="s">
        <v>165</v>
      </c>
      <c r="F58" s="11" t="s">
        <v>350</v>
      </c>
      <c r="G58" s="11" t="s">
        <v>351</v>
      </c>
      <c r="H58" s="12" t="s">
        <v>168</v>
      </c>
      <c r="I58" s="11" t="s">
        <v>165</v>
      </c>
      <c r="J58" s="12" t="s">
        <v>46</v>
      </c>
      <c r="K58" s="12" t="s">
        <v>46</v>
      </c>
      <c r="L58" s="13"/>
      <c r="M58" s="13">
        <v>9857</v>
      </c>
      <c r="N58" s="13">
        <v>9857</v>
      </c>
      <c r="O58" s="13">
        <f t="shared" si="0"/>
        <v>0</v>
      </c>
      <c r="P58" s="13">
        <v>10000</v>
      </c>
      <c r="Q58" s="13">
        <f t="shared" si="1"/>
        <v>143</v>
      </c>
      <c r="R58" s="13">
        <v>0</v>
      </c>
      <c r="S58" s="11" t="s">
        <v>969</v>
      </c>
      <c r="T58" s="14">
        <v>46262</v>
      </c>
      <c r="U58" s="11" t="s">
        <v>970</v>
      </c>
      <c r="V58" s="12"/>
      <c r="W58" s="13"/>
      <c r="X58" s="11"/>
      <c r="Y58" s="11"/>
      <c r="Z58" s="11" t="s">
        <v>847</v>
      </c>
      <c r="AA58" s="15"/>
    </row>
    <row r="59" spans="1:27" ht="14.25" x14ac:dyDescent="0.25">
      <c r="A59" s="9" t="s">
        <v>21</v>
      </c>
      <c r="B59" s="10" t="s">
        <v>352</v>
      </c>
      <c r="C59" s="10" t="s">
        <v>353</v>
      </c>
      <c r="D59" s="10" t="s">
        <v>354</v>
      </c>
      <c r="E59" s="11" t="s">
        <v>34</v>
      </c>
      <c r="F59" s="11" t="s">
        <v>355</v>
      </c>
      <c r="G59" s="11" t="s">
        <v>356</v>
      </c>
      <c r="H59" s="12" t="s">
        <v>37</v>
      </c>
      <c r="I59" s="11" t="s">
        <v>34</v>
      </c>
      <c r="J59" s="12" t="s">
        <v>30</v>
      </c>
      <c r="K59" s="12" t="s">
        <v>52</v>
      </c>
      <c r="L59" s="13"/>
      <c r="M59" s="13">
        <v>12000</v>
      </c>
      <c r="N59" s="13">
        <f>M59</f>
        <v>12000</v>
      </c>
      <c r="O59" s="13">
        <f t="shared" si="0"/>
        <v>0</v>
      </c>
      <c r="P59" s="13">
        <v>10000</v>
      </c>
      <c r="Q59" s="13">
        <f t="shared" si="1"/>
        <v>-2000</v>
      </c>
      <c r="R59" s="13">
        <f>VLOOKUP(B:B,[1]Sheet1!$B$1:$I$13,8,0)</f>
        <v>2000</v>
      </c>
      <c r="S59" s="11" t="s">
        <v>969</v>
      </c>
      <c r="T59" s="14">
        <v>46259</v>
      </c>
      <c r="U59" s="11" t="s">
        <v>970</v>
      </c>
      <c r="V59" s="12"/>
      <c r="W59" s="13"/>
      <c r="X59" s="11"/>
      <c r="Y59" s="11"/>
      <c r="Z59" s="11" t="s">
        <v>847</v>
      </c>
      <c r="AA59" s="15"/>
    </row>
    <row r="60" spans="1:27" ht="14.25" x14ac:dyDescent="0.25">
      <c r="A60" s="9" t="s">
        <v>21</v>
      </c>
      <c r="B60" s="10" t="s">
        <v>357</v>
      </c>
      <c r="C60" s="10" t="s">
        <v>358</v>
      </c>
      <c r="D60" s="10" t="s">
        <v>359</v>
      </c>
      <c r="E60" s="11" t="s">
        <v>41</v>
      </c>
      <c r="F60" s="11" t="s">
        <v>360</v>
      </c>
      <c r="G60" s="11" t="s">
        <v>361</v>
      </c>
      <c r="H60" s="12" t="s">
        <v>223</v>
      </c>
      <c r="I60" s="11" t="s">
        <v>45</v>
      </c>
      <c r="J60" s="12" t="s">
        <v>30</v>
      </c>
      <c r="K60" s="12" t="s">
        <v>30</v>
      </c>
      <c r="L60" s="13"/>
      <c r="M60" s="13">
        <v>10098</v>
      </c>
      <c r="N60" s="13">
        <v>10000</v>
      </c>
      <c r="O60" s="13">
        <f t="shared" si="0"/>
        <v>-98</v>
      </c>
      <c r="P60" s="13">
        <v>10000</v>
      </c>
      <c r="Q60" s="13">
        <f t="shared" si="1"/>
        <v>-98</v>
      </c>
      <c r="R60" s="13">
        <v>0</v>
      </c>
      <c r="S60" s="11" t="s">
        <v>969</v>
      </c>
      <c r="T60" s="14">
        <v>46259</v>
      </c>
      <c r="U60" s="11" t="s">
        <v>970</v>
      </c>
      <c r="V60" s="12"/>
      <c r="W60" s="13"/>
      <c r="X60" s="11"/>
      <c r="Y60" s="11"/>
      <c r="Z60" s="11" t="s">
        <v>847</v>
      </c>
      <c r="AA60" s="15"/>
    </row>
    <row r="61" spans="1:27" ht="14.25" x14ac:dyDescent="0.25">
      <c r="A61" s="9" t="s">
        <v>21</v>
      </c>
      <c r="B61" s="10" t="s">
        <v>362</v>
      </c>
      <c r="C61" s="10" t="s">
        <v>363</v>
      </c>
      <c r="D61" s="10" t="s">
        <v>364</v>
      </c>
      <c r="E61" s="11" t="s">
        <v>41</v>
      </c>
      <c r="F61" s="11" t="s">
        <v>365</v>
      </c>
      <c r="G61" s="11" t="s">
        <v>366</v>
      </c>
      <c r="H61" s="12" t="s">
        <v>367</v>
      </c>
      <c r="I61" s="11" t="s">
        <v>29</v>
      </c>
      <c r="J61" s="12" t="s">
        <v>30</v>
      </c>
      <c r="K61" s="12" t="s">
        <v>30</v>
      </c>
      <c r="L61" s="13"/>
      <c r="M61" s="13">
        <v>4785</v>
      </c>
      <c r="N61" s="13">
        <v>7785</v>
      </c>
      <c r="O61" s="13">
        <f t="shared" si="0"/>
        <v>3000</v>
      </c>
      <c r="P61" s="13">
        <v>10000</v>
      </c>
      <c r="Q61" s="13">
        <f t="shared" si="1"/>
        <v>5215</v>
      </c>
      <c r="R61" s="13">
        <v>0</v>
      </c>
      <c r="S61" s="11" t="s">
        <v>969</v>
      </c>
      <c r="T61" s="14">
        <v>46259</v>
      </c>
      <c r="U61" s="11" t="s">
        <v>970</v>
      </c>
      <c r="V61" s="12"/>
      <c r="W61" s="13"/>
      <c r="X61" s="11"/>
      <c r="Y61" s="11"/>
      <c r="Z61" s="11" t="s">
        <v>847</v>
      </c>
      <c r="AA61" s="15"/>
    </row>
    <row r="62" spans="1:27" ht="28.5" x14ac:dyDescent="0.25">
      <c r="A62" s="9" t="s">
        <v>21</v>
      </c>
      <c r="B62" s="10" t="s">
        <v>368</v>
      </c>
      <c r="C62" s="10" t="s">
        <v>369</v>
      </c>
      <c r="D62" s="10" t="s">
        <v>370</v>
      </c>
      <c r="E62" s="11" t="s">
        <v>41</v>
      </c>
      <c r="F62" s="11" t="s">
        <v>371</v>
      </c>
      <c r="G62" s="11" t="s">
        <v>372</v>
      </c>
      <c r="H62" s="12" t="s">
        <v>273</v>
      </c>
      <c r="I62" s="11" t="s">
        <v>45</v>
      </c>
      <c r="J62" s="12" t="s">
        <v>30</v>
      </c>
      <c r="K62" s="12" t="s">
        <v>30</v>
      </c>
      <c r="L62" s="13"/>
      <c r="M62" s="13">
        <v>8850</v>
      </c>
      <c r="N62" s="13">
        <v>9850</v>
      </c>
      <c r="O62" s="13">
        <f t="shared" si="0"/>
        <v>1000</v>
      </c>
      <c r="P62" s="13">
        <v>10000</v>
      </c>
      <c r="Q62" s="13">
        <f t="shared" si="1"/>
        <v>1150</v>
      </c>
      <c r="R62" s="13">
        <v>0</v>
      </c>
      <c r="S62" s="11" t="s">
        <v>969</v>
      </c>
      <c r="T62" s="14">
        <v>46259</v>
      </c>
      <c r="U62" s="11" t="s">
        <v>970</v>
      </c>
      <c r="V62" s="12"/>
      <c r="W62" s="13"/>
      <c r="X62" s="11"/>
      <c r="Y62" s="11"/>
      <c r="Z62" s="11" t="s">
        <v>847</v>
      </c>
      <c r="AA62" s="15"/>
    </row>
    <row r="63" spans="1:27" ht="14.25" x14ac:dyDescent="0.25">
      <c r="A63" s="9" t="s">
        <v>21</v>
      </c>
      <c r="B63" s="10" t="s">
        <v>373</v>
      </c>
      <c r="C63" s="10" t="s">
        <v>374</v>
      </c>
      <c r="D63" s="10" t="s">
        <v>375</v>
      </c>
      <c r="E63" s="11" t="s">
        <v>41</v>
      </c>
      <c r="F63" s="11" t="s">
        <v>376</v>
      </c>
      <c r="G63" s="11" t="s">
        <v>377</v>
      </c>
      <c r="H63" s="12" t="s">
        <v>118</v>
      </c>
      <c r="I63" s="11" t="s">
        <v>29</v>
      </c>
      <c r="J63" s="12" t="s">
        <v>30</v>
      </c>
      <c r="K63" s="12" t="s">
        <v>30</v>
      </c>
      <c r="L63" s="13"/>
      <c r="M63" s="13">
        <v>3356</v>
      </c>
      <c r="N63" s="13">
        <v>8356</v>
      </c>
      <c r="O63" s="13">
        <f t="shared" si="0"/>
        <v>5000</v>
      </c>
      <c r="P63" s="13">
        <v>10000</v>
      </c>
      <c r="Q63" s="13">
        <f t="shared" si="1"/>
        <v>6644</v>
      </c>
      <c r="R63" s="13">
        <v>0</v>
      </c>
      <c r="S63" s="11" t="s">
        <v>969</v>
      </c>
      <c r="T63" s="14">
        <v>46259</v>
      </c>
      <c r="U63" s="11" t="s">
        <v>970</v>
      </c>
      <c r="V63" s="12"/>
      <c r="W63" s="13"/>
      <c r="X63" s="11"/>
      <c r="Y63" s="11"/>
      <c r="Z63" s="11" t="s">
        <v>847</v>
      </c>
      <c r="AA63" s="15"/>
    </row>
    <row r="64" spans="1:27" ht="14.25" x14ac:dyDescent="0.25">
      <c r="A64" s="9" t="s">
        <v>21</v>
      </c>
      <c r="B64" s="10" t="s">
        <v>378</v>
      </c>
      <c r="C64" s="10" t="s">
        <v>379</v>
      </c>
      <c r="D64" s="10" t="s">
        <v>380</v>
      </c>
      <c r="E64" s="11" t="s">
        <v>41</v>
      </c>
      <c r="F64" s="11" t="s">
        <v>381</v>
      </c>
      <c r="G64" s="11" t="s">
        <v>382</v>
      </c>
      <c r="H64" s="12" t="s">
        <v>383</v>
      </c>
      <c r="I64" s="11" t="s">
        <v>45</v>
      </c>
      <c r="J64" s="12" t="s">
        <v>59</v>
      </c>
      <c r="K64" s="12" t="s">
        <v>52</v>
      </c>
      <c r="L64" s="13"/>
      <c r="M64" s="13">
        <v>3183</v>
      </c>
      <c r="N64" s="13">
        <v>6183</v>
      </c>
      <c r="O64" s="13">
        <f t="shared" si="0"/>
        <v>3000</v>
      </c>
      <c r="P64" s="13">
        <v>10000</v>
      </c>
      <c r="Q64" s="13">
        <f t="shared" si="1"/>
        <v>6817</v>
      </c>
      <c r="R64" s="13">
        <v>0</v>
      </c>
      <c r="S64" s="11" t="s">
        <v>969</v>
      </c>
      <c r="T64" s="14">
        <v>46259</v>
      </c>
      <c r="U64" s="11" t="s">
        <v>970</v>
      </c>
      <c r="V64" s="12"/>
      <c r="W64" s="13"/>
      <c r="X64" s="11"/>
      <c r="Y64" s="11"/>
      <c r="Z64" s="11" t="s">
        <v>847</v>
      </c>
      <c r="AA64" s="15"/>
    </row>
    <row r="65" spans="1:27" ht="28.5" x14ac:dyDescent="0.25">
      <c r="A65" s="9" t="s">
        <v>21</v>
      </c>
      <c r="B65" s="10" t="s">
        <v>384</v>
      </c>
      <c r="C65" s="10" t="s">
        <v>385</v>
      </c>
      <c r="D65" s="10" t="s">
        <v>386</v>
      </c>
      <c r="E65" s="11" t="s">
        <v>41</v>
      </c>
      <c r="F65" s="11" t="s">
        <v>387</v>
      </c>
      <c r="G65" s="11" t="s">
        <v>388</v>
      </c>
      <c r="H65" s="12" t="s">
        <v>389</v>
      </c>
      <c r="I65" s="11" t="s">
        <v>29</v>
      </c>
      <c r="J65" s="12" t="s">
        <v>59</v>
      </c>
      <c r="K65" s="12" t="s">
        <v>52</v>
      </c>
      <c r="L65" s="13"/>
      <c r="M65" s="13">
        <f>3370+466</f>
        <v>3836</v>
      </c>
      <c r="N65" s="13">
        <v>6836</v>
      </c>
      <c r="O65" s="13">
        <f t="shared" si="0"/>
        <v>3000</v>
      </c>
      <c r="P65" s="13">
        <v>10000</v>
      </c>
      <c r="Q65" s="13">
        <f t="shared" si="1"/>
        <v>6164</v>
      </c>
      <c r="R65" s="13">
        <v>0</v>
      </c>
      <c r="S65" s="11" t="s">
        <v>969</v>
      </c>
      <c r="T65" s="14">
        <v>46259</v>
      </c>
      <c r="U65" s="11" t="s">
        <v>970</v>
      </c>
      <c r="V65" s="12"/>
      <c r="W65" s="13"/>
      <c r="X65" s="11"/>
      <c r="Y65" s="11"/>
      <c r="Z65" s="11" t="s">
        <v>847</v>
      </c>
      <c r="AA65" s="15"/>
    </row>
    <row r="66" spans="1:27" ht="14.25" x14ac:dyDescent="0.25">
      <c r="A66" s="9" t="s">
        <v>21</v>
      </c>
      <c r="B66" s="10" t="s">
        <v>390</v>
      </c>
      <c r="C66" s="10" t="s">
        <v>391</v>
      </c>
      <c r="D66" s="10" t="s">
        <v>392</v>
      </c>
      <c r="E66" s="11" t="s">
        <v>41</v>
      </c>
      <c r="F66" s="11" t="s">
        <v>393</v>
      </c>
      <c r="G66" s="11" t="s">
        <v>394</v>
      </c>
      <c r="H66" s="12" t="s">
        <v>132</v>
      </c>
      <c r="I66" s="11" t="s">
        <v>29</v>
      </c>
      <c r="J66" s="12" t="s">
        <v>59</v>
      </c>
      <c r="K66" s="12" t="s">
        <v>52</v>
      </c>
      <c r="L66" s="13"/>
      <c r="M66" s="13">
        <v>12272</v>
      </c>
      <c r="N66" s="13">
        <f>M66</f>
        <v>12272</v>
      </c>
      <c r="O66" s="13">
        <f t="shared" ref="O66:O128" si="2">N66-M66</f>
        <v>0</v>
      </c>
      <c r="P66" s="13">
        <v>10000</v>
      </c>
      <c r="Q66" s="13">
        <f t="shared" si="1"/>
        <v>-2272</v>
      </c>
      <c r="R66" s="13">
        <f>VLOOKUP(B:B,[1]Sheet1!$B$1:$I$13,8,0)</f>
        <v>2272</v>
      </c>
      <c r="S66" s="11" t="s">
        <v>969</v>
      </c>
      <c r="T66" s="14">
        <v>46260</v>
      </c>
      <c r="U66" s="11" t="s">
        <v>970</v>
      </c>
      <c r="V66" s="12"/>
      <c r="W66" s="13"/>
      <c r="X66" s="11"/>
      <c r="Y66" s="11"/>
      <c r="Z66" s="11" t="s">
        <v>847</v>
      </c>
      <c r="AA66" s="15"/>
    </row>
    <row r="67" spans="1:27" ht="14.25" x14ac:dyDescent="0.25">
      <c r="A67" s="9" t="s">
        <v>21</v>
      </c>
      <c r="B67" s="10" t="s">
        <v>395</v>
      </c>
      <c r="C67" s="10" t="s">
        <v>396</v>
      </c>
      <c r="D67" s="10" t="s">
        <v>397</v>
      </c>
      <c r="E67" s="11" t="s">
        <v>41</v>
      </c>
      <c r="F67" s="11" t="s">
        <v>398</v>
      </c>
      <c r="G67" s="11" t="s">
        <v>399</v>
      </c>
      <c r="H67" s="12" t="s">
        <v>132</v>
      </c>
      <c r="I67" s="11" t="s">
        <v>45</v>
      </c>
      <c r="J67" s="12" t="s">
        <v>59</v>
      </c>
      <c r="K67" s="12" t="s">
        <v>52</v>
      </c>
      <c r="L67" s="13"/>
      <c r="M67" s="13">
        <v>4717.62</v>
      </c>
      <c r="N67" s="13">
        <v>6400</v>
      </c>
      <c r="O67" s="13">
        <f t="shared" si="2"/>
        <v>1682.38</v>
      </c>
      <c r="P67" s="13">
        <v>10000</v>
      </c>
      <c r="Q67" s="13">
        <f t="shared" ref="Q67:Q130" si="3">P67-M67</f>
        <v>5282.38</v>
      </c>
      <c r="R67" s="13">
        <v>0</v>
      </c>
      <c r="S67" s="11" t="s">
        <v>969</v>
      </c>
      <c r="T67" s="14">
        <v>46260</v>
      </c>
      <c r="U67" s="11" t="s">
        <v>970</v>
      </c>
      <c r="V67" s="12"/>
      <c r="W67" s="13"/>
      <c r="X67" s="11"/>
      <c r="Y67" s="11"/>
      <c r="Z67" s="11" t="s">
        <v>847</v>
      </c>
      <c r="AA67" s="15"/>
    </row>
    <row r="68" spans="1:27" ht="14.25" x14ac:dyDescent="0.25">
      <c r="A68" s="9" t="s">
        <v>21</v>
      </c>
      <c r="B68" s="10" t="s">
        <v>400</v>
      </c>
      <c r="C68" s="10" t="s">
        <v>401</v>
      </c>
      <c r="D68" s="10" t="s">
        <v>402</v>
      </c>
      <c r="E68" s="11" t="s">
        <v>41</v>
      </c>
      <c r="F68" s="11" t="s">
        <v>130</v>
      </c>
      <c r="G68" s="11" t="s">
        <v>403</v>
      </c>
      <c r="H68" s="12" t="s">
        <v>28</v>
      </c>
      <c r="I68" s="11" t="s">
        <v>29</v>
      </c>
      <c r="J68" s="12" t="s">
        <v>46</v>
      </c>
      <c r="K68" s="12" t="s">
        <v>52</v>
      </c>
      <c r="L68" s="13"/>
      <c r="M68" s="13">
        <v>6206</v>
      </c>
      <c r="N68" s="13">
        <v>8206</v>
      </c>
      <c r="O68" s="13">
        <f t="shared" si="2"/>
        <v>2000</v>
      </c>
      <c r="P68" s="13">
        <v>10000</v>
      </c>
      <c r="Q68" s="13">
        <f t="shared" si="3"/>
        <v>3794</v>
      </c>
      <c r="R68" s="13">
        <v>0</v>
      </c>
      <c r="S68" s="11" t="s">
        <v>969</v>
      </c>
      <c r="T68" s="14">
        <v>46260</v>
      </c>
      <c r="U68" s="11" t="s">
        <v>970</v>
      </c>
      <c r="V68" s="12"/>
      <c r="W68" s="13"/>
      <c r="X68" s="11"/>
      <c r="Y68" s="11"/>
      <c r="Z68" s="11" t="s">
        <v>847</v>
      </c>
      <c r="AA68" s="15"/>
    </row>
    <row r="69" spans="1:27" ht="14.25" x14ac:dyDescent="0.25">
      <c r="A69" s="9" t="s">
        <v>21</v>
      </c>
      <c r="B69" s="10" t="s">
        <v>404</v>
      </c>
      <c r="C69" s="10" t="s">
        <v>405</v>
      </c>
      <c r="D69" s="10" t="s">
        <v>406</v>
      </c>
      <c r="E69" s="11" t="s">
        <v>41</v>
      </c>
      <c r="F69" s="11" t="s">
        <v>407</v>
      </c>
      <c r="G69" s="11" t="s">
        <v>408</v>
      </c>
      <c r="H69" s="12" t="s">
        <v>409</v>
      </c>
      <c r="I69" s="11" t="s">
        <v>45</v>
      </c>
      <c r="J69" s="12" t="s">
        <v>30</v>
      </c>
      <c r="K69" s="12" t="s">
        <v>30</v>
      </c>
      <c r="L69" s="13"/>
      <c r="M69" s="13">
        <v>10000</v>
      </c>
      <c r="N69" s="13">
        <v>10000</v>
      </c>
      <c r="O69" s="13">
        <f t="shared" si="2"/>
        <v>0</v>
      </c>
      <c r="P69" s="13">
        <v>10000</v>
      </c>
      <c r="Q69" s="13">
        <f t="shared" si="3"/>
        <v>0</v>
      </c>
      <c r="R69" s="13">
        <v>0</v>
      </c>
      <c r="S69" s="11" t="s">
        <v>969</v>
      </c>
      <c r="T69" s="14">
        <v>46261</v>
      </c>
      <c r="U69" s="11" t="s">
        <v>970</v>
      </c>
      <c r="V69" s="12"/>
      <c r="W69" s="13"/>
      <c r="X69" s="11"/>
      <c r="Y69" s="11"/>
      <c r="Z69" s="11" t="s">
        <v>847</v>
      </c>
      <c r="AA69" s="15"/>
    </row>
    <row r="70" spans="1:27" ht="14.25" x14ac:dyDescent="0.25">
      <c r="A70" s="9" t="s">
        <v>21</v>
      </c>
      <c r="B70" s="10" t="s">
        <v>410</v>
      </c>
      <c r="C70" s="10" t="s">
        <v>411</v>
      </c>
      <c r="D70" s="10" t="s">
        <v>412</v>
      </c>
      <c r="E70" s="11" t="s">
        <v>41</v>
      </c>
      <c r="F70" s="11" t="s">
        <v>413</v>
      </c>
      <c r="G70" s="11" t="s">
        <v>414</v>
      </c>
      <c r="H70" s="12" t="s">
        <v>28</v>
      </c>
      <c r="I70" s="11" t="s">
        <v>29</v>
      </c>
      <c r="J70" s="12" t="s">
        <v>212</v>
      </c>
      <c r="K70" s="12" t="s">
        <v>52</v>
      </c>
      <c r="L70" s="13"/>
      <c r="M70" s="13">
        <v>9081</v>
      </c>
      <c r="N70" s="13">
        <v>9081</v>
      </c>
      <c r="O70" s="13">
        <f t="shared" si="2"/>
        <v>0</v>
      </c>
      <c r="P70" s="13">
        <v>10000</v>
      </c>
      <c r="Q70" s="13">
        <f t="shared" si="3"/>
        <v>919</v>
      </c>
      <c r="R70" s="13">
        <v>0</v>
      </c>
      <c r="S70" s="11" t="s">
        <v>969</v>
      </c>
      <c r="T70" s="14">
        <v>46262</v>
      </c>
      <c r="U70" s="11" t="s">
        <v>970</v>
      </c>
      <c r="V70" s="12"/>
      <c r="W70" s="13"/>
      <c r="X70" s="11"/>
      <c r="Y70" s="11"/>
      <c r="Z70" s="11" t="s">
        <v>847</v>
      </c>
      <c r="AA70" s="15"/>
    </row>
    <row r="71" spans="1:27" ht="14.25" x14ac:dyDescent="0.25">
      <c r="A71" s="9" t="s">
        <v>21</v>
      </c>
      <c r="B71" s="10" t="s">
        <v>415</v>
      </c>
      <c r="C71" s="10" t="s">
        <v>416</v>
      </c>
      <c r="D71" s="10" t="s">
        <v>417</v>
      </c>
      <c r="E71" s="11" t="s">
        <v>41</v>
      </c>
      <c r="F71" s="11" t="s">
        <v>418</v>
      </c>
      <c r="G71" s="11" t="s">
        <v>419</v>
      </c>
      <c r="H71" s="12" t="s">
        <v>420</v>
      </c>
      <c r="I71" s="11" t="s">
        <v>45</v>
      </c>
      <c r="J71" s="12" t="s">
        <v>212</v>
      </c>
      <c r="K71" s="12" t="s">
        <v>52</v>
      </c>
      <c r="L71" s="13"/>
      <c r="M71" s="13">
        <v>4248</v>
      </c>
      <c r="N71" s="13">
        <v>6400</v>
      </c>
      <c r="O71" s="13">
        <f t="shared" si="2"/>
        <v>2152</v>
      </c>
      <c r="P71" s="13">
        <v>10000</v>
      </c>
      <c r="Q71" s="13">
        <f t="shared" si="3"/>
        <v>5752</v>
      </c>
      <c r="R71" s="13">
        <v>0</v>
      </c>
      <c r="S71" s="11" t="s">
        <v>969</v>
      </c>
      <c r="T71" s="14">
        <v>46264</v>
      </c>
      <c r="U71" s="11" t="s">
        <v>970</v>
      </c>
      <c r="V71" s="12"/>
      <c r="W71" s="13"/>
      <c r="X71" s="11"/>
      <c r="Y71" s="11"/>
      <c r="Z71" s="11" t="s">
        <v>847</v>
      </c>
      <c r="AA71" s="15"/>
    </row>
    <row r="72" spans="1:27" ht="14.25" x14ac:dyDescent="0.25">
      <c r="A72" s="9" t="s">
        <v>21</v>
      </c>
      <c r="B72" s="10" t="s">
        <v>421</v>
      </c>
      <c r="C72" s="10" t="s">
        <v>422</v>
      </c>
      <c r="D72" s="10" t="s">
        <v>423</v>
      </c>
      <c r="E72" s="11" t="s">
        <v>41</v>
      </c>
      <c r="F72" s="11" t="s">
        <v>350</v>
      </c>
      <c r="G72" s="11" t="s">
        <v>424</v>
      </c>
      <c r="H72" s="12" t="s">
        <v>273</v>
      </c>
      <c r="I72" s="11" t="s">
        <v>29</v>
      </c>
      <c r="J72" s="12" t="s">
        <v>212</v>
      </c>
      <c r="K72" s="12" t="s">
        <v>52</v>
      </c>
      <c r="L72" s="13"/>
      <c r="M72" s="13">
        <v>5823</v>
      </c>
      <c r="N72" s="13">
        <v>8823</v>
      </c>
      <c r="O72" s="13">
        <f t="shared" si="2"/>
        <v>3000</v>
      </c>
      <c r="P72" s="13">
        <v>10000</v>
      </c>
      <c r="Q72" s="13">
        <f t="shared" si="3"/>
        <v>4177</v>
      </c>
      <c r="R72" s="13">
        <v>0</v>
      </c>
      <c r="S72" s="11" t="s">
        <v>969</v>
      </c>
      <c r="T72" s="14">
        <v>46263</v>
      </c>
      <c r="U72" s="11" t="s">
        <v>970</v>
      </c>
      <c r="V72" s="12"/>
      <c r="W72" s="13"/>
      <c r="X72" s="11"/>
      <c r="Y72" s="11"/>
      <c r="Z72" s="11" t="s">
        <v>847</v>
      </c>
      <c r="AA72" s="15"/>
    </row>
    <row r="73" spans="1:27" ht="28.5" x14ac:dyDescent="0.25">
      <c r="A73" s="9" t="s">
        <v>21</v>
      </c>
      <c r="B73" s="10" t="s">
        <v>425</v>
      </c>
      <c r="C73" s="10" t="s">
        <v>426</v>
      </c>
      <c r="D73" s="10" t="s">
        <v>427</v>
      </c>
      <c r="E73" s="11" t="s">
        <v>41</v>
      </c>
      <c r="F73" s="11" t="s">
        <v>428</v>
      </c>
      <c r="G73" s="11" t="s">
        <v>429</v>
      </c>
      <c r="H73" s="12" t="s">
        <v>430</v>
      </c>
      <c r="I73" s="11" t="s">
        <v>45</v>
      </c>
      <c r="J73" s="12" t="s">
        <v>59</v>
      </c>
      <c r="K73" s="12" t="s">
        <v>52</v>
      </c>
      <c r="L73" s="13"/>
      <c r="M73" s="13">
        <v>4718</v>
      </c>
      <c r="N73" s="13">
        <v>9600</v>
      </c>
      <c r="O73" s="13">
        <f t="shared" si="2"/>
        <v>4882</v>
      </c>
      <c r="P73" s="13">
        <v>10000</v>
      </c>
      <c r="Q73" s="13">
        <f t="shared" si="3"/>
        <v>5282</v>
      </c>
      <c r="R73" s="13">
        <v>0</v>
      </c>
      <c r="S73" s="11" t="s">
        <v>969</v>
      </c>
      <c r="T73" s="14">
        <v>46263</v>
      </c>
      <c r="U73" s="11" t="s">
        <v>970</v>
      </c>
      <c r="V73" s="12"/>
      <c r="W73" s="13"/>
      <c r="X73" s="11"/>
      <c r="Y73" s="11"/>
      <c r="Z73" s="11" t="s">
        <v>847</v>
      </c>
      <c r="AA73" s="15"/>
    </row>
    <row r="74" spans="1:27" ht="14.25" x14ac:dyDescent="0.25">
      <c r="A74" s="9" t="s">
        <v>21</v>
      </c>
      <c r="B74" s="10" t="s">
        <v>431</v>
      </c>
      <c r="C74" s="10" t="s">
        <v>432</v>
      </c>
      <c r="D74" s="10" t="s">
        <v>433</v>
      </c>
      <c r="E74" s="11" t="s">
        <v>165</v>
      </c>
      <c r="F74" s="11" t="s">
        <v>173</v>
      </c>
      <c r="G74" s="11" t="s">
        <v>434</v>
      </c>
      <c r="H74" s="12" t="s">
        <v>132</v>
      </c>
      <c r="I74" s="11" t="s">
        <v>165</v>
      </c>
      <c r="J74" s="12" t="s">
        <v>30</v>
      </c>
      <c r="K74" s="12" t="s">
        <v>52</v>
      </c>
      <c r="L74" s="13"/>
      <c r="M74" s="13">
        <v>12387</v>
      </c>
      <c r="N74" s="13">
        <f t="shared" ref="N74:N75" si="4">M74</f>
        <v>12387</v>
      </c>
      <c r="O74" s="13">
        <f t="shared" si="2"/>
        <v>0</v>
      </c>
      <c r="P74" s="13">
        <v>10000</v>
      </c>
      <c r="Q74" s="13">
        <f t="shared" si="3"/>
        <v>-2387</v>
      </c>
      <c r="R74" s="13">
        <f>VLOOKUP(B:B,[1]Sheet1!$B$1:$I$13,8,0)</f>
        <v>2387</v>
      </c>
      <c r="S74" s="11" t="s">
        <v>969</v>
      </c>
      <c r="T74" s="14">
        <v>46264</v>
      </c>
      <c r="U74" s="11" t="s">
        <v>970</v>
      </c>
      <c r="V74" s="12"/>
      <c r="W74" s="13"/>
      <c r="X74" s="11"/>
      <c r="Y74" s="11"/>
      <c r="Z74" s="11" t="s">
        <v>847</v>
      </c>
      <c r="AA74" s="15"/>
    </row>
    <row r="75" spans="1:27" ht="28.5" x14ac:dyDescent="0.25">
      <c r="A75" s="9" t="s">
        <v>21</v>
      </c>
      <c r="B75" s="10" t="s">
        <v>435</v>
      </c>
      <c r="C75" s="10" t="s">
        <v>436</v>
      </c>
      <c r="D75" s="10" t="s">
        <v>437</v>
      </c>
      <c r="E75" s="11" t="s">
        <v>41</v>
      </c>
      <c r="F75" s="11" t="s">
        <v>277</v>
      </c>
      <c r="G75" s="11" t="s">
        <v>438</v>
      </c>
      <c r="H75" s="12" t="s">
        <v>439</v>
      </c>
      <c r="I75" s="11" t="s">
        <v>45</v>
      </c>
      <c r="J75" s="12" t="s">
        <v>30</v>
      </c>
      <c r="K75" s="12" t="s">
        <v>30</v>
      </c>
      <c r="L75" s="13"/>
      <c r="M75" s="13">
        <v>12744</v>
      </c>
      <c r="N75" s="13">
        <f t="shared" si="4"/>
        <v>12744</v>
      </c>
      <c r="O75" s="13">
        <f t="shared" si="2"/>
        <v>0</v>
      </c>
      <c r="P75" s="13">
        <v>10000</v>
      </c>
      <c r="Q75" s="13">
        <f t="shared" si="3"/>
        <v>-2744</v>
      </c>
      <c r="R75" s="13">
        <f>VLOOKUP(B:B,[1]Sheet1!$B$1:$I$13,8,0)</f>
        <v>2744</v>
      </c>
      <c r="S75" s="11" t="s">
        <v>969</v>
      </c>
      <c r="T75" s="14">
        <v>46263</v>
      </c>
      <c r="U75" s="11" t="s">
        <v>970</v>
      </c>
      <c r="V75" s="12"/>
      <c r="W75" s="13"/>
      <c r="X75" s="11"/>
      <c r="Y75" s="11"/>
      <c r="Z75" s="11" t="s">
        <v>847</v>
      </c>
      <c r="AA75" s="15"/>
    </row>
    <row r="76" spans="1:27" ht="14.25" x14ac:dyDescent="0.25">
      <c r="A76" s="9" t="s">
        <v>21</v>
      </c>
      <c r="B76" s="10" t="s">
        <v>440</v>
      </c>
      <c r="C76" s="10" t="s">
        <v>441</v>
      </c>
      <c r="D76" s="10" t="s">
        <v>442</v>
      </c>
      <c r="E76" s="11" t="s">
        <v>41</v>
      </c>
      <c r="F76" s="11" t="s">
        <v>443</v>
      </c>
      <c r="G76" s="11" t="s">
        <v>444</v>
      </c>
      <c r="H76" s="12" t="s">
        <v>28</v>
      </c>
      <c r="I76" s="11" t="s">
        <v>280</v>
      </c>
      <c r="J76" s="12" t="s">
        <v>30</v>
      </c>
      <c r="K76" s="12" t="s">
        <v>30</v>
      </c>
      <c r="L76" s="13"/>
      <c r="M76" s="13">
        <v>6136</v>
      </c>
      <c r="N76" s="13">
        <v>10000</v>
      </c>
      <c r="O76" s="13">
        <f t="shared" si="2"/>
        <v>3864</v>
      </c>
      <c r="P76" s="13">
        <v>10000</v>
      </c>
      <c r="Q76" s="13">
        <f t="shared" si="3"/>
        <v>3864</v>
      </c>
      <c r="R76" s="13">
        <v>0</v>
      </c>
      <c r="S76" s="11" t="s">
        <v>969</v>
      </c>
      <c r="T76" s="14">
        <v>46264</v>
      </c>
      <c r="U76" s="11" t="s">
        <v>970</v>
      </c>
      <c r="V76" s="12"/>
      <c r="W76" s="13"/>
      <c r="X76" s="11"/>
      <c r="Y76" s="11"/>
      <c r="Z76" s="11" t="s">
        <v>847</v>
      </c>
      <c r="AA76" s="15"/>
    </row>
    <row r="77" spans="1:27" ht="28.5" x14ac:dyDescent="0.25">
      <c r="A77" s="9" t="s">
        <v>21</v>
      </c>
      <c r="B77" s="10" t="s">
        <v>445</v>
      </c>
      <c r="C77" s="10" t="s">
        <v>446</v>
      </c>
      <c r="D77" s="10" t="s">
        <v>447</v>
      </c>
      <c r="E77" s="11" t="s">
        <v>41</v>
      </c>
      <c r="F77" s="11" t="s">
        <v>448</v>
      </c>
      <c r="G77" s="11" t="s">
        <v>449</v>
      </c>
      <c r="H77" s="12" t="s">
        <v>132</v>
      </c>
      <c r="I77" s="11" t="s">
        <v>450</v>
      </c>
      <c r="J77" s="12" t="s">
        <v>30</v>
      </c>
      <c r="K77" s="12" t="s">
        <v>30</v>
      </c>
      <c r="L77" s="13"/>
      <c r="M77" s="13">
        <f>4841+1450</f>
        <v>6291</v>
      </c>
      <c r="N77" s="13">
        <v>8291</v>
      </c>
      <c r="O77" s="13">
        <f t="shared" si="2"/>
        <v>2000</v>
      </c>
      <c r="P77" s="13">
        <v>10000</v>
      </c>
      <c r="Q77" s="13">
        <f t="shared" si="3"/>
        <v>3709</v>
      </c>
      <c r="R77" s="13">
        <v>0</v>
      </c>
      <c r="S77" s="11" t="s">
        <v>969</v>
      </c>
      <c r="T77" s="14">
        <v>46264</v>
      </c>
      <c r="U77" s="11" t="s">
        <v>970</v>
      </c>
      <c r="V77" s="12"/>
      <c r="W77" s="13"/>
      <c r="X77" s="11"/>
      <c r="Y77" s="11"/>
      <c r="Z77" s="11" t="s">
        <v>847</v>
      </c>
      <c r="AA77" s="15"/>
    </row>
    <row r="78" spans="1:27" ht="14.25" x14ac:dyDescent="0.25">
      <c r="A78" s="9" t="s">
        <v>21</v>
      </c>
      <c r="B78" s="10" t="s">
        <v>451</v>
      </c>
      <c r="C78" s="10" t="s">
        <v>452</v>
      </c>
      <c r="D78" s="10" t="s">
        <v>453</v>
      </c>
      <c r="E78" s="11" t="s">
        <v>41</v>
      </c>
      <c r="F78" s="11" t="s">
        <v>454</v>
      </c>
      <c r="G78" s="11" t="s">
        <v>455</v>
      </c>
      <c r="H78" s="12" t="s">
        <v>132</v>
      </c>
      <c r="I78" s="11" t="s">
        <v>45</v>
      </c>
      <c r="J78" s="12" t="s">
        <v>30</v>
      </c>
      <c r="K78" s="12" t="s">
        <v>30</v>
      </c>
      <c r="L78" s="13"/>
      <c r="M78" s="13">
        <v>6608</v>
      </c>
      <c r="N78" s="13">
        <v>7608</v>
      </c>
      <c r="O78" s="13">
        <f t="shared" si="2"/>
        <v>1000</v>
      </c>
      <c r="P78" s="13">
        <v>10000</v>
      </c>
      <c r="Q78" s="13">
        <f t="shared" si="3"/>
        <v>3392</v>
      </c>
      <c r="R78" s="13">
        <v>0</v>
      </c>
      <c r="S78" s="11" t="s">
        <v>969</v>
      </c>
      <c r="T78" s="14">
        <v>46265</v>
      </c>
      <c r="U78" s="11" t="s">
        <v>970</v>
      </c>
      <c r="V78" s="12"/>
      <c r="W78" s="13"/>
      <c r="X78" s="11"/>
      <c r="Y78" s="11"/>
      <c r="Z78" s="11" t="s">
        <v>847</v>
      </c>
      <c r="AA78" s="15"/>
    </row>
    <row r="79" spans="1:27" ht="14.25" x14ac:dyDescent="0.25">
      <c r="A79" s="9" t="s">
        <v>21</v>
      </c>
      <c r="B79" s="10" t="s">
        <v>456</v>
      </c>
      <c r="C79" s="10" t="s">
        <v>457</v>
      </c>
      <c r="D79" s="10" t="s">
        <v>458</v>
      </c>
      <c r="E79" s="11" t="s">
        <v>41</v>
      </c>
      <c r="F79" s="11" t="s">
        <v>284</v>
      </c>
      <c r="G79" s="11" t="s">
        <v>459</v>
      </c>
      <c r="H79" s="12" t="s">
        <v>132</v>
      </c>
      <c r="I79" s="11" t="s">
        <v>45</v>
      </c>
      <c r="J79" s="12" t="s">
        <v>30</v>
      </c>
      <c r="K79" s="12" t="s">
        <v>30</v>
      </c>
      <c r="L79" s="13"/>
      <c r="M79" s="13">
        <v>9523</v>
      </c>
      <c r="N79" s="13">
        <v>9523</v>
      </c>
      <c r="O79" s="13">
        <f t="shared" si="2"/>
        <v>0</v>
      </c>
      <c r="P79" s="13">
        <v>10000</v>
      </c>
      <c r="Q79" s="13">
        <f t="shared" si="3"/>
        <v>477</v>
      </c>
      <c r="R79" s="13">
        <v>0</v>
      </c>
      <c r="S79" s="11" t="s">
        <v>969</v>
      </c>
      <c r="T79" s="14">
        <v>46263</v>
      </c>
      <c r="U79" s="11" t="s">
        <v>970</v>
      </c>
      <c r="V79" s="12"/>
      <c r="W79" s="13"/>
      <c r="X79" s="11"/>
      <c r="Y79" s="11"/>
      <c r="Z79" s="11" t="s">
        <v>847</v>
      </c>
      <c r="AA79" s="15"/>
    </row>
    <row r="80" spans="1:27" ht="14.25" x14ac:dyDescent="0.25">
      <c r="A80" s="9" t="s">
        <v>21</v>
      </c>
      <c r="B80" s="10" t="s">
        <v>460</v>
      </c>
      <c r="C80" s="10" t="s">
        <v>461</v>
      </c>
      <c r="D80" s="10" t="s">
        <v>462</v>
      </c>
      <c r="E80" s="11" t="s">
        <v>41</v>
      </c>
      <c r="F80" s="11" t="s">
        <v>463</v>
      </c>
      <c r="G80" s="11" t="s">
        <v>464</v>
      </c>
      <c r="H80" s="12" t="s">
        <v>44</v>
      </c>
      <c r="I80" s="11" t="s">
        <v>156</v>
      </c>
      <c r="J80" s="12" t="s">
        <v>46</v>
      </c>
      <c r="K80" s="12" t="s">
        <v>52</v>
      </c>
      <c r="L80" s="13"/>
      <c r="M80" s="13">
        <v>2100</v>
      </c>
      <c r="N80" s="13">
        <v>6100</v>
      </c>
      <c r="O80" s="13">
        <f t="shared" si="2"/>
        <v>4000</v>
      </c>
      <c r="P80" s="13">
        <v>10000</v>
      </c>
      <c r="Q80" s="13">
        <f t="shared" si="3"/>
        <v>7900</v>
      </c>
      <c r="R80" s="13">
        <v>0</v>
      </c>
      <c r="S80" s="11" t="s">
        <v>969</v>
      </c>
      <c r="T80" s="14">
        <v>46264</v>
      </c>
      <c r="U80" s="11" t="s">
        <v>970</v>
      </c>
      <c r="V80" s="12"/>
      <c r="W80" s="13"/>
      <c r="X80" s="11"/>
      <c r="Y80" s="11"/>
      <c r="Z80" s="11" t="s">
        <v>847</v>
      </c>
      <c r="AA80" s="15"/>
    </row>
    <row r="81" spans="1:27" ht="28.5" x14ac:dyDescent="0.25">
      <c r="A81" s="9" t="s">
        <v>21</v>
      </c>
      <c r="B81" s="10" t="s">
        <v>465</v>
      </c>
      <c r="C81" s="10" t="s">
        <v>466</v>
      </c>
      <c r="D81" s="10" t="s">
        <v>467</v>
      </c>
      <c r="E81" s="11" t="s">
        <v>468</v>
      </c>
      <c r="F81" s="11" t="s">
        <v>469</v>
      </c>
      <c r="G81" s="11" t="s">
        <v>470</v>
      </c>
      <c r="H81" s="12" t="s">
        <v>471</v>
      </c>
      <c r="I81" s="11" t="s">
        <v>468</v>
      </c>
      <c r="J81" s="12" t="s">
        <v>46</v>
      </c>
      <c r="K81" s="12" t="s">
        <v>71</v>
      </c>
      <c r="L81" s="13"/>
      <c r="M81" s="13">
        <v>11080</v>
      </c>
      <c r="N81" s="13">
        <v>10000</v>
      </c>
      <c r="O81" s="13">
        <f t="shared" si="2"/>
        <v>-1080</v>
      </c>
      <c r="P81" s="13">
        <v>10000</v>
      </c>
      <c r="Q81" s="13">
        <f t="shared" si="3"/>
        <v>-1080</v>
      </c>
      <c r="R81" s="13">
        <v>0</v>
      </c>
      <c r="S81" s="11" t="s">
        <v>969</v>
      </c>
      <c r="T81" s="14">
        <v>46264</v>
      </c>
      <c r="U81" s="11" t="s">
        <v>970</v>
      </c>
      <c r="V81" s="12"/>
      <c r="W81" s="13"/>
      <c r="X81" s="11"/>
      <c r="Y81" s="11"/>
      <c r="Z81" s="11" t="s">
        <v>847</v>
      </c>
      <c r="AA81" s="15"/>
    </row>
    <row r="82" spans="1:27" ht="14.25" x14ac:dyDescent="0.25">
      <c r="A82" s="9" t="s">
        <v>21</v>
      </c>
      <c r="B82" s="10" t="s">
        <v>472</v>
      </c>
      <c r="C82" s="10" t="s">
        <v>473</v>
      </c>
      <c r="D82" s="10" t="s">
        <v>474</v>
      </c>
      <c r="E82" s="11" t="s">
        <v>34</v>
      </c>
      <c r="F82" s="11" t="s">
        <v>93</v>
      </c>
      <c r="G82" s="11" t="s">
        <v>475</v>
      </c>
      <c r="H82" s="12" t="s">
        <v>168</v>
      </c>
      <c r="I82" s="11" t="s">
        <v>34</v>
      </c>
      <c r="J82" s="12" t="s">
        <v>46</v>
      </c>
      <c r="K82" s="12" t="s">
        <v>52</v>
      </c>
      <c r="L82" s="13"/>
      <c r="M82" s="13">
        <v>10000</v>
      </c>
      <c r="N82" s="13">
        <v>10000</v>
      </c>
      <c r="O82" s="13">
        <f t="shared" si="2"/>
        <v>0</v>
      </c>
      <c r="P82" s="13">
        <v>10000</v>
      </c>
      <c r="Q82" s="13">
        <f t="shared" si="3"/>
        <v>0</v>
      </c>
      <c r="R82" s="13">
        <v>0</v>
      </c>
      <c r="S82" s="11" t="s">
        <v>969</v>
      </c>
      <c r="T82" s="14">
        <v>46265</v>
      </c>
      <c r="U82" s="11" t="s">
        <v>970</v>
      </c>
      <c r="V82" s="12"/>
      <c r="W82" s="13"/>
      <c r="X82" s="11"/>
      <c r="Y82" s="11"/>
      <c r="Z82" s="11" t="s">
        <v>847</v>
      </c>
      <c r="AA82" s="15"/>
    </row>
    <row r="83" spans="1:27" ht="14.25" x14ac:dyDescent="0.25">
      <c r="A83" s="9" t="s">
        <v>21</v>
      </c>
      <c r="B83" s="10" t="s">
        <v>476</v>
      </c>
      <c r="C83" s="10" t="s">
        <v>477</v>
      </c>
      <c r="D83" s="10" t="s">
        <v>478</v>
      </c>
      <c r="E83" s="11" t="s">
        <v>34</v>
      </c>
      <c r="F83" s="11" t="s">
        <v>479</v>
      </c>
      <c r="G83" s="11" t="s">
        <v>480</v>
      </c>
      <c r="H83" s="12" t="s">
        <v>168</v>
      </c>
      <c r="I83" s="11" t="s">
        <v>34</v>
      </c>
      <c r="J83" s="12" t="s">
        <v>46</v>
      </c>
      <c r="K83" s="12" t="s">
        <v>52</v>
      </c>
      <c r="L83" s="13"/>
      <c r="M83" s="13">
        <v>10000</v>
      </c>
      <c r="N83" s="13">
        <v>10000</v>
      </c>
      <c r="O83" s="13">
        <f t="shared" si="2"/>
        <v>0</v>
      </c>
      <c r="P83" s="13">
        <v>10000</v>
      </c>
      <c r="Q83" s="13">
        <f t="shared" si="3"/>
        <v>0</v>
      </c>
      <c r="R83" s="13">
        <v>0</v>
      </c>
      <c r="S83" s="11" t="s">
        <v>969</v>
      </c>
      <c r="T83" s="14">
        <v>46265</v>
      </c>
      <c r="U83" s="11" t="s">
        <v>970</v>
      </c>
      <c r="V83" s="12"/>
      <c r="W83" s="13"/>
      <c r="X83" s="11"/>
      <c r="Y83" s="11"/>
      <c r="Z83" s="11" t="s">
        <v>847</v>
      </c>
      <c r="AA83" s="15"/>
    </row>
    <row r="84" spans="1:27" ht="14.25" x14ac:dyDescent="0.25">
      <c r="A84" s="9" t="s">
        <v>21</v>
      </c>
      <c r="B84" s="10" t="s">
        <v>481</v>
      </c>
      <c r="C84" s="10" t="s">
        <v>482</v>
      </c>
      <c r="D84" s="10" t="s">
        <v>483</v>
      </c>
      <c r="E84" s="11" t="s">
        <v>41</v>
      </c>
      <c r="F84" s="11" t="s">
        <v>484</v>
      </c>
      <c r="G84" s="11" t="s">
        <v>485</v>
      </c>
      <c r="H84" s="12" t="s">
        <v>318</v>
      </c>
      <c r="I84" s="11" t="s">
        <v>45</v>
      </c>
      <c r="J84" s="12" t="s">
        <v>46</v>
      </c>
      <c r="K84" s="12" t="s">
        <v>46</v>
      </c>
      <c r="L84" s="13"/>
      <c r="M84" s="13">
        <v>10000</v>
      </c>
      <c r="N84" s="13">
        <v>10000</v>
      </c>
      <c r="O84" s="13">
        <f t="shared" si="2"/>
        <v>0</v>
      </c>
      <c r="P84" s="13">
        <v>10000</v>
      </c>
      <c r="Q84" s="13">
        <f t="shared" si="3"/>
        <v>0</v>
      </c>
      <c r="R84" s="13">
        <v>0</v>
      </c>
      <c r="S84" s="11" t="s">
        <v>969</v>
      </c>
      <c r="T84" s="14">
        <v>46265</v>
      </c>
      <c r="U84" s="11" t="s">
        <v>970</v>
      </c>
      <c r="V84" s="12"/>
      <c r="W84" s="13"/>
      <c r="X84" s="11"/>
      <c r="Y84" s="11"/>
      <c r="Z84" s="11" t="s">
        <v>847</v>
      </c>
      <c r="AA84" s="15"/>
    </row>
    <row r="85" spans="1:27" ht="14.25" x14ac:dyDescent="0.25">
      <c r="A85" s="9" t="s">
        <v>21</v>
      </c>
      <c r="B85" s="10" t="s">
        <v>486</v>
      </c>
      <c r="C85" s="10" t="s">
        <v>487</v>
      </c>
      <c r="D85" s="10" t="s">
        <v>488</v>
      </c>
      <c r="E85" s="11" t="s">
        <v>41</v>
      </c>
      <c r="F85" s="11" t="s">
        <v>489</v>
      </c>
      <c r="G85" s="11" t="s">
        <v>490</v>
      </c>
      <c r="H85" s="12" t="s">
        <v>491</v>
      </c>
      <c r="I85" s="11" t="s">
        <v>45</v>
      </c>
      <c r="J85" s="12" t="s">
        <v>46</v>
      </c>
      <c r="K85" s="12" t="s">
        <v>46</v>
      </c>
      <c r="L85" s="13"/>
      <c r="M85" s="13">
        <v>6842</v>
      </c>
      <c r="N85" s="13">
        <v>7842</v>
      </c>
      <c r="O85" s="13">
        <f t="shared" si="2"/>
        <v>1000</v>
      </c>
      <c r="P85" s="13">
        <v>10000</v>
      </c>
      <c r="Q85" s="13">
        <f t="shared" si="3"/>
        <v>3158</v>
      </c>
      <c r="R85" s="13">
        <v>0</v>
      </c>
      <c r="S85" s="11" t="s">
        <v>969</v>
      </c>
      <c r="T85" s="14">
        <v>46265</v>
      </c>
      <c r="U85" s="11" t="s">
        <v>970</v>
      </c>
      <c r="V85" s="12"/>
      <c r="W85" s="13"/>
      <c r="X85" s="11"/>
      <c r="Y85" s="11"/>
      <c r="Z85" s="11" t="s">
        <v>847</v>
      </c>
      <c r="AA85" s="15"/>
    </row>
    <row r="86" spans="1:27" ht="28.5" x14ac:dyDescent="0.25">
      <c r="A86" s="9" t="s">
        <v>21</v>
      </c>
      <c r="B86" s="10" t="s">
        <v>492</v>
      </c>
      <c r="C86" s="10" t="s">
        <v>493</v>
      </c>
      <c r="D86" s="10" t="s">
        <v>494</v>
      </c>
      <c r="E86" s="11" t="s">
        <v>41</v>
      </c>
      <c r="F86" s="11" t="s">
        <v>93</v>
      </c>
      <c r="G86" s="11" t="s">
        <v>495</v>
      </c>
      <c r="H86" s="12" t="s">
        <v>145</v>
      </c>
      <c r="I86" s="11" t="s">
        <v>45</v>
      </c>
      <c r="J86" s="12" t="s">
        <v>46</v>
      </c>
      <c r="K86" s="12" t="s">
        <v>46</v>
      </c>
      <c r="L86" s="13"/>
      <c r="M86" s="13">
        <v>9500</v>
      </c>
      <c r="N86" s="13">
        <v>9500</v>
      </c>
      <c r="O86" s="13">
        <f t="shared" si="2"/>
        <v>0</v>
      </c>
      <c r="P86" s="13">
        <v>10000</v>
      </c>
      <c r="Q86" s="13">
        <f t="shared" si="3"/>
        <v>500</v>
      </c>
      <c r="R86" s="13">
        <v>0</v>
      </c>
      <c r="S86" s="11" t="s">
        <v>969</v>
      </c>
      <c r="T86" s="14">
        <v>46265</v>
      </c>
      <c r="U86" s="11" t="s">
        <v>970</v>
      </c>
      <c r="V86" s="12"/>
      <c r="W86" s="13"/>
      <c r="X86" s="11"/>
      <c r="Y86" s="11"/>
      <c r="Z86" s="11" t="s">
        <v>847</v>
      </c>
      <c r="AA86" s="15"/>
    </row>
    <row r="87" spans="1:27" ht="14.25" x14ac:dyDescent="0.25">
      <c r="A87" s="9" t="s">
        <v>21</v>
      </c>
      <c r="B87" s="10" t="s">
        <v>496</v>
      </c>
      <c r="C87" s="10" t="s">
        <v>497</v>
      </c>
      <c r="D87" s="10" t="s">
        <v>498</v>
      </c>
      <c r="E87" s="11" t="s">
        <v>34</v>
      </c>
      <c r="F87" s="11" t="s">
        <v>499</v>
      </c>
      <c r="G87" s="11" t="s">
        <v>500</v>
      </c>
      <c r="H87" s="12">
        <v>1</v>
      </c>
      <c r="I87" s="11" t="s">
        <v>34</v>
      </c>
      <c r="J87" s="12" t="s">
        <v>59</v>
      </c>
      <c r="K87" s="12" t="s">
        <v>71</v>
      </c>
      <c r="L87" s="13"/>
      <c r="M87" s="13">
        <v>9000</v>
      </c>
      <c r="N87" s="13">
        <v>10000</v>
      </c>
      <c r="O87" s="13">
        <f t="shared" si="2"/>
        <v>1000</v>
      </c>
      <c r="P87" s="13">
        <v>10000</v>
      </c>
      <c r="Q87" s="13">
        <f t="shared" si="3"/>
        <v>1000</v>
      </c>
      <c r="R87" s="13">
        <v>0</v>
      </c>
      <c r="S87" s="11" t="s">
        <v>969</v>
      </c>
      <c r="T87" s="14">
        <v>46250</v>
      </c>
      <c r="U87" s="11" t="s">
        <v>970</v>
      </c>
      <c r="V87" s="12"/>
      <c r="W87" s="13"/>
      <c r="X87" s="11"/>
      <c r="Y87" s="11"/>
      <c r="Z87" s="11" t="s">
        <v>847</v>
      </c>
      <c r="AA87" s="15"/>
    </row>
    <row r="88" spans="1:27" ht="14.25" x14ac:dyDescent="0.25">
      <c r="A88" s="9" t="s">
        <v>21</v>
      </c>
      <c r="B88" s="10" t="s">
        <v>501</v>
      </c>
      <c r="C88" s="10" t="s">
        <v>502</v>
      </c>
      <c r="D88" s="10" t="s">
        <v>503</v>
      </c>
      <c r="E88" s="11" t="s">
        <v>165</v>
      </c>
      <c r="F88" s="11" t="s">
        <v>398</v>
      </c>
      <c r="G88" s="11" t="s">
        <v>399</v>
      </c>
      <c r="H88" s="12">
        <v>2</v>
      </c>
      <c r="I88" s="11" t="s">
        <v>165</v>
      </c>
      <c r="J88" s="12" t="s">
        <v>59</v>
      </c>
      <c r="K88" s="12" t="s">
        <v>71</v>
      </c>
      <c r="L88" s="13"/>
      <c r="M88" s="13">
        <v>9450</v>
      </c>
      <c r="N88" s="13">
        <v>9450</v>
      </c>
      <c r="O88" s="13">
        <f t="shared" si="2"/>
        <v>0</v>
      </c>
      <c r="P88" s="13">
        <v>10000</v>
      </c>
      <c r="Q88" s="13">
        <f t="shared" si="3"/>
        <v>550</v>
      </c>
      <c r="R88" s="13">
        <v>0</v>
      </c>
      <c r="S88" s="11" t="s">
        <v>969</v>
      </c>
      <c r="T88" s="14">
        <v>46259</v>
      </c>
      <c r="U88" s="11" t="s">
        <v>970</v>
      </c>
      <c r="V88" s="12"/>
      <c r="W88" s="13"/>
      <c r="X88" s="11"/>
      <c r="Y88" s="11"/>
      <c r="Z88" s="11" t="s">
        <v>847</v>
      </c>
      <c r="AA88" s="15"/>
    </row>
    <row r="89" spans="1:27" ht="14.25" x14ac:dyDescent="0.25">
      <c r="A89" s="9" t="s">
        <v>21</v>
      </c>
      <c r="B89" s="10" t="s">
        <v>504</v>
      </c>
      <c r="C89" s="10" t="s">
        <v>505</v>
      </c>
      <c r="D89" s="10" t="s">
        <v>506</v>
      </c>
      <c r="E89" s="11" t="s">
        <v>56</v>
      </c>
      <c r="F89" s="11" t="s">
        <v>507</v>
      </c>
      <c r="G89" s="11" t="s">
        <v>508</v>
      </c>
      <c r="H89" s="12" t="s">
        <v>509</v>
      </c>
      <c r="I89" s="11" t="s">
        <v>56</v>
      </c>
      <c r="J89" s="12" t="s">
        <v>59</v>
      </c>
      <c r="K89" s="12" t="s">
        <v>71</v>
      </c>
      <c r="L89" s="13"/>
      <c r="M89" s="13">
        <v>11800</v>
      </c>
      <c r="N89" s="13">
        <f>M89</f>
        <v>11800</v>
      </c>
      <c r="O89" s="13">
        <f t="shared" si="2"/>
        <v>0</v>
      </c>
      <c r="P89" s="13">
        <v>10000</v>
      </c>
      <c r="Q89" s="13">
        <f t="shared" si="3"/>
        <v>-1800</v>
      </c>
      <c r="R89" s="13">
        <f>VLOOKUP(B:B,[1]Sheet1!$B$1:$I$13,8,0)</f>
        <v>1800</v>
      </c>
      <c r="S89" s="11" t="s">
        <v>969</v>
      </c>
      <c r="T89" s="14" t="s">
        <v>510</v>
      </c>
      <c r="U89" s="11" t="s">
        <v>970</v>
      </c>
      <c r="V89" s="12"/>
      <c r="W89" s="13"/>
      <c r="X89" s="11"/>
      <c r="Y89" s="11"/>
      <c r="Z89" s="11" t="s">
        <v>847</v>
      </c>
      <c r="AA89" s="15"/>
    </row>
    <row r="90" spans="1:27" ht="14.25" x14ac:dyDescent="0.25">
      <c r="A90" s="9" t="s">
        <v>21</v>
      </c>
      <c r="B90" s="10" t="s">
        <v>511</v>
      </c>
      <c r="C90" s="10" t="s">
        <v>512</v>
      </c>
      <c r="D90" s="10" t="s">
        <v>513</v>
      </c>
      <c r="E90" s="11" t="s">
        <v>514</v>
      </c>
      <c r="F90" s="11" t="s">
        <v>189</v>
      </c>
      <c r="G90" s="11" t="s">
        <v>515</v>
      </c>
      <c r="H90" s="12">
        <v>2</v>
      </c>
      <c r="I90" s="11" t="s">
        <v>514</v>
      </c>
      <c r="J90" s="12" t="s">
        <v>59</v>
      </c>
      <c r="K90" s="12" t="s">
        <v>71</v>
      </c>
      <c r="L90" s="13"/>
      <c r="M90" s="13">
        <v>5250</v>
      </c>
      <c r="N90" s="13">
        <v>7250</v>
      </c>
      <c r="O90" s="13">
        <f t="shared" si="2"/>
        <v>2000</v>
      </c>
      <c r="P90" s="13">
        <v>10000</v>
      </c>
      <c r="Q90" s="13">
        <f t="shared" si="3"/>
        <v>4750</v>
      </c>
      <c r="R90" s="13">
        <v>0</v>
      </c>
      <c r="S90" s="11" t="s">
        <v>969</v>
      </c>
      <c r="T90" s="14">
        <v>46258</v>
      </c>
      <c r="U90" s="11" t="s">
        <v>970</v>
      </c>
      <c r="V90" s="12"/>
      <c r="W90" s="13"/>
      <c r="X90" s="11"/>
      <c r="Y90" s="11"/>
      <c r="Z90" s="11" t="s">
        <v>847</v>
      </c>
      <c r="AA90" s="15"/>
    </row>
    <row r="91" spans="1:27" ht="14.25" x14ac:dyDescent="0.25">
      <c r="A91" s="9" t="s">
        <v>21</v>
      </c>
      <c r="B91" s="10" t="s">
        <v>516</v>
      </c>
      <c r="C91" s="10" t="s">
        <v>517</v>
      </c>
      <c r="D91" s="10" t="s">
        <v>518</v>
      </c>
      <c r="E91" s="11" t="s">
        <v>41</v>
      </c>
      <c r="F91" s="11" t="s">
        <v>519</v>
      </c>
      <c r="G91" s="11" t="s">
        <v>520</v>
      </c>
      <c r="H91" s="12" t="s">
        <v>268</v>
      </c>
      <c r="I91" s="11" t="s">
        <v>29</v>
      </c>
      <c r="J91" s="12" t="s">
        <v>212</v>
      </c>
      <c r="K91" s="12" t="s">
        <v>71</v>
      </c>
      <c r="L91" s="13"/>
      <c r="M91" s="13">
        <v>13172</v>
      </c>
      <c r="N91" s="13">
        <f t="shared" ref="N91:N92" si="5">M91</f>
        <v>13172</v>
      </c>
      <c r="O91" s="13">
        <f t="shared" si="2"/>
        <v>0</v>
      </c>
      <c r="P91" s="13">
        <v>10000</v>
      </c>
      <c r="Q91" s="13">
        <f t="shared" si="3"/>
        <v>-3172</v>
      </c>
      <c r="R91" s="13">
        <f>VLOOKUP(B:B,[1]Sheet1!$B$1:$I$13,8,0)</f>
        <v>3172</v>
      </c>
      <c r="S91" s="11" t="s">
        <v>969</v>
      </c>
      <c r="T91" s="14">
        <v>46264</v>
      </c>
      <c r="U91" s="11" t="s">
        <v>970</v>
      </c>
      <c r="V91" s="12"/>
      <c r="W91" s="13"/>
      <c r="X91" s="11"/>
      <c r="Y91" s="11"/>
      <c r="Z91" s="11" t="s">
        <v>847</v>
      </c>
      <c r="AA91" s="15"/>
    </row>
    <row r="92" spans="1:27" ht="14.25" x14ac:dyDescent="0.25">
      <c r="A92" s="9" t="s">
        <v>21</v>
      </c>
      <c r="B92" s="10" t="s">
        <v>521</v>
      </c>
      <c r="C92" s="10" t="s">
        <v>522</v>
      </c>
      <c r="D92" s="10" t="s">
        <v>523</v>
      </c>
      <c r="E92" s="11" t="s">
        <v>41</v>
      </c>
      <c r="F92" s="11" t="s">
        <v>519</v>
      </c>
      <c r="G92" s="11" t="s">
        <v>520</v>
      </c>
      <c r="H92" s="12" t="s">
        <v>524</v>
      </c>
      <c r="I92" s="11" t="s">
        <v>29</v>
      </c>
      <c r="J92" s="12" t="s">
        <v>212</v>
      </c>
      <c r="K92" s="12" t="s">
        <v>71</v>
      </c>
      <c r="L92" s="13"/>
      <c r="M92" s="13">
        <v>13772</v>
      </c>
      <c r="N92" s="13">
        <f t="shared" si="5"/>
        <v>13772</v>
      </c>
      <c r="O92" s="13">
        <f t="shared" si="2"/>
        <v>0</v>
      </c>
      <c r="P92" s="13">
        <v>10000</v>
      </c>
      <c r="Q92" s="13">
        <f t="shared" si="3"/>
        <v>-3772</v>
      </c>
      <c r="R92" s="13">
        <f>VLOOKUP(B:B,[1]Sheet1!$B$1:$I$13,8,0)</f>
        <v>3772</v>
      </c>
      <c r="S92" s="11" t="s">
        <v>969</v>
      </c>
      <c r="T92" s="14">
        <v>46264</v>
      </c>
      <c r="U92" s="11" t="s">
        <v>970</v>
      </c>
      <c r="V92" s="12"/>
      <c r="W92" s="13"/>
      <c r="X92" s="11"/>
      <c r="Y92" s="11"/>
      <c r="Z92" s="11" t="s">
        <v>847</v>
      </c>
      <c r="AA92" s="15"/>
    </row>
    <row r="93" spans="1:27" ht="14.25" x14ac:dyDescent="0.25">
      <c r="A93" s="9" t="s">
        <v>21</v>
      </c>
      <c r="B93" s="10" t="s">
        <v>525</v>
      </c>
      <c r="C93" s="10" t="s">
        <v>526</v>
      </c>
      <c r="D93" s="10" t="s">
        <v>527</v>
      </c>
      <c r="E93" s="11" t="s">
        <v>514</v>
      </c>
      <c r="F93" s="11" t="s">
        <v>528</v>
      </c>
      <c r="G93" s="11" t="s">
        <v>529</v>
      </c>
      <c r="H93" s="12">
        <v>1</v>
      </c>
      <c r="I93" s="11" t="s">
        <v>514</v>
      </c>
      <c r="J93" s="12" t="s">
        <v>59</v>
      </c>
      <c r="K93" s="12" t="s">
        <v>71</v>
      </c>
      <c r="L93" s="13"/>
      <c r="M93" s="13">
        <v>7839</v>
      </c>
      <c r="N93" s="13">
        <v>9839</v>
      </c>
      <c r="O93" s="13">
        <f t="shared" si="2"/>
        <v>2000</v>
      </c>
      <c r="P93" s="13">
        <v>10000</v>
      </c>
      <c r="Q93" s="13">
        <f t="shared" si="3"/>
        <v>2161</v>
      </c>
      <c r="R93" s="13">
        <v>0</v>
      </c>
      <c r="S93" s="11" t="s">
        <v>969</v>
      </c>
      <c r="T93" s="14">
        <v>46265</v>
      </c>
      <c r="U93" s="11" t="s">
        <v>970</v>
      </c>
      <c r="V93" s="12"/>
      <c r="W93" s="13"/>
      <c r="X93" s="11"/>
      <c r="Y93" s="11"/>
      <c r="Z93" s="11" t="s">
        <v>847</v>
      </c>
      <c r="AA93" s="15"/>
    </row>
    <row r="94" spans="1:27" ht="28.5" x14ac:dyDescent="0.25">
      <c r="A94" s="11" t="s">
        <v>21</v>
      </c>
      <c r="B94" s="10" t="s">
        <v>530</v>
      </c>
      <c r="C94" s="10" t="s">
        <v>531</v>
      </c>
      <c r="D94" s="10" t="s">
        <v>532</v>
      </c>
      <c r="E94" s="11" t="s">
        <v>41</v>
      </c>
      <c r="F94" s="11" t="s">
        <v>469</v>
      </c>
      <c r="G94" s="11" t="s">
        <v>533</v>
      </c>
      <c r="H94" s="12" t="s">
        <v>145</v>
      </c>
      <c r="I94" s="11" t="s">
        <v>45</v>
      </c>
      <c r="J94" s="12" t="s">
        <v>46</v>
      </c>
      <c r="K94" s="12" t="s">
        <v>46</v>
      </c>
      <c r="L94" s="13"/>
      <c r="M94" s="13">
        <v>7788</v>
      </c>
      <c r="N94" s="13">
        <v>8899</v>
      </c>
      <c r="O94" s="13">
        <f t="shared" si="2"/>
        <v>1111</v>
      </c>
      <c r="P94" s="13">
        <v>10000</v>
      </c>
      <c r="Q94" s="13">
        <f t="shared" si="3"/>
        <v>2212</v>
      </c>
      <c r="R94" s="13">
        <v>0</v>
      </c>
      <c r="S94" s="11" t="s">
        <v>969</v>
      </c>
      <c r="T94" s="14">
        <v>46267</v>
      </c>
      <c r="U94" s="11" t="s">
        <v>970</v>
      </c>
      <c r="V94" s="12"/>
      <c r="W94" s="13"/>
      <c r="X94" s="11"/>
      <c r="Y94" s="11"/>
      <c r="Z94" s="11" t="s">
        <v>847</v>
      </c>
      <c r="AA94" s="15"/>
    </row>
    <row r="95" spans="1:27" ht="14.25" x14ac:dyDescent="0.25">
      <c r="A95" s="9" t="s">
        <v>21</v>
      </c>
      <c r="B95" s="10" t="s">
        <v>534</v>
      </c>
      <c r="C95" s="10" t="s">
        <v>535</v>
      </c>
      <c r="D95" s="10" t="s">
        <v>536</v>
      </c>
      <c r="E95" s="11" t="s">
        <v>169</v>
      </c>
      <c r="F95" s="11" t="s">
        <v>189</v>
      </c>
      <c r="G95" s="11" t="s">
        <v>537</v>
      </c>
      <c r="H95" s="12" t="s">
        <v>509</v>
      </c>
      <c r="I95" s="11" t="s">
        <v>169</v>
      </c>
      <c r="J95" s="12" t="s">
        <v>59</v>
      </c>
      <c r="K95" s="12" t="s">
        <v>59</v>
      </c>
      <c r="L95" s="13"/>
      <c r="M95" s="13">
        <v>2000</v>
      </c>
      <c r="N95" s="13">
        <v>4800</v>
      </c>
      <c r="O95" s="13">
        <f t="shared" si="2"/>
        <v>2800</v>
      </c>
      <c r="P95" s="13">
        <v>10000</v>
      </c>
      <c r="Q95" s="13">
        <f t="shared" si="3"/>
        <v>8000</v>
      </c>
      <c r="R95" s="13">
        <v>0</v>
      </c>
      <c r="S95" s="11" t="s">
        <v>969</v>
      </c>
      <c r="T95" s="14">
        <v>46266</v>
      </c>
      <c r="U95" s="11" t="s">
        <v>970</v>
      </c>
      <c r="V95" s="12"/>
      <c r="W95" s="13"/>
      <c r="X95" s="11"/>
      <c r="Y95" s="11"/>
      <c r="Z95" s="11" t="s">
        <v>847</v>
      </c>
      <c r="AA95" s="15"/>
    </row>
    <row r="96" spans="1:27" ht="14.25" x14ac:dyDescent="0.25">
      <c r="A96" s="9" t="s">
        <v>21</v>
      </c>
      <c r="B96" s="10" t="s">
        <v>538</v>
      </c>
      <c r="C96" s="10" t="s">
        <v>539</v>
      </c>
      <c r="D96" s="10" t="s">
        <v>540</v>
      </c>
      <c r="E96" s="11" t="s">
        <v>165</v>
      </c>
      <c r="F96" s="11" t="s">
        <v>541</v>
      </c>
      <c r="G96" s="11" t="s">
        <v>542</v>
      </c>
      <c r="H96" s="12" t="s">
        <v>420</v>
      </c>
      <c r="I96" s="11" t="s">
        <v>169</v>
      </c>
      <c r="J96" s="12" t="s">
        <v>59</v>
      </c>
      <c r="K96" s="12" t="s">
        <v>59</v>
      </c>
      <c r="L96" s="13"/>
      <c r="M96" s="13">
        <v>8379</v>
      </c>
      <c r="N96" s="13">
        <v>9379</v>
      </c>
      <c r="O96" s="13">
        <f t="shared" si="2"/>
        <v>1000</v>
      </c>
      <c r="P96" s="13">
        <v>10000</v>
      </c>
      <c r="Q96" s="13">
        <f t="shared" si="3"/>
        <v>1621</v>
      </c>
      <c r="R96" s="13">
        <v>0</v>
      </c>
      <c r="S96" s="11" t="s">
        <v>969</v>
      </c>
      <c r="T96" s="14">
        <v>46267</v>
      </c>
      <c r="U96" s="11" t="s">
        <v>970</v>
      </c>
      <c r="V96" s="12"/>
      <c r="W96" s="13"/>
      <c r="X96" s="11"/>
      <c r="Y96" s="11"/>
      <c r="Z96" s="11" t="s">
        <v>847</v>
      </c>
      <c r="AA96" s="15"/>
    </row>
    <row r="97" spans="1:27" ht="14.25" x14ac:dyDescent="0.25">
      <c r="A97" s="9" t="s">
        <v>21</v>
      </c>
      <c r="B97" s="10" t="s">
        <v>543</v>
      </c>
      <c r="C97" s="10" t="s">
        <v>544</v>
      </c>
      <c r="D97" s="10" t="s">
        <v>545</v>
      </c>
      <c r="E97" s="11" t="s">
        <v>41</v>
      </c>
      <c r="F97" s="11" t="s">
        <v>331</v>
      </c>
      <c r="G97" s="11" t="s">
        <v>546</v>
      </c>
      <c r="H97" s="12" t="s">
        <v>547</v>
      </c>
      <c r="I97" s="11" t="s">
        <v>25</v>
      </c>
      <c r="J97" s="12" t="s">
        <v>30</v>
      </c>
      <c r="K97" s="12" t="s">
        <v>30</v>
      </c>
      <c r="L97" s="13"/>
      <c r="M97" s="13">
        <f>5000+5313</f>
        <v>10313</v>
      </c>
      <c r="N97" s="13">
        <v>10000</v>
      </c>
      <c r="O97" s="13">
        <f t="shared" si="2"/>
        <v>-313</v>
      </c>
      <c r="P97" s="13">
        <v>10000</v>
      </c>
      <c r="Q97" s="13">
        <f t="shared" si="3"/>
        <v>-313</v>
      </c>
      <c r="R97" s="13">
        <v>0</v>
      </c>
      <c r="S97" s="11" t="s">
        <v>969</v>
      </c>
      <c r="T97" s="14">
        <v>46267</v>
      </c>
      <c r="U97" s="11" t="s">
        <v>970</v>
      </c>
      <c r="V97" s="12"/>
      <c r="W97" s="13"/>
      <c r="X97" s="11"/>
      <c r="Y97" s="11"/>
      <c r="Z97" s="11" t="s">
        <v>847</v>
      </c>
      <c r="AA97" s="15"/>
    </row>
    <row r="98" spans="1:27" ht="14.25" x14ac:dyDescent="0.25">
      <c r="A98" s="9" t="s">
        <v>21</v>
      </c>
      <c r="B98" s="10" t="s">
        <v>548</v>
      </c>
      <c r="C98" s="10" t="s">
        <v>549</v>
      </c>
      <c r="D98" s="10" t="s">
        <v>550</v>
      </c>
      <c r="E98" s="11" t="s">
        <v>56</v>
      </c>
      <c r="F98" s="11" t="s">
        <v>551</v>
      </c>
      <c r="G98" s="11" t="s">
        <v>552</v>
      </c>
      <c r="H98" s="12" t="s">
        <v>250</v>
      </c>
      <c r="I98" s="11" t="s">
        <v>291</v>
      </c>
      <c r="J98" s="12" t="s">
        <v>30</v>
      </c>
      <c r="K98" s="12" t="s">
        <v>30</v>
      </c>
      <c r="L98" s="13"/>
      <c r="M98" s="13">
        <v>10000</v>
      </c>
      <c r="N98" s="13">
        <v>10000</v>
      </c>
      <c r="O98" s="13">
        <f t="shared" si="2"/>
        <v>0</v>
      </c>
      <c r="P98" s="13">
        <v>10000</v>
      </c>
      <c r="Q98" s="13">
        <f t="shared" si="3"/>
        <v>0</v>
      </c>
      <c r="R98" s="13">
        <v>0</v>
      </c>
      <c r="S98" s="11" t="s">
        <v>969</v>
      </c>
      <c r="T98" s="14">
        <v>46267</v>
      </c>
      <c r="U98" s="11" t="s">
        <v>970</v>
      </c>
      <c r="V98" s="12"/>
      <c r="W98" s="13"/>
      <c r="X98" s="11"/>
      <c r="Y98" s="11"/>
      <c r="Z98" s="11" t="s">
        <v>847</v>
      </c>
      <c r="AA98" s="15"/>
    </row>
    <row r="99" spans="1:27" ht="14.25" x14ac:dyDescent="0.25">
      <c r="A99" s="9" t="s">
        <v>21</v>
      </c>
      <c r="B99" s="10" t="s">
        <v>553</v>
      </c>
      <c r="C99" s="10" t="s">
        <v>554</v>
      </c>
      <c r="D99" s="10" t="s">
        <v>555</v>
      </c>
      <c r="E99" s="11" t="s">
        <v>41</v>
      </c>
      <c r="F99" s="11" t="s">
        <v>556</v>
      </c>
      <c r="G99" s="11" t="s">
        <v>557</v>
      </c>
      <c r="H99" s="12" t="s">
        <v>318</v>
      </c>
      <c r="I99" s="11" t="s">
        <v>29</v>
      </c>
      <c r="J99" s="12" t="s">
        <v>46</v>
      </c>
      <c r="K99" s="12" t="s">
        <v>46</v>
      </c>
      <c r="L99" s="13"/>
      <c r="M99" s="13">
        <v>4518</v>
      </c>
      <c r="N99" s="13">
        <v>9860</v>
      </c>
      <c r="O99" s="13">
        <f t="shared" si="2"/>
        <v>5342</v>
      </c>
      <c r="P99" s="13">
        <v>10000</v>
      </c>
      <c r="Q99" s="13">
        <f t="shared" si="3"/>
        <v>5482</v>
      </c>
      <c r="R99" s="13">
        <v>0</v>
      </c>
      <c r="S99" s="11" t="s">
        <v>969</v>
      </c>
      <c r="T99" s="14">
        <v>46268</v>
      </c>
      <c r="U99" s="11" t="s">
        <v>970</v>
      </c>
      <c r="V99" s="12"/>
      <c r="W99" s="13"/>
      <c r="X99" s="11"/>
      <c r="Y99" s="11"/>
      <c r="Z99" s="11" t="s">
        <v>847</v>
      </c>
      <c r="AA99" s="15"/>
    </row>
    <row r="100" spans="1:27" ht="14.25" x14ac:dyDescent="0.25">
      <c r="A100" s="9" t="s">
        <v>21</v>
      </c>
      <c r="B100" s="10" t="s">
        <v>558</v>
      </c>
      <c r="C100" s="10" t="s">
        <v>559</v>
      </c>
      <c r="D100" s="10" t="s">
        <v>560</v>
      </c>
      <c r="E100" s="11" t="s">
        <v>41</v>
      </c>
      <c r="F100" s="11" t="s">
        <v>561</v>
      </c>
      <c r="G100" s="11" t="s">
        <v>562</v>
      </c>
      <c r="H100" s="12" t="s">
        <v>563</v>
      </c>
      <c r="I100" s="11" t="s">
        <v>29</v>
      </c>
      <c r="J100" s="12" t="s">
        <v>212</v>
      </c>
      <c r="K100" s="12" t="s">
        <v>52</v>
      </c>
      <c r="L100" s="13"/>
      <c r="M100" s="13">
        <v>5231</v>
      </c>
      <c r="N100" s="13">
        <v>9780</v>
      </c>
      <c r="O100" s="13">
        <f t="shared" si="2"/>
        <v>4549</v>
      </c>
      <c r="P100" s="13">
        <v>10000</v>
      </c>
      <c r="Q100" s="13">
        <f t="shared" si="3"/>
        <v>4769</v>
      </c>
      <c r="R100" s="13">
        <v>0</v>
      </c>
      <c r="S100" s="11" t="s">
        <v>969</v>
      </c>
      <c r="T100" s="14">
        <v>46265</v>
      </c>
      <c r="U100" s="11" t="s">
        <v>970</v>
      </c>
      <c r="V100" s="12"/>
      <c r="W100" s="13"/>
      <c r="X100" s="11"/>
      <c r="Y100" s="11"/>
      <c r="Z100" s="11" t="s">
        <v>847</v>
      </c>
      <c r="AA100" s="15"/>
    </row>
    <row r="101" spans="1:27" ht="14.25" x14ac:dyDescent="0.25">
      <c r="A101" s="9" t="s">
        <v>21</v>
      </c>
      <c r="B101" s="10" t="s">
        <v>564</v>
      </c>
      <c r="C101" s="10" t="s">
        <v>565</v>
      </c>
      <c r="D101" s="10" t="s">
        <v>566</v>
      </c>
      <c r="E101" s="11" t="s">
        <v>34</v>
      </c>
      <c r="F101" s="11" t="s">
        <v>567</v>
      </c>
      <c r="G101" s="11" t="s">
        <v>568</v>
      </c>
      <c r="H101" s="12" t="s">
        <v>37</v>
      </c>
      <c r="I101" s="11" t="s">
        <v>34</v>
      </c>
      <c r="J101" s="12" t="s">
        <v>59</v>
      </c>
      <c r="K101" s="12" t="s">
        <v>52</v>
      </c>
      <c r="L101" s="13"/>
      <c r="M101" s="13">
        <v>10000</v>
      </c>
      <c r="N101" s="13">
        <v>10000</v>
      </c>
      <c r="O101" s="13">
        <f t="shared" si="2"/>
        <v>0</v>
      </c>
      <c r="P101" s="13">
        <v>10000</v>
      </c>
      <c r="Q101" s="13">
        <f t="shared" si="3"/>
        <v>0</v>
      </c>
      <c r="R101" s="13">
        <v>0</v>
      </c>
      <c r="S101" s="11" t="s">
        <v>969</v>
      </c>
      <c r="T101" s="14">
        <v>46265</v>
      </c>
      <c r="U101" s="11" t="s">
        <v>970</v>
      </c>
      <c r="V101" s="12"/>
      <c r="W101" s="13"/>
      <c r="X101" s="11"/>
      <c r="Y101" s="11"/>
      <c r="Z101" s="11" t="s">
        <v>847</v>
      </c>
      <c r="AA101" s="15"/>
    </row>
    <row r="102" spans="1:27" ht="28.5" x14ac:dyDescent="0.25">
      <c r="A102" s="9" t="s">
        <v>21</v>
      </c>
      <c r="B102" s="10" t="s">
        <v>569</v>
      </c>
      <c r="C102" s="10" t="s">
        <v>570</v>
      </c>
      <c r="D102" s="10" t="s">
        <v>571</v>
      </c>
      <c r="E102" s="11" t="s">
        <v>34</v>
      </c>
      <c r="F102" s="11" t="s">
        <v>398</v>
      </c>
      <c r="G102" s="11" t="s">
        <v>572</v>
      </c>
      <c r="H102" s="12" t="s">
        <v>37</v>
      </c>
      <c r="I102" s="11" t="s">
        <v>34</v>
      </c>
      <c r="J102" s="12" t="s">
        <v>59</v>
      </c>
      <c r="K102" s="12" t="s">
        <v>52</v>
      </c>
      <c r="L102" s="13"/>
      <c r="M102" s="13">
        <v>8500</v>
      </c>
      <c r="N102" s="13">
        <v>9700</v>
      </c>
      <c r="O102" s="13">
        <f t="shared" si="2"/>
        <v>1200</v>
      </c>
      <c r="P102" s="13">
        <v>10000</v>
      </c>
      <c r="Q102" s="13">
        <f t="shared" si="3"/>
        <v>1500</v>
      </c>
      <c r="R102" s="13">
        <v>0</v>
      </c>
      <c r="S102" s="11" t="s">
        <v>969</v>
      </c>
      <c r="T102" s="14">
        <v>46267</v>
      </c>
      <c r="U102" s="11" t="s">
        <v>970</v>
      </c>
      <c r="V102" s="12"/>
      <c r="W102" s="13"/>
      <c r="X102" s="11"/>
      <c r="Y102" s="11"/>
      <c r="Z102" s="11" t="s">
        <v>847</v>
      </c>
      <c r="AA102" s="15"/>
    </row>
    <row r="103" spans="1:27" ht="28.5" x14ac:dyDescent="0.25">
      <c r="A103" s="9" t="s">
        <v>21</v>
      </c>
      <c r="B103" s="10" t="s">
        <v>573</v>
      </c>
      <c r="C103" s="10" t="s">
        <v>574</v>
      </c>
      <c r="D103" s="10" t="s">
        <v>575</v>
      </c>
      <c r="E103" s="11" t="s">
        <v>41</v>
      </c>
      <c r="F103" s="11" t="s">
        <v>295</v>
      </c>
      <c r="G103" s="11" t="s">
        <v>576</v>
      </c>
      <c r="H103" s="12" t="s">
        <v>577</v>
      </c>
      <c r="I103" s="11" t="s">
        <v>29</v>
      </c>
      <c r="J103" s="12" t="s">
        <v>212</v>
      </c>
      <c r="K103" s="12" t="s">
        <v>52</v>
      </c>
      <c r="L103" s="13"/>
      <c r="M103" s="13">
        <v>8272</v>
      </c>
      <c r="N103" s="13">
        <v>9872</v>
      </c>
      <c r="O103" s="13">
        <f t="shared" si="2"/>
        <v>1600</v>
      </c>
      <c r="P103" s="13">
        <v>10000</v>
      </c>
      <c r="Q103" s="13">
        <f t="shared" si="3"/>
        <v>1728</v>
      </c>
      <c r="R103" s="13">
        <v>0</v>
      </c>
      <c r="S103" s="11" t="s">
        <v>969</v>
      </c>
      <c r="T103" s="14">
        <v>46267</v>
      </c>
      <c r="U103" s="11" t="s">
        <v>970</v>
      </c>
      <c r="V103" s="12"/>
      <c r="W103" s="13"/>
      <c r="X103" s="11"/>
      <c r="Y103" s="11"/>
      <c r="Z103" s="11" t="s">
        <v>847</v>
      </c>
      <c r="AA103" s="15"/>
    </row>
    <row r="104" spans="1:27" ht="14.25" x14ac:dyDescent="0.25">
      <c r="A104" s="9" t="s">
        <v>21</v>
      </c>
      <c r="B104" s="10" t="s">
        <v>578</v>
      </c>
      <c r="C104" s="10" t="s">
        <v>579</v>
      </c>
      <c r="D104" s="10" t="s">
        <v>580</v>
      </c>
      <c r="E104" s="11" t="s">
        <v>41</v>
      </c>
      <c r="F104" s="11" t="s">
        <v>581</v>
      </c>
      <c r="G104" s="11" t="s">
        <v>582</v>
      </c>
      <c r="H104" s="12" t="s">
        <v>245</v>
      </c>
      <c r="I104" s="11" t="s">
        <v>29</v>
      </c>
      <c r="J104" s="12" t="s">
        <v>46</v>
      </c>
      <c r="K104" s="12" t="s">
        <v>46</v>
      </c>
      <c r="L104" s="13"/>
      <c r="M104" s="13">
        <v>9853</v>
      </c>
      <c r="N104" s="13">
        <v>9853</v>
      </c>
      <c r="O104" s="13">
        <f t="shared" si="2"/>
        <v>0</v>
      </c>
      <c r="P104" s="13">
        <v>10000</v>
      </c>
      <c r="Q104" s="13">
        <f t="shared" si="3"/>
        <v>147</v>
      </c>
      <c r="R104" s="13">
        <v>0</v>
      </c>
      <c r="S104" s="11" t="s">
        <v>969</v>
      </c>
      <c r="T104" s="14">
        <v>46268</v>
      </c>
      <c r="U104" s="11" t="s">
        <v>970</v>
      </c>
      <c r="V104" s="12"/>
      <c r="W104" s="13"/>
      <c r="X104" s="11"/>
      <c r="Y104" s="11"/>
      <c r="Z104" s="11" t="s">
        <v>847</v>
      </c>
      <c r="AA104" s="15"/>
    </row>
    <row r="105" spans="1:27" ht="28.5" x14ac:dyDescent="0.25">
      <c r="A105" s="9" t="s">
        <v>21</v>
      </c>
      <c r="B105" s="10" t="s">
        <v>583</v>
      </c>
      <c r="C105" s="10" t="s">
        <v>584</v>
      </c>
      <c r="D105" s="10" t="s">
        <v>585</v>
      </c>
      <c r="E105" s="11" t="s">
        <v>41</v>
      </c>
      <c r="F105" s="11" t="s">
        <v>586</v>
      </c>
      <c r="G105" s="11" t="s">
        <v>587</v>
      </c>
      <c r="H105" s="12" t="s">
        <v>308</v>
      </c>
      <c r="I105" s="11" t="s">
        <v>156</v>
      </c>
      <c r="J105" s="12" t="s">
        <v>46</v>
      </c>
      <c r="K105" s="12" t="s">
        <v>46</v>
      </c>
      <c r="L105" s="13"/>
      <c r="M105" s="13">
        <v>8732</v>
      </c>
      <c r="N105" s="13">
        <v>10000</v>
      </c>
      <c r="O105" s="13">
        <f t="shared" si="2"/>
        <v>1268</v>
      </c>
      <c r="P105" s="13">
        <v>10000</v>
      </c>
      <c r="Q105" s="13">
        <f t="shared" si="3"/>
        <v>1268</v>
      </c>
      <c r="R105" s="13">
        <v>0</v>
      </c>
      <c r="S105" s="11" t="s">
        <v>969</v>
      </c>
      <c r="T105" s="14">
        <v>46269</v>
      </c>
      <c r="U105" s="11" t="s">
        <v>970</v>
      </c>
      <c r="V105" s="12"/>
      <c r="W105" s="13"/>
      <c r="X105" s="11"/>
      <c r="Y105" s="11"/>
      <c r="Z105" s="11" t="s">
        <v>847</v>
      </c>
      <c r="AA105" s="15"/>
    </row>
    <row r="106" spans="1:27" ht="14.25" x14ac:dyDescent="0.25">
      <c r="A106" s="9" t="s">
        <v>21</v>
      </c>
      <c r="B106" s="10" t="s">
        <v>588</v>
      </c>
      <c r="C106" s="10" t="s">
        <v>589</v>
      </c>
      <c r="D106" s="10" t="s">
        <v>590</v>
      </c>
      <c r="E106" s="11" t="s">
        <v>34</v>
      </c>
      <c r="F106" s="11" t="s">
        <v>591</v>
      </c>
      <c r="G106" s="11" t="s">
        <v>592</v>
      </c>
      <c r="H106" s="12" t="s">
        <v>37</v>
      </c>
      <c r="I106" s="11" t="s">
        <v>34</v>
      </c>
      <c r="J106" s="12" t="s">
        <v>30</v>
      </c>
      <c r="K106" s="12" t="s">
        <v>30</v>
      </c>
      <c r="L106" s="13"/>
      <c r="M106" s="13">
        <v>10000</v>
      </c>
      <c r="N106" s="13">
        <v>10000</v>
      </c>
      <c r="O106" s="13">
        <f t="shared" si="2"/>
        <v>0</v>
      </c>
      <c r="P106" s="13">
        <v>10000</v>
      </c>
      <c r="Q106" s="13">
        <f t="shared" si="3"/>
        <v>0</v>
      </c>
      <c r="R106" s="13">
        <v>0</v>
      </c>
      <c r="S106" s="11" t="s">
        <v>969</v>
      </c>
      <c r="T106" s="14">
        <v>46268</v>
      </c>
      <c r="U106" s="11" t="s">
        <v>970</v>
      </c>
      <c r="V106" s="12"/>
      <c r="W106" s="13"/>
      <c r="X106" s="11"/>
      <c r="Y106" s="11"/>
      <c r="Z106" s="11" t="s">
        <v>847</v>
      </c>
      <c r="AA106" s="15"/>
    </row>
    <row r="107" spans="1:27" ht="14.25" x14ac:dyDescent="0.25">
      <c r="A107" s="9" t="s">
        <v>21</v>
      </c>
      <c r="B107" s="10" t="s">
        <v>594</v>
      </c>
      <c r="C107" s="10" t="s">
        <v>595</v>
      </c>
      <c r="D107" s="10" t="s">
        <v>596</v>
      </c>
      <c r="E107" s="11" t="s">
        <v>41</v>
      </c>
      <c r="F107" s="11" t="s">
        <v>586</v>
      </c>
      <c r="G107" s="11" t="s">
        <v>582</v>
      </c>
      <c r="H107" s="12" t="s">
        <v>44</v>
      </c>
      <c r="I107" s="11" t="s">
        <v>593</v>
      </c>
      <c r="J107" s="12" t="s">
        <v>46</v>
      </c>
      <c r="K107" s="12" t="s">
        <v>46</v>
      </c>
      <c r="L107" s="13"/>
      <c r="M107" s="13">
        <v>10000</v>
      </c>
      <c r="N107" s="13">
        <v>10000</v>
      </c>
      <c r="O107" s="13">
        <f t="shared" si="2"/>
        <v>0</v>
      </c>
      <c r="P107" s="13">
        <v>10000</v>
      </c>
      <c r="Q107" s="13">
        <f t="shared" si="3"/>
        <v>0</v>
      </c>
      <c r="R107" s="13">
        <v>0</v>
      </c>
      <c r="S107" s="11" t="s">
        <v>969</v>
      </c>
      <c r="T107" s="14">
        <v>46276</v>
      </c>
      <c r="U107" s="11" t="s">
        <v>970</v>
      </c>
      <c r="V107" s="12"/>
      <c r="W107" s="13"/>
      <c r="X107" s="11"/>
      <c r="Y107" s="11"/>
      <c r="Z107" s="11" t="s">
        <v>847</v>
      </c>
      <c r="AA107" s="15"/>
    </row>
    <row r="108" spans="1:27" ht="28.5" x14ac:dyDescent="0.25">
      <c r="A108" s="9" t="s">
        <v>21</v>
      </c>
      <c r="B108" s="10" t="s">
        <v>597</v>
      </c>
      <c r="C108" s="10" t="s">
        <v>598</v>
      </c>
      <c r="D108" s="10" t="s">
        <v>599</v>
      </c>
      <c r="E108" s="11" t="s">
        <v>41</v>
      </c>
      <c r="F108" s="11" t="s">
        <v>586</v>
      </c>
      <c r="G108" s="11" t="s">
        <v>600</v>
      </c>
      <c r="H108" s="12" t="s">
        <v>308</v>
      </c>
      <c r="I108" s="11" t="s">
        <v>593</v>
      </c>
      <c r="J108" s="12" t="s">
        <v>46</v>
      </c>
      <c r="K108" s="12" t="s">
        <v>46</v>
      </c>
      <c r="L108" s="13"/>
      <c r="M108" s="13">
        <v>12372</v>
      </c>
      <c r="N108" s="13">
        <f>M108</f>
        <v>12372</v>
      </c>
      <c r="O108" s="13">
        <f t="shared" si="2"/>
        <v>0</v>
      </c>
      <c r="P108" s="13">
        <v>10000</v>
      </c>
      <c r="Q108" s="13">
        <f t="shared" si="3"/>
        <v>-2372</v>
      </c>
      <c r="R108" s="13">
        <f>VLOOKUP(B:B,[1]Sheet1!$B$1:$I$13,8,0)</f>
        <v>2372</v>
      </c>
      <c r="S108" s="11" t="s">
        <v>969</v>
      </c>
      <c r="T108" s="14">
        <v>46271</v>
      </c>
      <c r="U108" s="11" t="s">
        <v>970</v>
      </c>
      <c r="V108" s="12"/>
      <c r="W108" s="13"/>
      <c r="X108" s="11"/>
      <c r="Y108" s="11"/>
      <c r="Z108" s="11" t="s">
        <v>847</v>
      </c>
      <c r="AA108" s="15"/>
    </row>
    <row r="109" spans="1:27" ht="14.25" x14ac:dyDescent="0.25">
      <c r="A109" s="9" t="s">
        <v>21</v>
      </c>
      <c r="B109" s="10" t="s">
        <v>601</v>
      </c>
      <c r="C109" s="10" t="s">
        <v>602</v>
      </c>
      <c r="D109" s="10" t="s">
        <v>603</v>
      </c>
      <c r="E109" s="11" t="s">
        <v>41</v>
      </c>
      <c r="F109" s="11" t="s">
        <v>604</v>
      </c>
      <c r="G109" s="11" t="s">
        <v>605</v>
      </c>
      <c r="H109" s="12" t="s">
        <v>308</v>
      </c>
      <c r="I109" s="11" t="s">
        <v>593</v>
      </c>
      <c r="J109" s="12" t="s">
        <v>46</v>
      </c>
      <c r="K109" s="12" t="s">
        <v>46</v>
      </c>
      <c r="L109" s="13"/>
      <c r="M109" s="13">
        <v>8380</v>
      </c>
      <c r="N109" s="13">
        <v>9380</v>
      </c>
      <c r="O109" s="13">
        <f t="shared" si="2"/>
        <v>1000</v>
      </c>
      <c r="P109" s="13">
        <v>10000</v>
      </c>
      <c r="Q109" s="13">
        <f t="shared" si="3"/>
        <v>1620</v>
      </c>
      <c r="R109" s="13">
        <v>0</v>
      </c>
      <c r="S109" s="11" t="s">
        <v>969</v>
      </c>
      <c r="T109" s="14">
        <v>46271</v>
      </c>
      <c r="U109" s="11" t="s">
        <v>970</v>
      </c>
      <c r="V109" s="12"/>
      <c r="W109" s="13"/>
      <c r="X109" s="11"/>
      <c r="Y109" s="11"/>
      <c r="Z109" s="11" t="s">
        <v>847</v>
      </c>
      <c r="AA109" s="15"/>
    </row>
    <row r="110" spans="1:27" ht="28.5" x14ac:dyDescent="0.25">
      <c r="A110" s="9" t="s">
        <v>21</v>
      </c>
      <c r="B110" s="10" t="s">
        <v>606</v>
      </c>
      <c r="C110" s="10" t="s">
        <v>607</v>
      </c>
      <c r="D110" s="10" t="s">
        <v>608</v>
      </c>
      <c r="E110" s="11" t="s">
        <v>56</v>
      </c>
      <c r="F110" s="11" t="s">
        <v>609</v>
      </c>
      <c r="G110" s="11" t="s">
        <v>610</v>
      </c>
      <c r="H110" s="12" t="s">
        <v>132</v>
      </c>
      <c r="I110" s="11" t="s">
        <v>291</v>
      </c>
      <c r="J110" s="12" t="s">
        <v>46</v>
      </c>
      <c r="K110" s="12" t="s">
        <v>52</v>
      </c>
      <c r="L110" s="13"/>
      <c r="M110" s="13">
        <v>10200</v>
      </c>
      <c r="N110" s="13">
        <v>10000</v>
      </c>
      <c r="O110" s="13">
        <f t="shared" si="2"/>
        <v>-200</v>
      </c>
      <c r="P110" s="13">
        <v>10000</v>
      </c>
      <c r="Q110" s="13">
        <f t="shared" si="3"/>
        <v>-200</v>
      </c>
      <c r="R110" s="13">
        <v>0</v>
      </c>
      <c r="S110" s="11" t="s">
        <v>969</v>
      </c>
      <c r="T110" s="14">
        <v>46268</v>
      </c>
      <c r="U110" s="11" t="s">
        <v>970</v>
      </c>
      <c r="V110" s="12"/>
      <c r="W110" s="13"/>
      <c r="X110" s="11"/>
      <c r="Y110" s="11"/>
      <c r="Z110" s="11" t="s">
        <v>847</v>
      </c>
      <c r="AA110" s="15"/>
    </row>
    <row r="111" spans="1:27" ht="14.25" x14ac:dyDescent="0.25">
      <c r="A111" s="9" t="s">
        <v>21</v>
      </c>
      <c r="B111" s="10" t="s">
        <v>611</v>
      </c>
      <c r="C111" s="10" t="s">
        <v>612</v>
      </c>
      <c r="D111" s="10" t="s">
        <v>613</v>
      </c>
      <c r="E111" s="11" t="s">
        <v>41</v>
      </c>
      <c r="F111" s="11" t="s">
        <v>614</v>
      </c>
      <c r="G111" s="11" t="s">
        <v>615</v>
      </c>
      <c r="H111" s="12" t="s">
        <v>616</v>
      </c>
      <c r="I111" s="11" t="s">
        <v>617</v>
      </c>
      <c r="J111" s="12" t="s">
        <v>30</v>
      </c>
      <c r="K111" s="12" t="s">
        <v>30</v>
      </c>
      <c r="L111" s="13"/>
      <c r="M111" s="13">
        <v>4741</v>
      </c>
      <c r="N111" s="13">
        <v>8471</v>
      </c>
      <c r="O111" s="13">
        <f t="shared" si="2"/>
        <v>3730</v>
      </c>
      <c r="P111" s="13">
        <v>10000</v>
      </c>
      <c r="Q111" s="13">
        <f t="shared" si="3"/>
        <v>5259</v>
      </c>
      <c r="R111" s="13">
        <v>0</v>
      </c>
      <c r="S111" s="11" t="s">
        <v>969</v>
      </c>
      <c r="T111" s="14">
        <v>46271</v>
      </c>
      <c r="U111" s="11" t="s">
        <v>970</v>
      </c>
      <c r="V111" s="12"/>
      <c r="W111" s="13"/>
      <c r="X111" s="11"/>
      <c r="Y111" s="11"/>
      <c r="Z111" s="11" t="s">
        <v>847</v>
      </c>
      <c r="AA111" s="15"/>
    </row>
    <row r="112" spans="1:27" ht="14.25" x14ac:dyDescent="0.25">
      <c r="A112" s="9" t="s">
        <v>21</v>
      </c>
      <c r="B112" s="10" t="s">
        <v>618</v>
      </c>
      <c r="C112" s="10" t="s">
        <v>619</v>
      </c>
      <c r="D112" s="10" t="s">
        <v>620</v>
      </c>
      <c r="E112" s="11" t="s">
        <v>41</v>
      </c>
      <c r="F112" s="11" t="s">
        <v>621</v>
      </c>
      <c r="G112" s="11" t="s">
        <v>622</v>
      </c>
      <c r="H112" s="12" t="s">
        <v>616</v>
      </c>
      <c r="I112" s="11" t="s">
        <v>617</v>
      </c>
      <c r="J112" s="12" t="s">
        <v>30</v>
      </c>
      <c r="K112" s="12" t="s">
        <v>30</v>
      </c>
      <c r="L112" s="13"/>
      <c r="M112" s="13">
        <v>4314</v>
      </c>
      <c r="N112" s="13">
        <v>8850</v>
      </c>
      <c r="O112" s="13">
        <f t="shared" si="2"/>
        <v>4536</v>
      </c>
      <c r="P112" s="13">
        <v>10000</v>
      </c>
      <c r="Q112" s="13">
        <f t="shared" si="3"/>
        <v>5686</v>
      </c>
      <c r="R112" s="13">
        <v>0</v>
      </c>
      <c r="S112" s="11" t="s">
        <v>969</v>
      </c>
      <c r="T112" s="14">
        <v>46271</v>
      </c>
      <c r="U112" s="11" t="s">
        <v>970</v>
      </c>
      <c r="V112" s="12"/>
      <c r="W112" s="13"/>
      <c r="X112" s="11"/>
      <c r="Y112" s="11"/>
      <c r="Z112" s="11" t="s">
        <v>847</v>
      </c>
      <c r="AA112" s="15"/>
    </row>
    <row r="113" spans="1:27" ht="14.25" x14ac:dyDescent="0.25">
      <c r="A113" s="9" t="s">
        <v>21</v>
      </c>
      <c r="B113" s="10" t="s">
        <v>623</v>
      </c>
      <c r="C113" s="10" t="s">
        <v>624</v>
      </c>
      <c r="D113" s="10" t="s">
        <v>625</v>
      </c>
      <c r="E113" s="11" t="s">
        <v>41</v>
      </c>
      <c r="F113" s="11" t="s">
        <v>626</v>
      </c>
      <c r="G113" s="11" t="s">
        <v>627</v>
      </c>
      <c r="H113" s="12" t="s">
        <v>628</v>
      </c>
      <c r="I113" s="11" t="s">
        <v>45</v>
      </c>
      <c r="J113" s="12" t="s">
        <v>30</v>
      </c>
      <c r="K113" s="12" t="s">
        <v>30</v>
      </c>
      <c r="L113" s="13"/>
      <c r="M113" s="13">
        <v>8875</v>
      </c>
      <c r="N113" s="13">
        <v>9875</v>
      </c>
      <c r="O113" s="13">
        <f t="shared" si="2"/>
        <v>1000</v>
      </c>
      <c r="P113" s="13">
        <v>10000</v>
      </c>
      <c r="Q113" s="13">
        <f t="shared" si="3"/>
        <v>1125</v>
      </c>
      <c r="R113" s="13">
        <v>0</v>
      </c>
      <c r="S113" s="11" t="s">
        <v>969</v>
      </c>
      <c r="T113" s="14">
        <v>46271</v>
      </c>
      <c r="U113" s="11" t="s">
        <v>970</v>
      </c>
      <c r="V113" s="12"/>
      <c r="W113" s="13"/>
      <c r="X113" s="11"/>
      <c r="Y113" s="11"/>
      <c r="Z113" s="11" t="s">
        <v>847</v>
      </c>
      <c r="AA113" s="15"/>
    </row>
    <row r="114" spans="1:27" ht="14.25" x14ac:dyDescent="0.25">
      <c r="A114" s="9" t="s">
        <v>21</v>
      </c>
      <c r="B114" s="10" t="s">
        <v>629</v>
      </c>
      <c r="C114" s="10" t="s">
        <v>630</v>
      </c>
      <c r="D114" s="10" t="s">
        <v>631</v>
      </c>
      <c r="E114" s="11" t="s">
        <v>41</v>
      </c>
      <c r="F114" s="11" t="s">
        <v>632</v>
      </c>
      <c r="G114" s="11" t="s">
        <v>633</v>
      </c>
      <c r="H114" s="12" t="s">
        <v>268</v>
      </c>
      <c r="I114" s="11" t="s">
        <v>45</v>
      </c>
      <c r="J114" s="12" t="s">
        <v>212</v>
      </c>
      <c r="K114" s="12" t="s">
        <v>52</v>
      </c>
      <c r="L114" s="13"/>
      <c r="M114" s="13">
        <v>11033</v>
      </c>
      <c r="N114" s="13">
        <v>10000</v>
      </c>
      <c r="O114" s="13">
        <f t="shared" si="2"/>
        <v>-1033</v>
      </c>
      <c r="P114" s="13">
        <v>10000</v>
      </c>
      <c r="Q114" s="13">
        <f t="shared" si="3"/>
        <v>-1033</v>
      </c>
      <c r="R114" s="13">
        <v>0</v>
      </c>
      <c r="S114" s="11" t="s">
        <v>969</v>
      </c>
      <c r="T114" s="14">
        <v>46271</v>
      </c>
      <c r="U114" s="11" t="s">
        <v>970</v>
      </c>
      <c r="V114" s="12"/>
      <c r="W114" s="13"/>
      <c r="X114" s="11"/>
      <c r="Y114" s="11"/>
      <c r="Z114" s="11" t="s">
        <v>847</v>
      </c>
      <c r="AA114" s="15"/>
    </row>
    <row r="115" spans="1:27" ht="28.5" x14ac:dyDescent="0.25">
      <c r="A115" s="9" t="s">
        <v>21</v>
      </c>
      <c r="B115" s="10" t="s">
        <v>634</v>
      </c>
      <c r="C115" s="10" t="s">
        <v>635</v>
      </c>
      <c r="D115" s="10" t="s">
        <v>636</v>
      </c>
      <c r="E115" s="11" t="s">
        <v>41</v>
      </c>
      <c r="F115" s="11" t="s">
        <v>637</v>
      </c>
      <c r="G115" s="11" t="s">
        <v>638</v>
      </c>
      <c r="H115" s="12" t="s">
        <v>639</v>
      </c>
      <c r="I115" s="11" t="s">
        <v>45</v>
      </c>
      <c r="J115" s="12" t="s">
        <v>212</v>
      </c>
      <c r="K115" s="12" t="s">
        <v>52</v>
      </c>
      <c r="L115" s="13"/>
      <c r="M115" s="13">
        <v>6984</v>
      </c>
      <c r="N115" s="13">
        <v>10000</v>
      </c>
      <c r="O115" s="13">
        <f t="shared" si="2"/>
        <v>3016</v>
      </c>
      <c r="P115" s="13">
        <v>10000</v>
      </c>
      <c r="Q115" s="13">
        <f t="shared" si="3"/>
        <v>3016</v>
      </c>
      <c r="R115" s="13">
        <v>0</v>
      </c>
      <c r="S115" s="11" t="s">
        <v>969</v>
      </c>
      <c r="T115" s="14">
        <v>46271</v>
      </c>
      <c r="U115" s="11" t="s">
        <v>970</v>
      </c>
      <c r="V115" s="12"/>
      <c r="W115" s="13"/>
      <c r="X115" s="11"/>
      <c r="Y115" s="11"/>
      <c r="Z115" s="11" t="s">
        <v>847</v>
      </c>
      <c r="AA115" s="15"/>
    </row>
    <row r="116" spans="1:27" ht="14.25" x14ac:dyDescent="0.25">
      <c r="A116" s="9" t="s">
        <v>21</v>
      </c>
      <c r="B116" s="10" t="s">
        <v>640</v>
      </c>
      <c r="C116" s="10" t="s">
        <v>641</v>
      </c>
      <c r="D116" s="10" t="s">
        <v>467</v>
      </c>
      <c r="E116" s="11" t="s">
        <v>41</v>
      </c>
      <c r="F116" s="11" t="s">
        <v>189</v>
      </c>
      <c r="G116" s="11" t="s">
        <v>190</v>
      </c>
      <c r="H116" s="12" t="s">
        <v>70</v>
      </c>
      <c r="I116" s="11" t="s">
        <v>29</v>
      </c>
      <c r="J116" s="12" t="s">
        <v>59</v>
      </c>
      <c r="K116" s="12" t="s">
        <v>52</v>
      </c>
      <c r="L116" s="13"/>
      <c r="M116" s="13">
        <v>7582</v>
      </c>
      <c r="N116" s="13">
        <v>9528</v>
      </c>
      <c r="O116" s="13">
        <f t="shared" si="2"/>
        <v>1946</v>
      </c>
      <c r="P116" s="13">
        <v>10000</v>
      </c>
      <c r="Q116" s="13">
        <f t="shared" si="3"/>
        <v>2418</v>
      </c>
      <c r="R116" s="13">
        <v>0</v>
      </c>
      <c r="S116" s="11" t="s">
        <v>969</v>
      </c>
      <c r="T116" s="14">
        <v>46270</v>
      </c>
      <c r="U116" s="11" t="s">
        <v>970</v>
      </c>
      <c r="V116" s="12"/>
      <c r="W116" s="13"/>
      <c r="X116" s="11"/>
      <c r="Y116" s="11"/>
      <c r="Z116" s="11" t="s">
        <v>847</v>
      </c>
      <c r="AA116" s="15"/>
    </row>
    <row r="117" spans="1:27" ht="14.25" x14ac:dyDescent="0.25">
      <c r="A117" s="9" t="s">
        <v>21</v>
      </c>
      <c r="B117" s="10" t="s">
        <v>642</v>
      </c>
      <c r="C117" s="10" t="s">
        <v>643</v>
      </c>
      <c r="D117" s="10" t="s">
        <v>644</v>
      </c>
      <c r="E117" s="11" t="s">
        <v>41</v>
      </c>
      <c r="F117" s="11" t="s">
        <v>507</v>
      </c>
      <c r="G117" s="11" t="s">
        <v>645</v>
      </c>
      <c r="H117" s="12" t="s">
        <v>28</v>
      </c>
      <c r="I117" s="11" t="s">
        <v>45</v>
      </c>
      <c r="J117" s="12" t="s">
        <v>59</v>
      </c>
      <c r="K117" s="12" t="s">
        <v>52</v>
      </c>
      <c r="L117" s="13"/>
      <c r="M117" s="13">
        <v>10379</v>
      </c>
      <c r="N117" s="13">
        <v>10000</v>
      </c>
      <c r="O117" s="13">
        <f t="shared" si="2"/>
        <v>-379</v>
      </c>
      <c r="P117" s="13">
        <v>10000</v>
      </c>
      <c r="Q117" s="13">
        <f t="shared" si="3"/>
        <v>-379</v>
      </c>
      <c r="R117" s="13">
        <v>0</v>
      </c>
      <c r="S117" s="11" t="s">
        <v>969</v>
      </c>
      <c r="T117" s="14">
        <v>46270</v>
      </c>
      <c r="U117" s="11" t="s">
        <v>970</v>
      </c>
      <c r="V117" s="12"/>
      <c r="W117" s="13"/>
      <c r="X117" s="11"/>
      <c r="Y117" s="11"/>
      <c r="Z117" s="11" t="s">
        <v>847</v>
      </c>
      <c r="AA117" s="15"/>
    </row>
    <row r="118" spans="1:27" ht="14.25" x14ac:dyDescent="0.25">
      <c r="A118" s="9" t="s">
        <v>21</v>
      </c>
      <c r="B118" s="10" t="s">
        <v>646</v>
      </c>
      <c r="C118" s="10" t="s">
        <v>647</v>
      </c>
      <c r="D118" s="10" t="s">
        <v>648</v>
      </c>
      <c r="E118" s="11" t="s">
        <v>41</v>
      </c>
      <c r="F118" s="11" t="s">
        <v>649</v>
      </c>
      <c r="G118" s="11" t="s">
        <v>650</v>
      </c>
      <c r="H118" s="12" t="s">
        <v>273</v>
      </c>
      <c r="I118" s="11" t="s">
        <v>45</v>
      </c>
      <c r="J118" s="12" t="s">
        <v>212</v>
      </c>
      <c r="K118" s="12" t="s">
        <v>52</v>
      </c>
      <c r="L118" s="13"/>
      <c r="M118" s="13">
        <v>7965</v>
      </c>
      <c r="N118" s="13">
        <v>9900</v>
      </c>
      <c r="O118" s="13">
        <f t="shared" si="2"/>
        <v>1935</v>
      </c>
      <c r="P118" s="13">
        <v>10000</v>
      </c>
      <c r="Q118" s="13">
        <f t="shared" si="3"/>
        <v>2035</v>
      </c>
      <c r="R118" s="13">
        <v>0</v>
      </c>
      <c r="S118" s="11" t="s">
        <v>969</v>
      </c>
      <c r="T118" s="14">
        <v>46270</v>
      </c>
      <c r="U118" s="11" t="s">
        <v>970</v>
      </c>
      <c r="V118" s="12"/>
      <c r="W118" s="13"/>
      <c r="X118" s="11"/>
      <c r="Y118" s="11"/>
      <c r="Z118" s="11" t="s">
        <v>847</v>
      </c>
      <c r="AA118" s="15"/>
    </row>
    <row r="119" spans="1:27" ht="14.25" x14ac:dyDescent="0.25">
      <c r="A119" s="9" t="s">
        <v>21</v>
      </c>
      <c r="B119" s="10" t="s">
        <v>651</v>
      </c>
      <c r="C119" s="10" t="s">
        <v>652</v>
      </c>
      <c r="D119" s="10" t="s">
        <v>653</v>
      </c>
      <c r="E119" s="11" t="s">
        <v>41</v>
      </c>
      <c r="F119" s="11" t="s">
        <v>350</v>
      </c>
      <c r="G119" s="11" t="s">
        <v>654</v>
      </c>
      <c r="H119" s="12" t="s">
        <v>268</v>
      </c>
      <c r="I119" s="11" t="s">
        <v>45</v>
      </c>
      <c r="J119" s="12" t="s">
        <v>212</v>
      </c>
      <c r="K119" s="12" t="s">
        <v>52</v>
      </c>
      <c r="L119" s="13"/>
      <c r="M119" s="13">
        <v>10001</v>
      </c>
      <c r="N119" s="13">
        <v>10000</v>
      </c>
      <c r="O119" s="13">
        <f t="shared" si="2"/>
        <v>-1</v>
      </c>
      <c r="P119" s="13">
        <v>10000</v>
      </c>
      <c r="Q119" s="13">
        <f t="shared" si="3"/>
        <v>-1</v>
      </c>
      <c r="R119" s="13">
        <v>0</v>
      </c>
      <c r="S119" s="11" t="s">
        <v>969</v>
      </c>
      <c r="T119" s="14">
        <v>46269</v>
      </c>
      <c r="U119" s="11" t="s">
        <v>970</v>
      </c>
      <c r="V119" s="12"/>
      <c r="W119" s="13"/>
      <c r="X119" s="11"/>
      <c r="Y119" s="11"/>
      <c r="Z119" s="11" t="s">
        <v>847</v>
      </c>
      <c r="AA119" s="15"/>
    </row>
    <row r="120" spans="1:27" ht="14.25" x14ac:dyDescent="0.25">
      <c r="A120" s="9" t="s">
        <v>21</v>
      </c>
      <c r="B120" s="10" t="s">
        <v>655</v>
      </c>
      <c r="C120" s="10" t="s">
        <v>656</v>
      </c>
      <c r="D120" s="10" t="s">
        <v>657</v>
      </c>
      <c r="E120" s="11" t="s">
        <v>41</v>
      </c>
      <c r="F120" s="11" t="s">
        <v>658</v>
      </c>
      <c r="G120" s="11" t="s">
        <v>659</v>
      </c>
      <c r="H120" s="12" t="s">
        <v>28</v>
      </c>
      <c r="I120" s="11" t="s">
        <v>45</v>
      </c>
      <c r="J120" s="12" t="s">
        <v>59</v>
      </c>
      <c r="K120" s="12" t="s">
        <v>59</v>
      </c>
      <c r="L120" s="13"/>
      <c r="M120" s="13">
        <v>10735</v>
      </c>
      <c r="N120" s="13">
        <v>10000</v>
      </c>
      <c r="O120" s="13">
        <f t="shared" si="2"/>
        <v>-735</v>
      </c>
      <c r="P120" s="13">
        <v>10000</v>
      </c>
      <c r="Q120" s="13">
        <f t="shared" si="3"/>
        <v>-735</v>
      </c>
      <c r="R120" s="13">
        <v>0</v>
      </c>
      <c r="S120" s="11" t="s">
        <v>969</v>
      </c>
      <c r="T120" s="14">
        <v>46271</v>
      </c>
      <c r="U120" s="11" t="s">
        <v>970</v>
      </c>
      <c r="V120" s="12"/>
      <c r="W120" s="13"/>
      <c r="X120" s="11"/>
      <c r="Y120" s="11"/>
      <c r="Z120" s="11" t="s">
        <v>847</v>
      </c>
      <c r="AA120" s="15"/>
    </row>
    <row r="121" spans="1:27" ht="14.25" x14ac:dyDescent="0.25">
      <c r="A121" s="9" t="s">
        <v>21</v>
      </c>
      <c r="B121" s="10" t="s">
        <v>660</v>
      </c>
      <c r="C121" s="10" t="s">
        <v>661</v>
      </c>
      <c r="D121" s="10" t="s">
        <v>662</v>
      </c>
      <c r="E121" s="11" t="s">
        <v>34</v>
      </c>
      <c r="F121" s="11" t="s">
        <v>663</v>
      </c>
      <c r="G121" s="11" t="s">
        <v>664</v>
      </c>
      <c r="H121" s="12" t="s">
        <v>37</v>
      </c>
      <c r="I121" s="11" t="s">
        <v>34</v>
      </c>
      <c r="J121" s="12" t="s">
        <v>46</v>
      </c>
      <c r="K121" s="12" t="s">
        <v>52</v>
      </c>
      <c r="L121" s="13"/>
      <c r="M121" s="13">
        <v>10000</v>
      </c>
      <c r="N121" s="13">
        <v>10000</v>
      </c>
      <c r="O121" s="13">
        <f t="shared" si="2"/>
        <v>0</v>
      </c>
      <c r="P121" s="13">
        <v>10000</v>
      </c>
      <c r="Q121" s="13">
        <f t="shared" si="3"/>
        <v>0</v>
      </c>
      <c r="R121" s="13">
        <v>0</v>
      </c>
      <c r="S121" s="11" t="s">
        <v>969</v>
      </c>
      <c r="T121" s="14">
        <v>46271</v>
      </c>
      <c r="U121" s="11" t="s">
        <v>970</v>
      </c>
      <c r="V121" s="12"/>
      <c r="W121" s="13"/>
      <c r="X121" s="11"/>
      <c r="Y121" s="11"/>
      <c r="Z121" s="11" t="s">
        <v>847</v>
      </c>
      <c r="AA121" s="15"/>
    </row>
    <row r="122" spans="1:27" ht="28.5" x14ac:dyDescent="0.25">
      <c r="A122" s="9" t="s">
        <v>21</v>
      </c>
      <c r="B122" s="10" t="s">
        <v>665</v>
      </c>
      <c r="C122" s="10" t="s">
        <v>666</v>
      </c>
      <c r="D122" s="10" t="s">
        <v>667</v>
      </c>
      <c r="E122" s="11" t="s">
        <v>56</v>
      </c>
      <c r="F122" s="11" t="s">
        <v>668</v>
      </c>
      <c r="G122" s="11" t="s">
        <v>669</v>
      </c>
      <c r="H122" s="12" t="s">
        <v>37</v>
      </c>
      <c r="I122" s="11" t="s">
        <v>291</v>
      </c>
      <c r="J122" s="12" t="s">
        <v>30</v>
      </c>
      <c r="K122" s="12" t="s">
        <v>52</v>
      </c>
      <c r="L122" s="13"/>
      <c r="M122" s="13">
        <v>11000</v>
      </c>
      <c r="N122" s="13">
        <v>10000</v>
      </c>
      <c r="O122" s="13">
        <f t="shared" si="2"/>
        <v>-1000</v>
      </c>
      <c r="P122" s="13">
        <v>10000</v>
      </c>
      <c r="Q122" s="13">
        <f t="shared" si="3"/>
        <v>-1000</v>
      </c>
      <c r="R122" s="13">
        <v>0</v>
      </c>
      <c r="S122" s="11" t="s">
        <v>969</v>
      </c>
      <c r="T122" s="14">
        <v>46271</v>
      </c>
      <c r="U122" s="11" t="s">
        <v>970</v>
      </c>
      <c r="V122" s="12"/>
      <c r="W122" s="13"/>
      <c r="X122" s="11"/>
      <c r="Y122" s="11"/>
      <c r="Z122" s="11" t="s">
        <v>847</v>
      </c>
      <c r="AA122" s="15"/>
    </row>
    <row r="123" spans="1:27" ht="14.25" x14ac:dyDescent="0.25">
      <c r="A123" s="9" t="s">
        <v>21</v>
      </c>
      <c r="B123" s="10" t="s">
        <v>670</v>
      </c>
      <c r="C123" s="10" t="s">
        <v>671</v>
      </c>
      <c r="D123" s="10" t="s">
        <v>672</v>
      </c>
      <c r="E123" s="11" t="s">
        <v>673</v>
      </c>
      <c r="F123" s="11" t="s">
        <v>674</v>
      </c>
      <c r="G123" s="11" t="s">
        <v>675</v>
      </c>
      <c r="H123" s="12" t="s">
        <v>132</v>
      </c>
      <c r="I123" s="11" t="s">
        <v>673</v>
      </c>
      <c r="J123" s="12" t="s">
        <v>46</v>
      </c>
      <c r="K123" s="12" t="s">
        <v>52</v>
      </c>
      <c r="L123" s="13"/>
      <c r="M123" s="13">
        <v>10000</v>
      </c>
      <c r="N123" s="13">
        <v>10000</v>
      </c>
      <c r="O123" s="13">
        <f t="shared" si="2"/>
        <v>0</v>
      </c>
      <c r="P123" s="13">
        <v>10000</v>
      </c>
      <c r="Q123" s="13">
        <f t="shared" si="3"/>
        <v>0</v>
      </c>
      <c r="R123" s="13">
        <v>0</v>
      </c>
      <c r="S123" s="11" t="s">
        <v>969</v>
      </c>
      <c r="T123" s="14">
        <v>46267</v>
      </c>
      <c r="U123" s="11" t="s">
        <v>970</v>
      </c>
      <c r="V123" s="12"/>
      <c r="W123" s="13"/>
      <c r="X123" s="11"/>
      <c r="Y123" s="11"/>
      <c r="Z123" s="11" t="s">
        <v>847</v>
      </c>
      <c r="AA123" s="15"/>
    </row>
    <row r="124" spans="1:27" ht="14.25" x14ac:dyDescent="0.25">
      <c r="A124" s="9" t="s">
        <v>21</v>
      </c>
      <c r="B124" s="10" t="s">
        <v>676</v>
      </c>
      <c r="C124" s="10" t="s">
        <v>677</v>
      </c>
      <c r="D124" s="10" t="s">
        <v>678</v>
      </c>
      <c r="E124" s="11" t="s">
        <v>41</v>
      </c>
      <c r="F124" s="11" t="s">
        <v>519</v>
      </c>
      <c r="G124" s="11" t="s">
        <v>679</v>
      </c>
      <c r="H124" s="12" t="s">
        <v>680</v>
      </c>
      <c r="I124" s="11" t="s">
        <v>45</v>
      </c>
      <c r="J124" s="12" t="s">
        <v>212</v>
      </c>
      <c r="K124" s="12" t="s">
        <v>212</v>
      </c>
      <c r="L124" s="13"/>
      <c r="M124" s="13">
        <v>10857</v>
      </c>
      <c r="N124" s="13">
        <v>10000</v>
      </c>
      <c r="O124" s="13">
        <f t="shared" si="2"/>
        <v>-857</v>
      </c>
      <c r="P124" s="13">
        <v>10000</v>
      </c>
      <c r="Q124" s="13">
        <f t="shared" si="3"/>
        <v>-857</v>
      </c>
      <c r="R124" s="13">
        <v>0</v>
      </c>
      <c r="S124" s="11" t="s">
        <v>969</v>
      </c>
      <c r="T124" s="14">
        <v>46264</v>
      </c>
      <c r="U124" s="11" t="s">
        <v>970</v>
      </c>
      <c r="V124" s="12"/>
      <c r="W124" s="13"/>
      <c r="X124" s="11"/>
      <c r="Y124" s="11"/>
      <c r="Z124" s="11" t="s">
        <v>847</v>
      </c>
      <c r="AA124" s="15"/>
    </row>
    <row r="125" spans="1:27" ht="14.25" x14ac:dyDescent="0.25">
      <c r="A125" s="9" t="s">
        <v>21</v>
      </c>
      <c r="B125" s="10" t="s">
        <v>681</v>
      </c>
      <c r="C125" s="10" t="s">
        <v>682</v>
      </c>
      <c r="D125" s="10" t="s">
        <v>683</v>
      </c>
      <c r="E125" s="11" t="s">
        <v>41</v>
      </c>
      <c r="F125" s="11" t="s">
        <v>684</v>
      </c>
      <c r="G125" s="11" t="s">
        <v>685</v>
      </c>
      <c r="H125" s="12" t="s">
        <v>132</v>
      </c>
      <c r="I125" s="11" t="s">
        <v>45</v>
      </c>
      <c r="J125" s="12" t="s">
        <v>212</v>
      </c>
      <c r="K125" s="12" t="s">
        <v>212</v>
      </c>
      <c r="L125" s="13"/>
      <c r="M125" s="13">
        <v>4130</v>
      </c>
      <c r="N125" s="13">
        <v>8200</v>
      </c>
      <c r="O125" s="13">
        <f t="shared" si="2"/>
        <v>4070</v>
      </c>
      <c r="P125" s="13">
        <v>10000</v>
      </c>
      <c r="Q125" s="13">
        <f t="shared" si="3"/>
        <v>5870</v>
      </c>
      <c r="R125" s="13">
        <v>0</v>
      </c>
      <c r="S125" s="11" t="s">
        <v>969</v>
      </c>
      <c r="T125" s="14">
        <v>46265</v>
      </c>
      <c r="U125" s="11" t="s">
        <v>970</v>
      </c>
      <c r="V125" s="12"/>
      <c r="W125" s="13"/>
      <c r="X125" s="11"/>
      <c r="Y125" s="11"/>
      <c r="Z125" s="11" t="s">
        <v>847</v>
      </c>
      <c r="AA125" s="15"/>
    </row>
    <row r="126" spans="1:27" ht="28.5" x14ac:dyDescent="0.25">
      <c r="A126" s="9" t="s">
        <v>21</v>
      </c>
      <c r="B126" s="10" t="s">
        <v>686</v>
      </c>
      <c r="C126" s="10" t="s">
        <v>687</v>
      </c>
      <c r="D126" s="10" t="s">
        <v>688</v>
      </c>
      <c r="E126" s="11" t="s">
        <v>41</v>
      </c>
      <c r="F126" s="11" t="s">
        <v>689</v>
      </c>
      <c r="G126" s="11" t="s">
        <v>690</v>
      </c>
      <c r="H126" s="12" t="s">
        <v>691</v>
      </c>
      <c r="I126" s="11" t="s">
        <v>45</v>
      </c>
      <c r="J126" s="12" t="s">
        <v>212</v>
      </c>
      <c r="K126" s="12" t="s">
        <v>212</v>
      </c>
      <c r="L126" s="13"/>
      <c r="M126" s="13">
        <v>7786</v>
      </c>
      <c r="N126" s="13">
        <v>10000</v>
      </c>
      <c r="O126" s="13">
        <f t="shared" si="2"/>
        <v>2214</v>
      </c>
      <c r="P126" s="13">
        <v>10000</v>
      </c>
      <c r="Q126" s="13">
        <f t="shared" si="3"/>
        <v>2214</v>
      </c>
      <c r="R126" s="13">
        <v>0</v>
      </c>
      <c r="S126" s="11" t="s">
        <v>969</v>
      </c>
      <c r="T126" s="14">
        <v>46267</v>
      </c>
      <c r="U126" s="11" t="s">
        <v>970</v>
      </c>
      <c r="V126" s="12"/>
      <c r="W126" s="13"/>
      <c r="X126" s="11"/>
      <c r="Y126" s="11"/>
      <c r="Z126" s="11" t="s">
        <v>847</v>
      </c>
      <c r="AA126" s="15"/>
    </row>
    <row r="127" spans="1:27" ht="28.5" x14ac:dyDescent="0.25">
      <c r="A127" s="9" t="s">
        <v>21</v>
      </c>
      <c r="B127" s="10" t="s">
        <v>692</v>
      </c>
      <c r="C127" s="10" t="s">
        <v>693</v>
      </c>
      <c r="D127" s="10" t="s">
        <v>694</v>
      </c>
      <c r="E127" s="11" t="s">
        <v>41</v>
      </c>
      <c r="F127" s="11" t="s">
        <v>689</v>
      </c>
      <c r="G127" s="11" t="s">
        <v>695</v>
      </c>
      <c r="H127" s="12" t="s">
        <v>696</v>
      </c>
      <c r="I127" s="11" t="s">
        <v>45</v>
      </c>
      <c r="J127" s="12" t="s">
        <v>212</v>
      </c>
      <c r="K127" s="12" t="s">
        <v>212</v>
      </c>
      <c r="L127" s="13"/>
      <c r="M127" s="13">
        <v>4480</v>
      </c>
      <c r="N127" s="13">
        <v>7500</v>
      </c>
      <c r="O127" s="13">
        <f t="shared" si="2"/>
        <v>3020</v>
      </c>
      <c r="P127" s="13">
        <v>10000</v>
      </c>
      <c r="Q127" s="13">
        <f t="shared" si="3"/>
        <v>5520</v>
      </c>
      <c r="R127" s="13">
        <v>0</v>
      </c>
      <c r="S127" s="11" t="s">
        <v>969</v>
      </c>
      <c r="T127" s="14">
        <v>46263</v>
      </c>
      <c r="U127" s="11" t="s">
        <v>970</v>
      </c>
      <c r="V127" s="12"/>
      <c r="W127" s="13"/>
      <c r="X127" s="11"/>
      <c r="Y127" s="11"/>
      <c r="Z127" s="11" t="s">
        <v>847</v>
      </c>
      <c r="AA127" s="15"/>
    </row>
    <row r="128" spans="1:27" ht="14.25" x14ac:dyDescent="0.25">
      <c r="A128" s="9" t="s">
        <v>21</v>
      </c>
      <c r="B128" s="10" t="s">
        <v>697</v>
      </c>
      <c r="C128" s="10" t="s">
        <v>698</v>
      </c>
      <c r="D128" s="10" t="s">
        <v>699</v>
      </c>
      <c r="E128" s="11" t="s">
        <v>41</v>
      </c>
      <c r="F128" s="11" t="s">
        <v>700</v>
      </c>
      <c r="G128" s="11" t="s">
        <v>701</v>
      </c>
      <c r="H128" s="12" t="s">
        <v>409</v>
      </c>
      <c r="I128" s="11" t="s">
        <v>45</v>
      </c>
      <c r="J128" s="12" t="s">
        <v>212</v>
      </c>
      <c r="K128" s="12" t="s">
        <v>212</v>
      </c>
      <c r="L128" s="13"/>
      <c r="M128" s="13">
        <v>2347</v>
      </c>
      <c r="N128" s="13">
        <v>5680</v>
      </c>
      <c r="O128" s="13">
        <f t="shared" si="2"/>
        <v>3333</v>
      </c>
      <c r="P128" s="13">
        <v>10000</v>
      </c>
      <c r="Q128" s="13">
        <f t="shared" si="3"/>
        <v>7653</v>
      </c>
      <c r="R128" s="13">
        <v>0</v>
      </c>
      <c r="S128" s="11" t="s">
        <v>969</v>
      </c>
      <c r="T128" s="14">
        <v>46270</v>
      </c>
      <c r="U128" s="11" t="s">
        <v>970</v>
      </c>
      <c r="V128" s="12"/>
      <c r="W128" s="13"/>
      <c r="X128" s="11"/>
      <c r="Y128" s="11"/>
      <c r="Z128" s="11" t="s">
        <v>847</v>
      </c>
      <c r="AA128" s="15"/>
    </row>
    <row r="129" spans="1:27" ht="14.25" x14ac:dyDescent="0.25">
      <c r="A129" s="9" t="s">
        <v>21</v>
      </c>
      <c r="B129" s="10" t="s">
        <v>702</v>
      </c>
      <c r="C129" s="10" t="s">
        <v>703</v>
      </c>
      <c r="D129" s="10" t="s">
        <v>704</v>
      </c>
      <c r="E129" s="11" t="s">
        <v>41</v>
      </c>
      <c r="F129" s="11" t="s">
        <v>705</v>
      </c>
      <c r="G129" s="11" t="s">
        <v>706</v>
      </c>
      <c r="H129" s="12" t="s">
        <v>132</v>
      </c>
      <c r="I129" s="11" t="s">
        <v>45</v>
      </c>
      <c r="J129" s="12" t="s">
        <v>212</v>
      </c>
      <c r="K129" s="12" t="s">
        <v>212</v>
      </c>
      <c r="L129" s="13"/>
      <c r="M129" s="13">
        <v>6590</v>
      </c>
      <c r="N129" s="13">
        <v>8590</v>
      </c>
      <c r="O129" s="13">
        <f t="shared" ref="O129:O179" si="6">N129-M129</f>
        <v>2000</v>
      </c>
      <c r="P129" s="13">
        <v>10000</v>
      </c>
      <c r="Q129" s="13">
        <f t="shared" si="3"/>
        <v>3410</v>
      </c>
      <c r="R129" s="13">
        <v>0</v>
      </c>
      <c r="S129" s="11" t="s">
        <v>969</v>
      </c>
      <c r="T129" s="14">
        <v>46257</v>
      </c>
      <c r="U129" s="11" t="s">
        <v>970</v>
      </c>
      <c r="V129" s="12"/>
      <c r="W129" s="13"/>
      <c r="X129" s="11"/>
      <c r="Y129" s="11"/>
      <c r="Z129" s="11" t="s">
        <v>847</v>
      </c>
      <c r="AA129" s="15"/>
    </row>
    <row r="130" spans="1:27" ht="14.25" x14ac:dyDescent="0.25">
      <c r="A130" s="9" t="s">
        <v>21</v>
      </c>
      <c r="B130" s="10" t="s">
        <v>707</v>
      </c>
      <c r="C130" s="10" t="s">
        <v>708</v>
      </c>
      <c r="D130" s="10" t="s">
        <v>709</v>
      </c>
      <c r="E130" s="11" t="s">
        <v>41</v>
      </c>
      <c r="F130" s="11" t="s">
        <v>710</v>
      </c>
      <c r="G130" s="11" t="s">
        <v>711</v>
      </c>
      <c r="H130" s="12" t="s">
        <v>712</v>
      </c>
      <c r="I130" s="11" t="s">
        <v>45</v>
      </c>
      <c r="J130" s="12" t="s">
        <v>212</v>
      </c>
      <c r="K130" s="12" t="s">
        <v>212</v>
      </c>
      <c r="L130" s="13"/>
      <c r="M130" s="13">
        <v>3758</v>
      </c>
      <c r="N130" s="13">
        <v>9858</v>
      </c>
      <c r="O130" s="13">
        <f t="shared" si="6"/>
        <v>6100</v>
      </c>
      <c r="P130" s="13">
        <v>10000</v>
      </c>
      <c r="Q130" s="13">
        <f t="shared" si="3"/>
        <v>6242</v>
      </c>
      <c r="R130" s="13">
        <v>0</v>
      </c>
      <c r="S130" s="11" t="s">
        <v>969</v>
      </c>
      <c r="T130" s="14">
        <v>46258</v>
      </c>
      <c r="U130" s="11" t="s">
        <v>970</v>
      </c>
      <c r="V130" s="12"/>
      <c r="W130" s="13"/>
      <c r="X130" s="11"/>
      <c r="Y130" s="11"/>
      <c r="Z130" s="11" t="s">
        <v>847</v>
      </c>
      <c r="AA130" s="15"/>
    </row>
    <row r="131" spans="1:27" ht="14.25" x14ac:dyDescent="0.25">
      <c r="A131" s="9" t="s">
        <v>21</v>
      </c>
      <c r="B131" s="10" t="s">
        <v>713</v>
      </c>
      <c r="C131" s="10" t="s">
        <v>714</v>
      </c>
      <c r="D131" s="10" t="s">
        <v>715</v>
      </c>
      <c r="E131" s="11" t="s">
        <v>41</v>
      </c>
      <c r="F131" s="11" t="s">
        <v>716</v>
      </c>
      <c r="G131" s="11" t="s">
        <v>717</v>
      </c>
      <c r="H131" s="12" t="s">
        <v>223</v>
      </c>
      <c r="I131" s="11" t="s">
        <v>45</v>
      </c>
      <c r="J131" s="12" t="s">
        <v>212</v>
      </c>
      <c r="K131" s="12" t="s">
        <v>212</v>
      </c>
      <c r="L131" s="13"/>
      <c r="M131" s="13">
        <v>9435</v>
      </c>
      <c r="N131" s="13">
        <v>9435</v>
      </c>
      <c r="O131" s="13">
        <f t="shared" si="6"/>
        <v>0</v>
      </c>
      <c r="P131" s="13">
        <v>10000</v>
      </c>
      <c r="Q131" s="13">
        <f t="shared" ref="Q131:Q179" si="7">P131-M131</f>
        <v>565</v>
      </c>
      <c r="R131" s="13">
        <v>0</v>
      </c>
      <c r="S131" s="11" t="s">
        <v>969</v>
      </c>
      <c r="T131" s="14">
        <v>46264</v>
      </c>
      <c r="U131" s="11" t="s">
        <v>970</v>
      </c>
      <c r="V131" s="12"/>
      <c r="W131" s="13"/>
      <c r="X131" s="11"/>
      <c r="Y131" s="11"/>
      <c r="Z131" s="11" t="s">
        <v>847</v>
      </c>
      <c r="AA131" s="15"/>
    </row>
    <row r="132" spans="1:27" ht="14.25" x14ac:dyDescent="0.25">
      <c r="A132" s="9" t="s">
        <v>21</v>
      </c>
      <c r="B132" s="10" t="s">
        <v>718</v>
      </c>
      <c r="C132" s="10" t="s">
        <v>719</v>
      </c>
      <c r="D132" s="10" t="s">
        <v>720</v>
      </c>
      <c r="E132" s="11" t="s">
        <v>41</v>
      </c>
      <c r="F132" s="11" t="s">
        <v>710</v>
      </c>
      <c r="G132" s="11" t="s">
        <v>721</v>
      </c>
      <c r="H132" s="12" t="s">
        <v>250</v>
      </c>
      <c r="I132" s="11" t="s">
        <v>45</v>
      </c>
      <c r="J132" s="12" t="s">
        <v>212</v>
      </c>
      <c r="K132" s="12" t="s">
        <v>212</v>
      </c>
      <c r="L132" s="13"/>
      <c r="M132" s="13">
        <v>5900</v>
      </c>
      <c r="N132" s="13">
        <v>8900</v>
      </c>
      <c r="O132" s="13">
        <f t="shared" si="6"/>
        <v>3000</v>
      </c>
      <c r="P132" s="13">
        <v>10000</v>
      </c>
      <c r="Q132" s="13">
        <f t="shared" si="7"/>
        <v>4100</v>
      </c>
      <c r="R132" s="13">
        <v>0</v>
      </c>
      <c r="S132" s="11" t="s">
        <v>969</v>
      </c>
      <c r="T132" s="14">
        <v>46261</v>
      </c>
      <c r="U132" s="11" t="s">
        <v>970</v>
      </c>
      <c r="V132" s="12"/>
      <c r="W132" s="13"/>
      <c r="X132" s="11"/>
      <c r="Y132" s="11"/>
      <c r="Z132" s="11" t="s">
        <v>847</v>
      </c>
      <c r="AA132" s="15"/>
    </row>
    <row r="133" spans="1:27" ht="28.5" x14ac:dyDescent="0.25">
      <c r="A133" s="9" t="s">
        <v>21</v>
      </c>
      <c r="B133" s="10" t="s">
        <v>722</v>
      </c>
      <c r="C133" s="10" t="s">
        <v>723</v>
      </c>
      <c r="D133" s="10" t="s">
        <v>724</v>
      </c>
      <c r="E133" s="11" t="s">
        <v>41</v>
      </c>
      <c r="F133" s="11" t="s">
        <v>725</v>
      </c>
      <c r="G133" s="11" t="s">
        <v>726</v>
      </c>
      <c r="H133" s="12" t="s">
        <v>727</v>
      </c>
      <c r="I133" s="11" t="s">
        <v>45</v>
      </c>
      <c r="J133" s="12" t="s">
        <v>212</v>
      </c>
      <c r="K133" s="12" t="s">
        <v>212</v>
      </c>
      <c r="L133" s="13"/>
      <c r="M133" s="13">
        <v>7667</v>
      </c>
      <c r="N133" s="13">
        <v>10000</v>
      </c>
      <c r="O133" s="13">
        <f t="shared" si="6"/>
        <v>2333</v>
      </c>
      <c r="P133" s="13">
        <v>10000</v>
      </c>
      <c r="Q133" s="13">
        <f t="shared" si="7"/>
        <v>2333</v>
      </c>
      <c r="R133" s="13">
        <v>0</v>
      </c>
      <c r="S133" s="11" t="s">
        <v>969</v>
      </c>
      <c r="T133" s="14">
        <v>46263</v>
      </c>
      <c r="U133" s="11" t="s">
        <v>970</v>
      </c>
      <c r="V133" s="12"/>
      <c r="W133" s="13"/>
      <c r="X133" s="11"/>
      <c r="Y133" s="11"/>
      <c r="Z133" s="11" t="s">
        <v>847</v>
      </c>
      <c r="AA133" s="15"/>
    </row>
    <row r="134" spans="1:27" ht="14.25" x14ac:dyDescent="0.25">
      <c r="A134" s="9" t="s">
        <v>21</v>
      </c>
      <c r="B134" s="10" t="s">
        <v>728</v>
      </c>
      <c r="C134" s="10" t="s">
        <v>729</v>
      </c>
      <c r="D134" s="10" t="s">
        <v>730</v>
      </c>
      <c r="E134" s="11" t="s">
        <v>41</v>
      </c>
      <c r="F134" s="11" t="s">
        <v>649</v>
      </c>
      <c r="G134" s="11" t="s">
        <v>731</v>
      </c>
      <c r="H134" s="12" t="s">
        <v>223</v>
      </c>
      <c r="I134" s="11" t="s">
        <v>45</v>
      </c>
      <c r="J134" s="12" t="s">
        <v>212</v>
      </c>
      <c r="K134" s="12" t="s">
        <v>212</v>
      </c>
      <c r="L134" s="13"/>
      <c r="M134" s="13">
        <v>10024</v>
      </c>
      <c r="N134" s="13">
        <v>10000</v>
      </c>
      <c r="O134" s="13">
        <f t="shared" si="6"/>
        <v>-24</v>
      </c>
      <c r="P134" s="13">
        <v>10000</v>
      </c>
      <c r="Q134" s="13">
        <f t="shared" si="7"/>
        <v>-24</v>
      </c>
      <c r="R134" s="13">
        <v>0</v>
      </c>
      <c r="S134" s="11" t="s">
        <v>969</v>
      </c>
      <c r="T134" s="14">
        <v>46270</v>
      </c>
      <c r="U134" s="11" t="s">
        <v>970</v>
      </c>
      <c r="V134" s="12"/>
      <c r="W134" s="13"/>
      <c r="X134" s="11"/>
      <c r="Y134" s="11"/>
      <c r="Z134" s="11" t="s">
        <v>847</v>
      </c>
      <c r="AA134" s="15"/>
    </row>
    <row r="135" spans="1:27" ht="14.25" x14ac:dyDescent="0.25">
      <c r="A135" s="9" t="s">
        <v>21</v>
      </c>
      <c r="B135" s="10" t="s">
        <v>732</v>
      </c>
      <c r="C135" s="10" t="s">
        <v>733</v>
      </c>
      <c r="D135" s="10" t="s">
        <v>734</v>
      </c>
      <c r="E135" s="11" t="s">
        <v>41</v>
      </c>
      <c r="F135" s="11" t="s">
        <v>735</v>
      </c>
      <c r="G135" s="11" t="s">
        <v>736</v>
      </c>
      <c r="H135" s="12" t="s">
        <v>268</v>
      </c>
      <c r="I135" s="11" t="s">
        <v>45</v>
      </c>
      <c r="J135" s="12" t="s">
        <v>212</v>
      </c>
      <c r="K135" s="12" t="s">
        <v>212</v>
      </c>
      <c r="L135" s="13"/>
      <c r="M135" s="13">
        <v>7245</v>
      </c>
      <c r="N135" s="13">
        <v>9245</v>
      </c>
      <c r="O135" s="13">
        <f t="shared" si="6"/>
        <v>2000</v>
      </c>
      <c r="P135" s="13">
        <v>10000</v>
      </c>
      <c r="Q135" s="13">
        <f t="shared" si="7"/>
        <v>2755</v>
      </c>
      <c r="R135" s="13">
        <v>0</v>
      </c>
      <c r="S135" s="11" t="s">
        <v>969</v>
      </c>
      <c r="T135" s="14">
        <v>46257</v>
      </c>
      <c r="U135" s="11" t="s">
        <v>970</v>
      </c>
      <c r="V135" s="12"/>
      <c r="W135" s="13"/>
      <c r="X135" s="11"/>
      <c r="Y135" s="11"/>
      <c r="Z135" s="11" t="s">
        <v>847</v>
      </c>
      <c r="AA135" s="15"/>
    </row>
    <row r="136" spans="1:27" ht="28.5" x14ac:dyDescent="0.25">
      <c r="A136" s="9" t="s">
        <v>21</v>
      </c>
      <c r="B136" s="10" t="s">
        <v>737</v>
      </c>
      <c r="C136" s="10" t="s">
        <v>738</v>
      </c>
      <c r="D136" s="10" t="s">
        <v>739</v>
      </c>
      <c r="E136" s="11" t="s">
        <v>41</v>
      </c>
      <c r="F136" s="11" t="s">
        <v>740</v>
      </c>
      <c r="G136" s="11" t="s">
        <v>741</v>
      </c>
      <c r="H136" s="12" t="s">
        <v>742</v>
      </c>
      <c r="I136" s="11" t="s">
        <v>45</v>
      </c>
      <c r="J136" s="12" t="s">
        <v>212</v>
      </c>
      <c r="K136" s="12" t="s">
        <v>212</v>
      </c>
      <c r="L136" s="13"/>
      <c r="M136" s="13">
        <v>7221.6</v>
      </c>
      <c r="N136" s="13">
        <v>9221.6</v>
      </c>
      <c r="O136" s="13">
        <f t="shared" si="6"/>
        <v>2000</v>
      </c>
      <c r="P136" s="13">
        <v>10000</v>
      </c>
      <c r="Q136" s="13">
        <f t="shared" si="7"/>
        <v>2778.3999999999996</v>
      </c>
      <c r="R136" s="13">
        <v>0</v>
      </c>
      <c r="S136" s="11" t="s">
        <v>969</v>
      </c>
      <c r="T136" s="14">
        <v>46258</v>
      </c>
      <c r="U136" s="11" t="s">
        <v>970</v>
      </c>
      <c r="V136" s="12"/>
      <c r="W136" s="13"/>
      <c r="X136" s="11"/>
      <c r="Y136" s="11"/>
      <c r="Z136" s="11" t="s">
        <v>847</v>
      </c>
      <c r="AA136" s="15"/>
    </row>
    <row r="137" spans="1:27" ht="14.25" x14ac:dyDescent="0.25">
      <c r="A137" s="9" t="s">
        <v>21</v>
      </c>
      <c r="B137" s="10" t="s">
        <v>743</v>
      </c>
      <c r="C137" s="10" t="s">
        <v>744</v>
      </c>
      <c r="D137" s="10" t="s">
        <v>745</v>
      </c>
      <c r="E137" s="11" t="s">
        <v>41</v>
      </c>
      <c r="F137" s="11" t="s">
        <v>746</v>
      </c>
      <c r="G137" s="11" t="s">
        <v>747</v>
      </c>
      <c r="H137" s="12" t="s">
        <v>383</v>
      </c>
      <c r="I137" s="11" t="s">
        <v>450</v>
      </c>
      <c r="J137" s="12" t="s">
        <v>212</v>
      </c>
      <c r="K137" s="12" t="s">
        <v>212</v>
      </c>
      <c r="L137" s="13"/>
      <c r="M137" s="13">
        <v>5266</v>
      </c>
      <c r="N137" s="13">
        <v>7266</v>
      </c>
      <c r="O137" s="13">
        <f t="shared" si="6"/>
        <v>2000</v>
      </c>
      <c r="P137" s="13">
        <v>10000</v>
      </c>
      <c r="Q137" s="13">
        <f t="shared" si="7"/>
        <v>4734</v>
      </c>
      <c r="R137" s="13">
        <v>0</v>
      </c>
      <c r="S137" s="11" t="s">
        <v>969</v>
      </c>
      <c r="T137" s="14">
        <v>46248</v>
      </c>
      <c r="U137" s="11" t="s">
        <v>970</v>
      </c>
      <c r="V137" s="12"/>
      <c r="W137" s="13"/>
      <c r="X137" s="11"/>
      <c r="Y137" s="11"/>
      <c r="Z137" s="11" t="s">
        <v>847</v>
      </c>
      <c r="AA137" s="15"/>
    </row>
    <row r="138" spans="1:27" ht="28.5" x14ac:dyDescent="0.25">
      <c r="A138" s="9" t="s">
        <v>21</v>
      </c>
      <c r="B138" s="10" t="s">
        <v>748</v>
      </c>
      <c r="C138" s="10" t="s">
        <v>749</v>
      </c>
      <c r="D138" s="10" t="s">
        <v>750</v>
      </c>
      <c r="E138" s="11" t="s">
        <v>41</v>
      </c>
      <c r="F138" s="11" t="s">
        <v>586</v>
      </c>
      <c r="G138" s="11" t="s">
        <v>600</v>
      </c>
      <c r="H138" s="12" t="s">
        <v>145</v>
      </c>
      <c r="I138" s="11" t="s">
        <v>450</v>
      </c>
      <c r="J138" s="12" t="s">
        <v>46</v>
      </c>
      <c r="K138" s="12" t="s">
        <v>46</v>
      </c>
      <c r="L138" s="13"/>
      <c r="M138" s="13">
        <v>10742</v>
      </c>
      <c r="N138" s="13">
        <v>10000</v>
      </c>
      <c r="O138" s="13">
        <f t="shared" si="6"/>
        <v>-742</v>
      </c>
      <c r="P138" s="13">
        <v>10000</v>
      </c>
      <c r="Q138" s="13">
        <f t="shared" si="7"/>
        <v>-742</v>
      </c>
      <c r="R138" s="13">
        <v>0</v>
      </c>
      <c r="S138" s="11" t="s">
        <v>969</v>
      </c>
      <c r="T138" s="14">
        <v>46273</v>
      </c>
      <c r="U138" s="11" t="s">
        <v>970</v>
      </c>
      <c r="V138" s="12"/>
      <c r="W138" s="13"/>
      <c r="X138" s="11"/>
      <c r="Y138" s="11"/>
      <c r="Z138" s="11" t="s">
        <v>847</v>
      </c>
      <c r="AA138" s="15"/>
    </row>
    <row r="139" spans="1:27" ht="14.25" x14ac:dyDescent="0.25">
      <c r="A139" s="9" t="s">
        <v>21</v>
      </c>
      <c r="B139" s="10" t="s">
        <v>751</v>
      </c>
      <c r="C139" s="10" t="s">
        <v>752</v>
      </c>
      <c r="D139" s="10" t="s">
        <v>753</v>
      </c>
      <c r="E139" s="11" t="s">
        <v>41</v>
      </c>
      <c r="F139" s="11" t="s">
        <v>754</v>
      </c>
      <c r="G139" s="11" t="s">
        <v>755</v>
      </c>
      <c r="H139" s="12" t="s">
        <v>756</v>
      </c>
      <c r="I139" s="11" t="s">
        <v>29</v>
      </c>
      <c r="J139" s="12" t="s">
        <v>46</v>
      </c>
      <c r="K139" s="12" t="s">
        <v>52</v>
      </c>
      <c r="L139" s="13"/>
      <c r="M139" s="13">
        <v>10504</v>
      </c>
      <c r="N139" s="13">
        <v>10000</v>
      </c>
      <c r="O139" s="13">
        <f t="shared" si="6"/>
        <v>-504</v>
      </c>
      <c r="P139" s="13">
        <v>10000</v>
      </c>
      <c r="Q139" s="13">
        <f t="shared" si="7"/>
        <v>-504</v>
      </c>
      <c r="R139" s="13">
        <v>0</v>
      </c>
      <c r="S139" s="11" t="s">
        <v>969</v>
      </c>
      <c r="T139" s="14">
        <v>46272</v>
      </c>
      <c r="U139" s="11" t="s">
        <v>970</v>
      </c>
      <c r="V139" s="12"/>
      <c r="W139" s="13"/>
      <c r="X139" s="11"/>
      <c r="Y139" s="11"/>
      <c r="Z139" s="11" t="s">
        <v>847</v>
      </c>
      <c r="AA139" s="15"/>
    </row>
    <row r="140" spans="1:27" ht="14.25" x14ac:dyDescent="0.25">
      <c r="A140" s="9" t="s">
        <v>21</v>
      </c>
      <c r="B140" s="10" t="s">
        <v>757</v>
      </c>
      <c r="C140" s="10" t="s">
        <v>758</v>
      </c>
      <c r="D140" s="10" t="s">
        <v>759</v>
      </c>
      <c r="E140" s="11" t="s">
        <v>760</v>
      </c>
      <c r="F140" s="11" t="s">
        <v>637</v>
      </c>
      <c r="G140" s="11" t="s">
        <v>761</v>
      </c>
      <c r="H140" s="12" t="s">
        <v>250</v>
      </c>
      <c r="I140" s="11" t="s">
        <v>762</v>
      </c>
      <c r="J140" s="12" t="s">
        <v>212</v>
      </c>
      <c r="K140" s="12" t="s">
        <v>71</v>
      </c>
      <c r="L140" s="13"/>
      <c r="M140" s="13">
        <v>5100</v>
      </c>
      <c r="N140" s="13">
        <v>7200</v>
      </c>
      <c r="O140" s="13">
        <f t="shared" si="6"/>
        <v>2100</v>
      </c>
      <c r="P140" s="13">
        <v>10000</v>
      </c>
      <c r="Q140" s="13">
        <f t="shared" si="7"/>
        <v>4900</v>
      </c>
      <c r="R140" s="13">
        <v>0</v>
      </c>
      <c r="S140" s="11" t="s">
        <v>969</v>
      </c>
      <c r="T140" s="14">
        <v>46274</v>
      </c>
      <c r="U140" s="11" t="s">
        <v>970</v>
      </c>
      <c r="V140" s="12"/>
      <c r="W140" s="13"/>
      <c r="X140" s="11"/>
      <c r="Y140" s="11"/>
      <c r="Z140" s="11" t="s">
        <v>847</v>
      </c>
      <c r="AA140" s="15"/>
    </row>
    <row r="141" spans="1:27" ht="14.25" x14ac:dyDescent="0.25">
      <c r="A141" s="9" t="s">
        <v>21</v>
      </c>
      <c r="B141" s="10" t="s">
        <v>763</v>
      </c>
      <c r="C141" s="10" t="s">
        <v>764</v>
      </c>
      <c r="D141" s="10" t="s">
        <v>765</v>
      </c>
      <c r="E141" s="11" t="s">
        <v>41</v>
      </c>
      <c r="F141" s="11" t="s">
        <v>766</v>
      </c>
      <c r="G141" s="11" t="s">
        <v>767</v>
      </c>
      <c r="H141" s="12" t="s">
        <v>383</v>
      </c>
      <c r="I141" s="11" t="s">
        <v>45</v>
      </c>
      <c r="J141" s="12" t="s">
        <v>212</v>
      </c>
      <c r="K141" s="12" t="s">
        <v>212</v>
      </c>
      <c r="L141" s="13"/>
      <c r="M141" s="13">
        <v>7788</v>
      </c>
      <c r="N141" s="13">
        <v>10000</v>
      </c>
      <c r="O141" s="13">
        <f t="shared" si="6"/>
        <v>2212</v>
      </c>
      <c r="P141" s="13">
        <v>10000</v>
      </c>
      <c r="Q141" s="13">
        <f t="shared" si="7"/>
        <v>2212</v>
      </c>
      <c r="R141" s="13">
        <v>0</v>
      </c>
      <c r="S141" s="11" t="s">
        <v>969</v>
      </c>
      <c r="T141" s="14">
        <v>46274</v>
      </c>
      <c r="U141" s="11" t="s">
        <v>970</v>
      </c>
      <c r="V141" s="12"/>
      <c r="W141" s="13"/>
      <c r="X141" s="11"/>
      <c r="Y141" s="11"/>
      <c r="Z141" s="11" t="s">
        <v>847</v>
      </c>
      <c r="AA141" s="15"/>
    </row>
    <row r="142" spans="1:27" ht="14.25" x14ac:dyDescent="0.25">
      <c r="A142" s="9" t="s">
        <v>21</v>
      </c>
      <c r="B142" s="10" t="s">
        <v>768</v>
      </c>
      <c r="C142" s="10" t="s">
        <v>769</v>
      </c>
      <c r="D142" s="10" t="s">
        <v>770</v>
      </c>
      <c r="E142" s="11" t="s">
        <v>41</v>
      </c>
      <c r="F142" s="11" t="s">
        <v>632</v>
      </c>
      <c r="G142" s="11" t="s">
        <v>771</v>
      </c>
      <c r="H142" s="12" t="s">
        <v>367</v>
      </c>
      <c r="I142" s="11" t="s">
        <v>45</v>
      </c>
      <c r="J142" s="12" t="s">
        <v>212</v>
      </c>
      <c r="K142" s="12" t="s">
        <v>52</v>
      </c>
      <c r="L142" s="13"/>
      <c r="M142" s="13">
        <v>9440</v>
      </c>
      <c r="N142" s="13">
        <v>9440</v>
      </c>
      <c r="O142" s="13">
        <f t="shared" si="6"/>
        <v>0</v>
      </c>
      <c r="P142" s="13">
        <v>10000</v>
      </c>
      <c r="Q142" s="13">
        <f t="shared" si="7"/>
        <v>560</v>
      </c>
      <c r="R142" s="13">
        <v>0</v>
      </c>
      <c r="S142" s="11" t="s">
        <v>969</v>
      </c>
      <c r="T142" s="14">
        <v>46275</v>
      </c>
      <c r="U142" s="11" t="s">
        <v>970</v>
      </c>
      <c r="V142" s="12"/>
      <c r="W142" s="13"/>
      <c r="X142" s="11"/>
      <c r="Y142" s="11"/>
      <c r="Z142" s="11" t="s">
        <v>847</v>
      </c>
      <c r="AA142" s="15"/>
    </row>
    <row r="143" spans="1:27" ht="14.25" x14ac:dyDescent="0.25">
      <c r="A143" s="9" t="s">
        <v>21</v>
      </c>
      <c r="B143" s="10" t="s">
        <v>772</v>
      </c>
      <c r="C143" s="10" t="s">
        <v>773</v>
      </c>
      <c r="D143" s="10" t="s">
        <v>774</v>
      </c>
      <c r="E143" s="11" t="s">
        <v>41</v>
      </c>
      <c r="F143" s="11" t="s">
        <v>775</v>
      </c>
      <c r="G143" s="11" t="s">
        <v>776</v>
      </c>
      <c r="H143" s="12" t="s">
        <v>367</v>
      </c>
      <c r="I143" s="11" t="s">
        <v>45</v>
      </c>
      <c r="J143" s="12" t="s">
        <v>212</v>
      </c>
      <c r="K143" s="12" t="s">
        <v>52</v>
      </c>
      <c r="L143" s="13"/>
      <c r="M143" s="13">
        <v>2852</v>
      </c>
      <c r="N143" s="13">
        <v>6000</v>
      </c>
      <c r="O143" s="13">
        <f t="shared" si="6"/>
        <v>3148</v>
      </c>
      <c r="P143" s="13">
        <v>10000</v>
      </c>
      <c r="Q143" s="13">
        <f t="shared" si="7"/>
        <v>7148</v>
      </c>
      <c r="R143" s="13">
        <v>0</v>
      </c>
      <c r="S143" s="11" t="s">
        <v>969</v>
      </c>
      <c r="T143" s="14">
        <v>46275</v>
      </c>
      <c r="U143" s="11" t="s">
        <v>970</v>
      </c>
      <c r="V143" s="12"/>
      <c r="W143" s="13"/>
      <c r="X143" s="11"/>
      <c r="Y143" s="11"/>
      <c r="Z143" s="11" t="s">
        <v>847</v>
      </c>
      <c r="AA143" s="15"/>
    </row>
    <row r="144" spans="1:27" ht="14.25" x14ac:dyDescent="0.25">
      <c r="A144" s="9" t="s">
        <v>21</v>
      </c>
      <c r="B144" s="10" t="s">
        <v>777</v>
      </c>
      <c r="C144" s="10" t="s">
        <v>778</v>
      </c>
      <c r="D144" s="10" t="s">
        <v>779</v>
      </c>
      <c r="E144" s="11" t="s">
        <v>41</v>
      </c>
      <c r="F144" s="11" t="s">
        <v>780</v>
      </c>
      <c r="G144" s="11" t="s">
        <v>781</v>
      </c>
      <c r="H144" s="12" t="s">
        <v>367</v>
      </c>
      <c r="I144" s="11" t="s">
        <v>29</v>
      </c>
      <c r="J144" s="12" t="s">
        <v>212</v>
      </c>
      <c r="K144" s="12" t="s">
        <v>212</v>
      </c>
      <c r="L144" s="13"/>
      <c r="M144" s="13">
        <f>5192+1500</f>
        <v>6692</v>
      </c>
      <c r="N144" s="13">
        <v>8692</v>
      </c>
      <c r="O144" s="13">
        <f t="shared" si="6"/>
        <v>2000</v>
      </c>
      <c r="P144" s="13">
        <v>10000</v>
      </c>
      <c r="Q144" s="13">
        <f t="shared" si="7"/>
        <v>3308</v>
      </c>
      <c r="R144" s="13">
        <v>0</v>
      </c>
      <c r="S144" s="11" t="s">
        <v>969</v>
      </c>
      <c r="T144" s="14">
        <v>46275</v>
      </c>
      <c r="U144" s="11" t="s">
        <v>970</v>
      </c>
      <c r="V144" s="12"/>
      <c r="W144" s="13"/>
      <c r="X144" s="11"/>
      <c r="Y144" s="11"/>
      <c r="Z144" s="11" t="s">
        <v>847</v>
      </c>
      <c r="AA144" s="15"/>
    </row>
    <row r="145" spans="1:27" ht="14.25" x14ac:dyDescent="0.25">
      <c r="A145" s="9" t="s">
        <v>21</v>
      </c>
      <c r="B145" s="10" t="s">
        <v>782</v>
      </c>
      <c r="C145" s="10" t="s">
        <v>783</v>
      </c>
      <c r="D145" s="10" t="s">
        <v>784</v>
      </c>
      <c r="E145" s="11" t="s">
        <v>760</v>
      </c>
      <c r="F145" s="11" t="s">
        <v>785</v>
      </c>
      <c r="G145" s="11" t="s">
        <v>786</v>
      </c>
      <c r="H145" s="12" t="s">
        <v>250</v>
      </c>
      <c r="I145" s="11" t="s">
        <v>760</v>
      </c>
      <c r="J145" s="12" t="s">
        <v>212</v>
      </c>
      <c r="K145" s="12" t="s">
        <v>71</v>
      </c>
      <c r="L145" s="13"/>
      <c r="M145" s="13">
        <v>5100</v>
      </c>
      <c r="N145" s="13">
        <v>6200</v>
      </c>
      <c r="O145" s="13">
        <f t="shared" si="6"/>
        <v>1100</v>
      </c>
      <c r="P145" s="13">
        <v>10000</v>
      </c>
      <c r="Q145" s="13">
        <f t="shared" si="7"/>
        <v>4900</v>
      </c>
      <c r="R145" s="13">
        <v>0</v>
      </c>
      <c r="S145" s="11" t="s">
        <v>969</v>
      </c>
      <c r="T145" s="14">
        <v>46275</v>
      </c>
      <c r="U145" s="11" t="s">
        <v>970</v>
      </c>
      <c r="V145" s="12"/>
      <c r="W145" s="13"/>
      <c r="X145" s="11"/>
      <c r="Y145" s="11"/>
      <c r="Z145" s="11" t="s">
        <v>847</v>
      </c>
      <c r="AA145" s="15"/>
    </row>
    <row r="146" spans="1:27" ht="14.25" x14ac:dyDescent="0.25">
      <c r="A146" s="9" t="s">
        <v>21</v>
      </c>
      <c r="B146" s="10" t="s">
        <v>787</v>
      </c>
      <c r="C146" s="10" t="s">
        <v>788</v>
      </c>
      <c r="D146" s="10" t="s">
        <v>789</v>
      </c>
      <c r="E146" s="11" t="s">
        <v>41</v>
      </c>
      <c r="F146" s="11" t="s">
        <v>790</v>
      </c>
      <c r="G146" s="11" t="s">
        <v>791</v>
      </c>
      <c r="H146" s="12" t="s">
        <v>367</v>
      </c>
      <c r="I146" s="11" t="s">
        <v>45</v>
      </c>
      <c r="J146" s="12" t="s">
        <v>212</v>
      </c>
      <c r="K146" s="12" t="s">
        <v>212</v>
      </c>
      <c r="L146" s="13"/>
      <c r="M146" s="13">
        <v>5192</v>
      </c>
      <c r="N146" s="13">
        <v>10000</v>
      </c>
      <c r="O146" s="13">
        <f t="shared" si="6"/>
        <v>4808</v>
      </c>
      <c r="P146" s="13">
        <v>10000</v>
      </c>
      <c r="Q146" s="13">
        <f t="shared" si="7"/>
        <v>4808</v>
      </c>
      <c r="R146" s="13">
        <v>0</v>
      </c>
      <c r="S146" s="11" t="s">
        <v>969</v>
      </c>
      <c r="T146" s="14">
        <v>46275</v>
      </c>
      <c r="U146" s="11" t="s">
        <v>970</v>
      </c>
      <c r="V146" s="12"/>
      <c r="W146" s="13"/>
      <c r="X146" s="11"/>
      <c r="Y146" s="11"/>
      <c r="Z146" s="11" t="s">
        <v>847</v>
      </c>
      <c r="AA146" s="15"/>
    </row>
    <row r="147" spans="1:27" ht="28.5" x14ac:dyDescent="0.25">
      <c r="A147" s="9" t="s">
        <v>21</v>
      </c>
      <c r="B147" s="10" t="s">
        <v>792</v>
      </c>
      <c r="C147" s="10" t="s">
        <v>793</v>
      </c>
      <c r="D147" s="10" t="s">
        <v>794</v>
      </c>
      <c r="E147" s="11" t="s">
        <v>41</v>
      </c>
      <c r="F147" s="11" t="s">
        <v>795</v>
      </c>
      <c r="G147" s="11" t="s">
        <v>796</v>
      </c>
      <c r="H147" s="12" t="s">
        <v>797</v>
      </c>
      <c r="I147" s="11" t="s">
        <v>45</v>
      </c>
      <c r="J147" s="12" t="s">
        <v>59</v>
      </c>
      <c r="K147" s="12" t="s">
        <v>52</v>
      </c>
      <c r="L147" s="13"/>
      <c r="M147" s="13">
        <v>8260</v>
      </c>
      <c r="N147" s="13">
        <v>9260</v>
      </c>
      <c r="O147" s="13">
        <f t="shared" si="6"/>
        <v>1000</v>
      </c>
      <c r="P147" s="13">
        <v>10000</v>
      </c>
      <c r="Q147" s="13">
        <f t="shared" si="7"/>
        <v>1740</v>
      </c>
      <c r="R147" s="13">
        <v>0</v>
      </c>
      <c r="S147" s="11" t="s">
        <v>969</v>
      </c>
      <c r="T147" s="14">
        <v>46273</v>
      </c>
      <c r="U147" s="11" t="s">
        <v>970</v>
      </c>
      <c r="V147" s="12"/>
      <c r="W147" s="13"/>
      <c r="X147" s="11"/>
      <c r="Y147" s="11"/>
      <c r="Z147" s="11" t="s">
        <v>847</v>
      </c>
      <c r="AA147" s="15"/>
    </row>
    <row r="148" spans="1:27" ht="14.25" x14ac:dyDescent="0.25">
      <c r="A148" s="9" t="s">
        <v>21</v>
      </c>
      <c r="B148" s="10" t="s">
        <v>798</v>
      </c>
      <c r="C148" s="10" t="s">
        <v>799</v>
      </c>
      <c r="D148" s="10" t="s">
        <v>800</v>
      </c>
      <c r="E148" s="11" t="s">
        <v>801</v>
      </c>
      <c r="F148" s="11" t="s">
        <v>802</v>
      </c>
      <c r="G148" s="11" t="s">
        <v>801</v>
      </c>
      <c r="H148" s="12">
        <v>2</v>
      </c>
      <c r="I148" s="11" t="s">
        <v>801</v>
      </c>
      <c r="J148" s="12" t="s">
        <v>30</v>
      </c>
      <c r="K148" s="12" t="s">
        <v>71</v>
      </c>
      <c r="L148" s="13"/>
      <c r="M148" s="13">
        <v>4500</v>
      </c>
      <c r="N148" s="13">
        <v>6500</v>
      </c>
      <c r="O148" s="13">
        <f t="shared" si="6"/>
        <v>2000</v>
      </c>
      <c r="P148" s="13">
        <v>10000</v>
      </c>
      <c r="Q148" s="13">
        <f t="shared" si="7"/>
        <v>5500</v>
      </c>
      <c r="R148" s="13">
        <v>0</v>
      </c>
      <c r="S148" s="11" t="s">
        <v>969</v>
      </c>
      <c r="T148" s="14">
        <v>46259</v>
      </c>
      <c r="U148" s="11" t="s">
        <v>970</v>
      </c>
      <c r="V148" s="12"/>
      <c r="W148" s="13"/>
      <c r="X148" s="11"/>
      <c r="Y148" s="11"/>
      <c r="Z148" s="11" t="s">
        <v>847</v>
      </c>
      <c r="AA148" s="15"/>
    </row>
    <row r="149" spans="1:27" ht="14.25" x14ac:dyDescent="0.25">
      <c r="A149" s="9" t="s">
        <v>21</v>
      </c>
      <c r="B149" s="10" t="s">
        <v>803</v>
      </c>
      <c r="C149" s="10" t="s">
        <v>804</v>
      </c>
      <c r="D149" s="10" t="s">
        <v>805</v>
      </c>
      <c r="E149" s="11" t="s">
        <v>514</v>
      </c>
      <c r="F149" s="11" t="s">
        <v>806</v>
      </c>
      <c r="G149" s="11" t="s">
        <v>801</v>
      </c>
      <c r="H149" s="12" t="s">
        <v>132</v>
      </c>
      <c r="I149" s="11" t="s">
        <v>801</v>
      </c>
      <c r="J149" s="12" t="s">
        <v>30</v>
      </c>
      <c r="K149" s="12" t="s">
        <v>71</v>
      </c>
      <c r="L149" s="13"/>
      <c r="M149" s="13">
        <v>10000</v>
      </c>
      <c r="N149" s="13">
        <v>10000</v>
      </c>
      <c r="O149" s="13">
        <f t="shared" si="6"/>
        <v>0</v>
      </c>
      <c r="P149" s="13">
        <v>10000</v>
      </c>
      <c r="Q149" s="13">
        <f t="shared" si="7"/>
        <v>0</v>
      </c>
      <c r="R149" s="13">
        <v>0</v>
      </c>
      <c r="S149" s="11" t="s">
        <v>969</v>
      </c>
      <c r="T149" s="14">
        <v>46259</v>
      </c>
      <c r="U149" s="11" t="s">
        <v>970</v>
      </c>
      <c r="V149" s="12"/>
      <c r="W149" s="13"/>
      <c r="X149" s="11"/>
      <c r="Y149" s="11"/>
      <c r="Z149" s="11" t="s">
        <v>847</v>
      </c>
      <c r="AA149" s="15"/>
    </row>
    <row r="150" spans="1:27" ht="14.25" x14ac:dyDescent="0.25">
      <c r="A150" s="9" t="s">
        <v>21</v>
      </c>
      <c r="B150" s="10" t="s">
        <v>807</v>
      </c>
      <c r="C150" s="10" t="s">
        <v>808</v>
      </c>
      <c r="D150" s="10" t="s">
        <v>809</v>
      </c>
      <c r="E150" s="11" t="s">
        <v>514</v>
      </c>
      <c r="F150" s="11" t="s">
        <v>810</v>
      </c>
      <c r="G150" s="11" t="s">
        <v>811</v>
      </c>
      <c r="H150" s="12">
        <v>1</v>
      </c>
      <c r="I150" s="11" t="s">
        <v>801</v>
      </c>
      <c r="J150" s="12" t="s">
        <v>59</v>
      </c>
      <c r="K150" s="12" t="s">
        <v>71</v>
      </c>
      <c r="L150" s="13"/>
      <c r="M150" s="13">
        <v>2530</v>
      </c>
      <c r="N150" s="13">
        <v>2530</v>
      </c>
      <c r="O150" s="13">
        <f t="shared" si="6"/>
        <v>0</v>
      </c>
      <c r="P150" s="13">
        <v>10000</v>
      </c>
      <c r="Q150" s="13">
        <f t="shared" si="7"/>
        <v>7470</v>
      </c>
      <c r="R150" s="13">
        <v>0</v>
      </c>
      <c r="S150" s="11" t="s">
        <v>969</v>
      </c>
      <c r="T150" s="14">
        <v>46259</v>
      </c>
      <c r="U150" s="11" t="s">
        <v>970</v>
      </c>
      <c r="V150" s="12"/>
      <c r="W150" s="13"/>
      <c r="X150" s="11"/>
      <c r="Y150" s="11"/>
      <c r="Z150" s="11" t="s">
        <v>847</v>
      </c>
      <c r="AA150" s="15"/>
    </row>
    <row r="151" spans="1:27" ht="14.25" x14ac:dyDescent="0.25">
      <c r="A151" s="9" t="s">
        <v>21</v>
      </c>
      <c r="B151" s="10" t="s">
        <v>812</v>
      </c>
      <c r="C151" s="10" t="s">
        <v>813</v>
      </c>
      <c r="D151" s="10" t="s">
        <v>814</v>
      </c>
      <c r="E151" s="11" t="s">
        <v>34</v>
      </c>
      <c r="F151" s="11" t="s">
        <v>815</v>
      </c>
      <c r="G151" s="11" t="s">
        <v>816</v>
      </c>
      <c r="H151" s="12">
        <v>1</v>
      </c>
      <c r="I151" s="11" t="s">
        <v>34</v>
      </c>
      <c r="J151" s="12" t="s">
        <v>59</v>
      </c>
      <c r="K151" s="12" t="s">
        <v>71</v>
      </c>
      <c r="L151" s="13"/>
      <c r="M151" s="13">
        <v>12500</v>
      </c>
      <c r="N151" s="13">
        <f t="shared" ref="N151:N152" si="8">M151</f>
        <v>12500</v>
      </c>
      <c r="O151" s="13">
        <f t="shared" si="6"/>
        <v>0</v>
      </c>
      <c r="P151" s="13">
        <v>10000</v>
      </c>
      <c r="Q151" s="13">
        <f t="shared" si="7"/>
        <v>-2500</v>
      </c>
      <c r="R151" s="13">
        <f>VLOOKUP(B:B,[1]Sheet1!$B$1:$I$13,8,0)</f>
        <v>2500</v>
      </c>
      <c r="S151" s="11" t="s">
        <v>969</v>
      </c>
      <c r="T151" s="14">
        <v>46266</v>
      </c>
      <c r="U151" s="11" t="s">
        <v>970</v>
      </c>
      <c r="V151" s="12"/>
      <c r="W151" s="13"/>
      <c r="X151" s="11"/>
      <c r="Y151" s="11"/>
      <c r="Z151" s="11" t="s">
        <v>847</v>
      </c>
      <c r="AA151" s="15"/>
    </row>
    <row r="152" spans="1:27" ht="14.25" x14ac:dyDescent="0.25">
      <c r="A152" s="9" t="s">
        <v>21</v>
      </c>
      <c r="B152" s="10" t="s">
        <v>817</v>
      </c>
      <c r="C152" s="10" t="s">
        <v>818</v>
      </c>
      <c r="D152" s="10" t="s">
        <v>819</v>
      </c>
      <c r="E152" s="11" t="s">
        <v>34</v>
      </c>
      <c r="F152" s="11" t="s">
        <v>820</v>
      </c>
      <c r="G152" s="11" t="s">
        <v>821</v>
      </c>
      <c r="H152" s="12">
        <v>1</v>
      </c>
      <c r="I152" s="11" t="s">
        <v>34</v>
      </c>
      <c r="J152" s="12" t="s">
        <v>59</v>
      </c>
      <c r="K152" s="12" t="s">
        <v>71</v>
      </c>
      <c r="L152" s="13"/>
      <c r="M152" s="13">
        <v>14000</v>
      </c>
      <c r="N152" s="13">
        <f t="shared" si="8"/>
        <v>14000</v>
      </c>
      <c r="O152" s="13">
        <f t="shared" si="6"/>
        <v>0</v>
      </c>
      <c r="P152" s="13">
        <v>10000</v>
      </c>
      <c r="Q152" s="13">
        <f t="shared" si="7"/>
        <v>-4000</v>
      </c>
      <c r="R152" s="13">
        <f>VLOOKUP(B:B,[1]Sheet1!$B$1:$I$13,8,0)</f>
        <v>4000</v>
      </c>
      <c r="S152" s="11" t="s">
        <v>969</v>
      </c>
      <c r="T152" s="14">
        <v>46266</v>
      </c>
      <c r="U152" s="11" t="s">
        <v>970</v>
      </c>
      <c r="V152" s="12"/>
      <c r="W152" s="13"/>
      <c r="X152" s="11"/>
      <c r="Y152" s="11"/>
      <c r="Z152" s="11" t="s">
        <v>847</v>
      </c>
      <c r="AA152" s="15"/>
    </row>
    <row r="153" spans="1:27" ht="28.5" x14ac:dyDescent="0.25">
      <c r="A153" s="9" t="s">
        <v>21</v>
      </c>
      <c r="B153" s="10" t="s">
        <v>822</v>
      </c>
      <c r="C153" s="10" t="s">
        <v>823</v>
      </c>
      <c r="D153" s="10" t="s">
        <v>824</v>
      </c>
      <c r="E153" s="11" t="s">
        <v>34</v>
      </c>
      <c r="F153" s="11" t="s">
        <v>825</v>
      </c>
      <c r="G153" s="11" t="s">
        <v>826</v>
      </c>
      <c r="H153" s="12" t="s">
        <v>37</v>
      </c>
      <c r="I153" s="11" t="s">
        <v>34</v>
      </c>
      <c r="J153" s="12" t="s">
        <v>59</v>
      </c>
      <c r="K153" s="12" t="s">
        <v>71</v>
      </c>
      <c r="L153" s="13"/>
      <c r="M153" s="13">
        <v>9000</v>
      </c>
      <c r="N153" s="13">
        <v>10000</v>
      </c>
      <c r="O153" s="13">
        <f t="shared" si="6"/>
        <v>1000</v>
      </c>
      <c r="P153" s="13">
        <v>10000</v>
      </c>
      <c r="Q153" s="13">
        <f t="shared" si="7"/>
        <v>1000</v>
      </c>
      <c r="R153" s="13">
        <v>0</v>
      </c>
      <c r="S153" s="11" t="s">
        <v>969</v>
      </c>
      <c r="T153" s="14">
        <v>46266</v>
      </c>
      <c r="U153" s="11" t="s">
        <v>970</v>
      </c>
      <c r="V153" s="12"/>
      <c r="W153" s="13"/>
      <c r="X153" s="11"/>
      <c r="Y153" s="11"/>
      <c r="Z153" s="11" t="s">
        <v>847</v>
      </c>
      <c r="AA153" s="15"/>
    </row>
    <row r="154" spans="1:27" ht="14.25" x14ac:dyDescent="0.25">
      <c r="A154" s="9" t="s">
        <v>21</v>
      </c>
      <c r="B154" s="10" t="s">
        <v>827</v>
      </c>
      <c r="C154" s="10" t="s">
        <v>828</v>
      </c>
      <c r="D154" s="10" t="s">
        <v>829</v>
      </c>
      <c r="E154" s="11" t="s">
        <v>116</v>
      </c>
      <c r="F154" s="11" t="s">
        <v>499</v>
      </c>
      <c r="G154" s="11" t="s">
        <v>830</v>
      </c>
      <c r="H154" s="12" t="s">
        <v>831</v>
      </c>
      <c r="I154" s="11" t="s">
        <v>832</v>
      </c>
      <c r="J154" s="12" t="s">
        <v>59</v>
      </c>
      <c r="K154" s="12" t="s">
        <v>71</v>
      </c>
      <c r="L154" s="13"/>
      <c r="M154" s="13">
        <v>10722</v>
      </c>
      <c r="N154" s="13">
        <v>10000</v>
      </c>
      <c r="O154" s="13">
        <f t="shared" si="6"/>
        <v>-722</v>
      </c>
      <c r="P154" s="13">
        <v>10000</v>
      </c>
      <c r="Q154" s="13">
        <f t="shared" si="7"/>
        <v>-722</v>
      </c>
      <c r="R154" s="13">
        <v>0</v>
      </c>
      <c r="S154" s="11" t="s">
        <v>969</v>
      </c>
      <c r="T154" s="14">
        <v>46276</v>
      </c>
      <c r="U154" s="11" t="s">
        <v>970</v>
      </c>
      <c r="V154" s="12"/>
      <c r="W154" s="13"/>
      <c r="X154" s="11"/>
      <c r="Y154" s="11"/>
      <c r="Z154" s="11" t="s">
        <v>847</v>
      </c>
      <c r="AA154" s="15"/>
    </row>
    <row r="155" spans="1:27" ht="14.25" x14ac:dyDescent="0.25">
      <c r="A155" s="9" t="s">
        <v>21</v>
      </c>
      <c r="B155" s="10" t="s">
        <v>833</v>
      </c>
      <c r="C155" s="10" t="s">
        <v>834</v>
      </c>
      <c r="D155" s="10" t="s">
        <v>835</v>
      </c>
      <c r="E155" s="11" t="s">
        <v>56</v>
      </c>
      <c r="F155" s="11" t="s">
        <v>766</v>
      </c>
      <c r="G155" s="11" t="s">
        <v>836</v>
      </c>
      <c r="H155" s="12" t="s">
        <v>132</v>
      </c>
      <c r="I155" s="11" t="s">
        <v>291</v>
      </c>
      <c r="J155" s="12" t="s">
        <v>212</v>
      </c>
      <c r="K155" s="12" t="s">
        <v>71</v>
      </c>
      <c r="L155" s="13"/>
      <c r="M155" s="13">
        <v>10500</v>
      </c>
      <c r="N155" s="13">
        <v>10000</v>
      </c>
      <c r="O155" s="13">
        <f t="shared" si="6"/>
        <v>-500</v>
      </c>
      <c r="P155" s="13">
        <v>10000</v>
      </c>
      <c r="Q155" s="13">
        <f t="shared" si="7"/>
        <v>-500</v>
      </c>
      <c r="R155" s="13">
        <v>0</v>
      </c>
      <c r="S155" s="11" t="s">
        <v>969</v>
      </c>
      <c r="T155" s="14">
        <v>46276</v>
      </c>
      <c r="U155" s="11" t="s">
        <v>970</v>
      </c>
      <c r="V155" s="12"/>
      <c r="W155" s="13"/>
      <c r="X155" s="11"/>
      <c r="Y155" s="11"/>
      <c r="Z155" s="11" t="s">
        <v>847</v>
      </c>
      <c r="AA155" s="15"/>
    </row>
    <row r="156" spans="1:27" ht="14.25" x14ac:dyDescent="0.25">
      <c r="A156" s="9" t="s">
        <v>21</v>
      </c>
      <c r="B156" s="10" t="s">
        <v>837</v>
      </c>
      <c r="C156" s="10" t="s">
        <v>838</v>
      </c>
      <c r="D156" s="10" t="s">
        <v>839</v>
      </c>
      <c r="E156" s="11" t="s">
        <v>165</v>
      </c>
      <c r="F156" s="11" t="s">
        <v>840</v>
      </c>
      <c r="G156" s="11" t="s">
        <v>841</v>
      </c>
      <c r="H156" s="12" t="s">
        <v>132</v>
      </c>
      <c r="I156" s="11" t="s">
        <v>165</v>
      </c>
      <c r="J156" s="12" t="s">
        <v>59</v>
      </c>
      <c r="K156" s="12" t="s">
        <v>52</v>
      </c>
      <c r="L156" s="13"/>
      <c r="M156" s="13">
        <v>9156</v>
      </c>
      <c r="N156" s="13">
        <v>9156</v>
      </c>
      <c r="O156" s="13">
        <f t="shared" si="6"/>
        <v>0</v>
      </c>
      <c r="P156" s="13">
        <v>10000</v>
      </c>
      <c r="Q156" s="13">
        <f t="shared" si="7"/>
        <v>844</v>
      </c>
      <c r="R156" s="13">
        <v>0</v>
      </c>
      <c r="S156" s="11" t="s">
        <v>969</v>
      </c>
      <c r="T156" s="14">
        <v>46275</v>
      </c>
      <c r="U156" s="11" t="s">
        <v>970</v>
      </c>
      <c r="V156" s="12"/>
      <c r="W156" s="13"/>
      <c r="X156" s="11"/>
      <c r="Y156" s="11"/>
      <c r="Z156" s="11" t="s">
        <v>847</v>
      </c>
      <c r="AA156" s="15"/>
    </row>
    <row r="157" spans="1:27" ht="14.25" x14ac:dyDescent="0.25">
      <c r="A157" s="9" t="s">
        <v>21</v>
      </c>
      <c r="B157" s="12" t="s">
        <v>842</v>
      </c>
      <c r="C157" s="12" t="s">
        <v>843</v>
      </c>
      <c r="D157" s="12" t="s">
        <v>844</v>
      </c>
      <c r="E157" s="12" t="s">
        <v>41</v>
      </c>
      <c r="F157" s="12" t="s">
        <v>658</v>
      </c>
      <c r="G157" s="12" t="s">
        <v>845</v>
      </c>
      <c r="H157" s="12" t="s">
        <v>846</v>
      </c>
      <c r="I157" s="11" t="s">
        <v>45</v>
      </c>
      <c r="J157" s="12" t="s">
        <v>59</v>
      </c>
      <c r="K157" s="12" t="s">
        <v>52</v>
      </c>
      <c r="L157" s="13"/>
      <c r="M157" s="13">
        <v>6220.96</v>
      </c>
      <c r="N157" s="13">
        <v>10000</v>
      </c>
      <c r="O157" s="13">
        <f t="shared" si="6"/>
        <v>3779.04</v>
      </c>
      <c r="P157" s="13">
        <v>10000</v>
      </c>
      <c r="Q157" s="13">
        <f t="shared" si="7"/>
        <v>3779.04</v>
      </c>
      <c r="R157" s="13">
        <v>0</v>
      </c>
      <c r="S157" s="11" t="s">
        <v>969</v>
      </c>
      <c r="T157" s="14">
        <v>46278</v>
      </c>
      <c r="U157" s="11" t="s">
        <v>970</v>
      </c>
      <c r="V157" s="12"/>
      <c r="W157" s="13"/>
      <c r="X157" s="11"/>
      <c r="Y157" s="11"/>
      <c r="Z157" s="11" t="s">
        <v>847</v>
      </c>
      <c r="AA157" s="15"/>
    </row>
    <row r="158" spans="1:27" ht="14.25" x14ac:dyDescent="0.25">
      <c r="A158" s="9" t="s">
        <v>21</v>
      </c>
      <c r="B158" s="12" t="s">
        <v>848</v>
      </c>
      <c r="C158" s="12" t="s">
        <v>849</v>
      </c>
      <c r="D158" s="12" t="s">
        <v>850</v>
      </c>
      <c r="E158" s="32" t="s">
        <v>34</v>
      </c>
      <c r="F158" s="12" t="s">
        <v>851</v>
      </c>
      <c r="G158" s="33" t="s">
        <v>852</v>
      </c>
      <c r="H158" s="12" t="s">
        <v>37</v>
      </c>
      <c r="I158" s="11" t="s">
        <v>34</v>
      </c>
      <c r="J158" s="12" t="s">
        <v>59</v>
      </c>
      <c r="K158" s="12" t="s">
        <v>52</v>
      </c>
      <c r="L158" s="13"/>
      <c r="M158" s="13">
        <v>10000</v>
      </c>
      <c r="N158" s="13">
        <v>10000</v>
      </c>
      <c r="O158" s="13">
        <f t="shared" si="6"/>
        <v>0</v>
      </c>
      <c r="P158" s="13">
        <v>10000</v>
      </c>
      <c r="Q158" s="13">
        <f t="shared" si="7"/>
        <v>0</v>
      </c>
      <c r="R158" s="13">
        <v>0</v>
      </c>
      <c r="S158" s="11" t="s">
        <v>969</v>
      </c>
      <c r="T158" s="14">
        <v>46277</v>
      </c>
      <c r="U158" s="11" t="s">
        <v>970</v>
      </c>
      <c r="V158" s="12"/>
      <c r="W158" s="13"/>
      <c r="X158" s="11"/>
      <c r="Y158" s="11"/>
      <c r="Z158" s="11" t="s">
        <v>847</v>
      </c>
      <c r="AA158" s="15"/>
    </row>
    <row r="159" spans="1:27" ht="14.25" x14ac:dyDescent="0.25">
      <c r="A159" s="9" t="s">
        <v>21</v>
      </c>
      <c r="B159" s="17" t="s">
        <v>853</v>
      </c>
      <c r="C159" s="17" t="s">
        <v>854</v>
      </c>
      <c r="D159" s="17" t="s">
        <v>855</v>
      </c>
      <c r="E159" s="17" t="s">
        <v>41</v>
      </c>
      <c r="F159" s="17" t="s">
        <v>856</v>
      </c>
      <c r="G159" s="17" t="s">
        <v>857</v>
      </c>
      <c r="H159" s="12" t="s">
        <v>28</v>
      </c>
      <c r="I159" s="11" t="s">
        <v>25</v>
      </c>
      <c r="J159" s="12" t="s">
        <v>212</v>
      </c>
      <c r="K159" s="12" t="s">
        <v>52</v>
      </c>
      <c r="L159" s="13"/>
      <c r="M159" s="13">
        <v>5214</v>
      </c>
      <c r="N159" s="13">
        <v>7214</v>
      </c>
      <c r="O159" s="13">
        <f t="shared" si="6"/>
        <v>2000</v>
      </c>
      <c r="P159" s="13">
        <v>10000</v>
      </c>
      <c r="Q159" s="13">
        <f t="shared" si="7"/>
        <v>4786</v>
      </c>
      <c r="R159" s="13">
        <v>0</v>
      </c>
      <c r="S159" s="11" t="s">
        <v>969</v>
      </c>
      <c r="T159" s="14">
        <v>46276</v>
      </c>
      <c r="U159" s="11" t="s">
        <v>970</v>
      </c>
      <c r="V159" s="12"/>
      <c r="W159" s="13"/>
      <c r="X159" s="11"/>
      <c r="Y159" s="11"/>
      <c r="Z159" s="11" t="s">
        <v>847</v>
      </c>
      <c r="AA159" s="15"/>
    </row>
    <row r="160" spans="1:27" ht="28.5" x14ac:dyDescent="0.25">
      <c r="A160" s="9" t="s">
        <v>21</v>
      </c>
      <c r="B160" s="18" t="s">
        <v>858</v>
      </c>
      <c r="C160" s="18" t="s">
        <v>859</v>
      </c>
      <c r="D160" s="18" t="s">
        <v>860</v>
      </c>
      <c r="E160" s="11" t="s">
        <v>861</v>
      </c>
      <c r="F160" s="18" t="s">
        <v>862</v>
      </c>
      <c r="G160" s="11" t="s">
        <v>863</v>
      </c>
      <c r="H160" s="12" t="s">
        <v>864</v>
      </c>
      <c r="I160" s="11" t="s">
        <v>861</v>
      </c>
      <c r="J160" s="12" t="s">
        <v>30</v>
      </c>
      <c r="K160" s="12" t="s">
        <v>52</v>
      </c>
      <c r="L160" s="13"/>
      <c r="M160" s="13">
        <v>10000</v>
      </c>
      <c r="N160" s="13">
        <v>10000</v>
      </c>
      <c r="O160" s="13">
        <f t="shared" si="6"/>
        <v>0</v>
      </c>
      <c r="P160" s="13">
        <v>10000</v>
      </c>
      <c r="Q160" s="13">
        <f t="shared" si="7"/>
        <v>0</v>
      </c>
      <c r="R160" s="13">
        <v>0</v>
      </c>
      <c r="S160" s="11" t="s">
        <v>969</v>
      </c>
      <c r="T160" s="14">
        <v>46275</v>
      </c>
      <c r="U160" s="11" t="s">
        <v>970</v>
      </c>
      <c r="V160" s="12"/>
      <c r="W160" s="13"/>
      <c r="X160" s="11"/>
      <c r="Y160" s="11"/>
      <c r="Z160" s="11" t="s">
        <v>847</v>
      </c>
      <c r="AA160" s="15"/>
    </row>
    <row r="161" spans="1:30" ht="28.5" x14ac:dyDescent="0.25">
      <c r="A161" s="9" t="s">
        <v>21</v>
      </c>
      <c r="B161" s="18" t="s">
        <v>865</v>
      </c>
      <c r="C161" s="18" t="s">
        <v>866</v>
      </c>
      <c r="D161" s="18" t="s">
        <v>867</v>
      </c>
      <c r="E161" s="11" t="s">
        <v>41</v>
      </c>
      <c r="F161" s="12" t="s">
        <v>868</v>
      </c>
      <c r="G161" s="12" t="s">
        <v>869</v>
      </c>
      <c r="H161" s="12" t="s">
        <v>870</v>
      </c>
      <c r="I161" s="11" t="s">
        <v>25</v>
      </c>
      <c r="J161" s="12" t="s">
        <v>59</v>
      </c>
      <c r="K161" s="12" t="s">
        <v>52</v>
      </c>
      <c r="L161" s="13"/>
      <c r="M161" s="13">
        <v>9641.2099999999991</v>
      </c>
      <c r="N161" s="13">
        <v>9641.2099999999991</v>
      </c>
      <c r="O161" s="13">
        <f t="shared" si="6"/>
        <v>0</v>
      </c>
      <c r="P161" s="13">
        <v>10000</v>
      </c>
      <c r="Q161" s="13">
        <f t="shared" si="7"/>
        <v>358.79000000000087</v>
      </c>
      <c r="R161" s="13">
        <v>0</v>
      </c>
      <c r="S161" s="11" t="s">
        <v>969</v>
      </c>
      <c r="T161" s="14">
        <v>46278</v>
      </c>
      <c r="U161" s="11" t="s">
        <v>970</v>
      </c>
      <c r="V161" s="12"/>
      <c r="W161" s="13"/>
      <c r="X161" s="11"/>
      <c r="Y161" s="11"/>
      <c r="Z161" s="11" t="s">
        <v>847</v>
      </c>
      <c r="AA161" s="15"/>
    </row>
    <row r="162" spans="1:30" ht="14.25" x14ac:dyDescent="0.25">
      <c r="A162" s="9" t="s">
        <v>21</v>
      </c>
      <c r="B162" s="12" t="s">
        <v>871</v>
      </c>
      <c r="C162" s="12" t="s">
        <v>872</v>
      </c>
      <c r="D162" s="12" t="s">
        <v>873</v>
      </c>
      <c r="E162" s="12" t="s">
        <v>41</v>
      </c>
      <c r="F162" s="12" t="s">
        <v>874</v>
      </c>
      <c r="G162" s="12" t="s">
        <v>875</v>
      </c>
      <c r="H162" s="12" t="s">
        <v>876</v>
      </c>
      <c r="I162" s="11" t="s">
        <v>25</v>
      </c>
      <c r="J162" s="12" t="s">
        <v>212</v>
      </c>
      <c r="K162" s="12" t="s">
        <v>212</v>
      </c>
      <c r="L162" s="13"/>
      <c r="M162" s="13">
        <v>10616</v>
      </c>
      <c r="N162" s="13">
        <v>10000</v>
      </c>
      <c r="O162" s="13">
        <f t="shared" si="6"/>
        <v>-616</v>
      </c>
      <c r="P162" s="13">
        <v>10000</v>
      </c>
      <c r="Q162" s="13">
        <f t="shared" si="7"/>
        <v>-616</v>
      </c>
      <c r="R162" s="13">
        <v>0</v>
      </c>
      <c r="S162" s="11" t="s">
        <v>969</v>
      </c>
      <c r="T162" s="14">
        <v>46276</v>
      </c>
      <c r="U162" s="11" t="s">
        <v>970</v>
      </c>
      <c r="V162" s="12"/>
      <c r="W162" s="13"/>
      <c r="X162" s="11"/>
      <c r="Y162" s="11"/>
      <c r="Z162" s="11" t="s">
        <v>847</v>
      </c>
      <c r="AA162" s="15"/>
    </row>
    <row r="163" spans="1:30" ht="14.25" x14ac:dyDescent="0.25">
      <c r="A163" s="9" t="s">
        <v>21</v>
      </c>
      <c r="B163" s="12" t="s">
        <v>877</v>
      </c>
      <c r="C163" s="12" t="s">
        <v>878</v>
      </c>
      <c r="D163" s="12" t="s">
        <v>879</v>
      </c>
      <c r="E163" s="11" t="s">
        <v>41</v>
      </c>
      <c r="F163" s="12" t="s">
        <v>880</v>
      </c>
      <c r="G163" s="12" t="s">
        <v>881</v>
      </c>
      <c r="H163" s="18" t="s">
        <v>882</v>
      </c>
      <c r="I163" s="11" t="s">
        <v>25</v>
      </c>
      <c r="J163" s="12" t="s">
        <v>212</v>
      </c>
      <c r="K163" s="12" t="s">
        <v>52</v>
      </c>
      <c r="L163" s="13"/>
      <c r="M163" s="13">
        <v>10000</v>
      </c>
      <c r="N163" s="13">
        <v>10000</v>
      </c>
      <c r="O163" s="13">
        <f t="shared" si="6"/>
        <v>0</v>
      </c>
      <c r="P163" s="13">
        <v>10000</v>
      </c>
      <c r="Q163" s="13">
        <f t="shared" si="7"/>
        <v>0</v>
      </c>
      <c r="R163" s="13">
        <v>0</v>
      </c>
      <c r="S163" s="11" t="s">
        <v>969</v>
      </c>
      <c r="T163" s="14">
        <v>46278</v>
      </c>
      <c r="U163" s="11" t="s">
        <v>970</v>
      </c>
      <c r="V163" s="12"/>
      <c r="W163" s="13"/>
      <c r="X163" s="11"/>
      <c r="Y163" s="11"/>
      <c r="Z163" s="11" t="s">
        <v>847</v>
      </c>
      <c r="AA163" s="15"/>
    </row>
    <row r="164" spans="1:30" ht="14.25" x14ac:dyDescent="0.25">
      <c r="A164" s="9" t="s">
        <v>21</v>
      </c>
      <c r="B164" s="18" t="s">
        <v>883</v>
      </c>
      <c r="C164" s="18" t="s">
        <v>884</v>
      </c>
      <c r="D164" s="18" t="s">
        <v>885</v>
      </c>
      <c r="E164" s="11" t="s">
        <v>41</v>
      </c>
      <c r="F164" s="12" t="s">
        <v>68</v>
      </c>
      <c r="G164" s="12" t="s">
        <v>886</v>
      </c>
      <c r="H164" s="14" t="s">
        <v>250</v>
      </c>
      <c r="I164" s="11" t="s">
        <v>25</v>
      </c>
      <c r="J164" s="12" t="s">
        <v>119</v>
      </c>
      <c r="K164" s="12" t="s">
        <v>30</v>
      </c>
      <c r="L164" s="13"/>
      <c r="M164" s="13">
        <v>10000</v>
      </c>
      <c r="N164" s="13">
        <v>10000</v>
      </c>
      <c r="O164" s="13">
        <f t="shared" si="6"/>
        <v>0</v>
      </c>
      <c r="P164" s="13">
        <v>10000</v>
      </c>
      <c r="Q164" s="13">
        <f t="shared" si="7"/>
        <v>0</v>
      </c>
      <c r="R164" s="13">
        <v>0</v>
      </c>
      <c r="S164" s="11" t="s">
        <v>969</v>
      </c>
      <c r="T164" s="14">
        <v>46278</v>
      </c>
      <c r="U164" s="11" t="s">
        <v>970</v>
      </c>
      <c r="V164" s="12"/>
      <c r="W164" s="13"/>
      <c r="X164" s="11"/>
      <c r="Y164" s="11"/>
      <c r="Z164" s="11" t="s">
        <v>847</v>
      </c>
      <c r="AA164" s="15"/>
    </row>
    <row r="165" spans="1:30" ht="14.25" x14ac:dyDescent="0.25">
      <c r="A165" s="9" t="s">
        <v>21</v>
      </c>
      <c r="B165" s="18" t="s">
        <v>887</v>
      </c>
      <c r="C165" s="18" t="s">
        <v>888</v>
      </c>
      <c r="D165" s="18" t="s">
        <v>889</v>
      </c>
      <c r="E165" s="11" t="s">
        <v>41</v>
      </c>
      <c r="F165" s="12" t="s">
        <v>614</v>
      </c>
      <c r="G165" s="18" t="s">
        <v>615</v>
      </c>
      <c r="H165" s="12" t="s">
        <v>28</v>
      </c>
      <c r="I165" s="11" t="s">
        <v>25</v>
      </c>
      <c r="J165" s="12" t="s">
        <v>119</v>
      </c>
      <c r="K165" s="12" t="s">
        <v>30</v>
      </c>
      <c r="L165" s="13"/>
      <c r="M165" s="13">
        <v>5157</v>
      </c>
      <c r="N165" s="13">
        <v>7157</v>
      </c>
      <c r="O165" s="13">
        <f t="shared" si="6"/>
        <v>2000</v>
      </c>
      <c r="P165" s="13">
        <v>10000</v>
      </c>
      <c r="Q165" s="13">
        <f t="shared" si="7"/>
        <v>4843</v>
      </c>
      <c r="R165" s="13">
        <v>0</v>
      </c>
      <c r="S165" s="11" t="s">
        <v>969</v>
      </c>
      <c r="T165" s="14">
        <v>46276</v>
      </c>
      <c r="U165" s="11" t="s">
        <v>970</v>
      </c>
      <c r="V165" s="12"/>
      <c r="W165" s="13"/>
      <c r="X165" s="11"/>
      <c r="Y165" s="11"/>
      <c r="Z165" s="11" t="s">
        <v>847</v>
      </c>
      <c r="AA165" s="15"/>
    </row>
    <row r="166" spans="1:30" ht="14.25" x14ac:dyDescent="0.25">
      <c r="A166" s="9" t="s">
        <v>21</v>
      </c>
      <c r="B166" s="18" t="s">
        <v>890</v>
      </c>
      <c r="C166" s="18" t="s">
        <v>891</v>
      </c>
      <c r="D166" s="32" t="s">
        <v>892</v>
      </c>
      <c r="E166" s="11" t="s">
        <v>41</v>
      </c>
      <c r="F166" s="12" t="s">
        <v>893</v>
      </c>
      <c r="G166" s="18" t="s">
        <v>894</v>
      </c>
      <c r="H166" s="12" t="s">
        <v>273</v>
      </c>
      <c r="I166" s="11" t="s">
        <v>25</v>
      </c>
      <c r="J166" s="12" t="s">
        <v>119</v>
      </c>
      <c r="K166" s="12" t="s">
        <v>30</v>
      </c>
      <c r="L166" s="13"/>
      <c r="M166" s="13">
        <v>6490</v>
      </c>
      <c r="N166" s="13">
        <v>10000</v>
      </c>
      <c r="O166" s="13">
        <f t="shared" si="6"/>
        <v>3510</v>
      </c>
      <c r="P166" s="13">
        <v>10000</v>
      </c>
      <c r="Q166" s="13">
        <f t="shared" si="7"/>
        <v>3510</v>
      </c>
      <c r="R166" s="13">
        <v>0</v>
      </c>
      <c r="S166" s="11" t="s">
        <v>969</v>
      </c>
      <c r="T166" s="14">
        <v>46277</v>
      </c>
      <c r="U166" s="11" t="s">
        <v>970</v>
      </c>
      <c r="V166" s="12"/>
      <c r="W166" s="13"/>
      <c r="X166" s="11"/>
      <c r="Y166" s="11"/>
      <c r="Z166" s="11" t="s">
        <v>847</v>
      </c>
      <c r="AA166" s="15"/>
    </row>
    <row r="167" spans="1:30" ht="14.25" x14ac:dyDescent="0.25">
      <c r="A167" s="9" t="s">
        <v>21</v>
      </c>
      <c r="B167" s="10" t="s">
        <v>895</v>
      </c>
      <c r="C167" s="10" t="s">
        <v>896</v>
      </c>
      <c r="D167" s="10" t="s">
        <v>897</v>
      </c>
      <c r="E167" s="11" t="s">
        <v>41</v>
      </c>
      <c r="F167" s="12" t="s">
        <v>898</v>
      </c>
      <c r="G167" s="12" t="s">
        <v>899</v>
      </c>
      <c r="H167" s="12" t="s">
        <v>900</v>
      </c>
      <c r="I167" s="11" t="s">
        <v>25</v>
      </c>
      <c r="J167" s="12" t="s">
        <v>119</v>
      </c>
      <c r="K167" s="12" t="s">
        <v>30</v>
      </c>
      <c r="L167" s="13"/>
      <c r="M167" s="13">
        <v>9086</v>
      </c>
      <c r="N167" s="13">
        <v>9086</v>
      </c>
      <c r="O167" s="13">
        <f t="shared" si="6"/>
        <v>0</v>
      </c>
      <c r="P167" s="13">
        <v>10000</v>
      </c>
      <c r="Q167" s="13">
        <f t="shared" si="7"/>
        <v>914</v>
      </c>
      <c r="R167" s="13">
        <v>0</v>
      </c>
      <c r="S167" s="11" t="s">
        <v>969</v>
      </c>
      <c r="T167" s="14">
        <v>46276</v>
      </c>
      <c r="U167" s="11" t="s">
        <v>970</v>
      </c>
      <c r="V167" s="12"/>
      <c r="W167" s="13"/>
      <c r="X167" s="11"/>
      <c r="Y167" s="11"/>
      <c r="Z167" s="11" t="s">
        <v>847</v>
      </c>
      <c r="AA167" s="15"/>
    </row>
    <row r="168" spans="1:30" ht="14.25" x14ac:dyDescent="0.25">
      <c r="A168" s="9" t="s">
        <v>21</v>
      </c>
      <c r="B168" s="18" t="s">
        <v>901</v>
      </c>
      <c r="C168" s="18" t="s">
        <v>902</v>
      </c>
      <c r="D168" s="18" t="s">
        <v>903</v>
      </c>
      <c r="E168" s="17" t="s">
        <v>169</v>
      </c>
      <c r="F168" s="18" t="s">
        <v>795</v>
      </c>
      <c r="G168" s="11" t="s">
        <v>904</v>
      </c>
      <c r="H168" s="12" t="s">
        <v>905</v>
      </c>
      <c r="I168" s="11" t="s">
        <v>169</v>
      </c>
      <c r="J168" s="12" t="s">
        <v>59</v>
      </c>
      <c r="K168" s="12" t="s">
        <v>59</v>
      </c>
      <c r="L168" s="13"/>
      <c r="M168" s="13">
        <v>8100</v>
      </c>
      <c r="N168" s="13">
        <v>8100</v>
      </c>
      <c r="O168" s="13">
        <f t="shared" si="6"/>
        <v>0</v>
      </c>
      <c r="P168" s="13">
        <v>10000</v>
      </c>
      <c r="Q168" s="13">
        <f t="shared" si="7"/>
        <v>1900</v>
      </c>
      <c r="R168" s="13">
        <v>0</v>
      </c>
      <c r="S168" s="11" t="s">
        <v>969</v>
      </c>
      <c r="T168" s="14">
        <v>46278</v>
      </c>
      <c r="U168" s="11" t="s">
        <v>970</v>
      </c>
      <c r="V168" s="12"/>
      <c r="W168" s="13"/>
      <c r="X168" s="11"/>
      <c r="Y168" s="11"/>
      <c r="Z168" s="11" t="s">
        <v>847</v>
      </c>
      <c r="AA168" s="19"/>
    </row>
    <row r="169" spans="1:30" ht="14.25" x14ac:dyDescent="0.25">
      <c r="A169" s="9" t="s">
        <v>21</v>
      </c>
      <c r="B169" s="10" t="s">
        <v>906</v>
      </c>
      <c r="C169" s="10" t="s">
        <v>907</v>
      </c>
      <c r="D169" s="10" t="s">
        <v>908</v>
      </c>
      <c r="E169" s="11" t="s">
        <v>41</v>
      </c>
      <c r="F169" s="18" t="s">
        <v>909</v>
      </c>
      <c r="G169" s="18" t="s">
        <v>910</v>
      </c>
      <c r="H169" s="12" t="s">
        <v>831</v>
      </c>
      <c r="I169" s="11" t="s">
        <v>25</v>
      </c>
      <c r="J169" s="12" t="s">
        <v>212</v>
      </c>
      <c r="K169" s="12" t="s">
        <v>212</v>
      </c>
      <c r="L169" s="13"/>
      <c r="M169" s="13">
        <v>6358</v>
      </c>
      <c r="N169" s="13">
        <v>10000</v>
      </c>
      <c r="O169" s="13">
        <f t="shared" si="6"/>
        <v>3642</v>
      </c>
      <c r="P169" s="13">
        <v>10000</v>
      </c>
      <c r="Q169" s="13">
        <f t="shared" si="7"/>
        <v>3642</v>
      </c>
      <c r="R169" s="13">
        <v>0</v>
      </c>
      <c r="S169" s="11" t="s">
        <v>969</v>
      </c>
      <c r="T169" s="14">
        <v>46276</v>
      </c>
      <c r="U169" s="11" t="s">
        <v>970</v>
      </c>
      <c r="V169" s="12"/>
      <c r="W169" s="13"/>
      <c r="X169" s="11"/>
      <c r="Y169" s="11"/>
      <c r="Z169" s="11" t="s">
        <v>847</v>
      </c>
      <c r="AA169" s="20"/>
      <c r="AB169" s="21"/>
      <c r="AC169" s="21"/>
    </row>
    <row r="170" spans="1:30" ht="14.25" x14ac:dyDescent="0.25">
      <c r="A170" s="9" t="s">
        <v>21</v>
      </c>
      <c r="B170" s="10" t="s">
        <v>911</v>
      </c>
      <c r="C170" s="10" t="s">
        <v>912</v>
      </c>
      <c r="D170" s="10" t="s">
        <v>913</v>
      </c>
      <c r="E170" s="11" t="s">
        <v>41</v>
      </c>
      <c r="F170" s="18" t="s">
        <v>350</v>
      </c>
      <c r="G170" s="18" t="s">
        <v>914</v>
      </c>
      <c r="H170" s="12" t="s">
        <v>383</v>
      </c>
      <c r="I170" s="11" t="s">
        <v>25</v>
      </c>
      <c r="J170" s="12" t="s">
        <v>212</v>
      </c>
      <c r="K170" s="12" t="s">
        <v>212</v>
      </c>
      <c r="L170" s="13"/>
      <c r="M170" s="13">
        <v>7341</v>
      </c>
      <c r="N170" s="13">
        <v>9341</v>
      </c>
      <c r="O170" s="13">
        <f t="shared" si="6"/>
        <v>2000</v>
      </c>
      <c r="P170" s="13">
        <v>10000</v>
      </c>
      <c r="Q170" s="13">
        <f t="shared" si="7"/>
        <v>2659</v>
      </c>
      <c r="R170" s="13">
        <v>0</v>
      </c>
      <c r="S170" s="11" t="s">
        <v>969</v>
      </c>
      <c r="T170" s="14">
        <v>46278</v>
      </c>
      <c r="U170" s="11" t="s">
        <v>970</v>
      </c>
      <c r="V170" s="12"/>
      <c r="W170" s="13"/>
      <c r="X170" s="11"/>
      <c r="Y170" s="11"/>
      <c r="Z170" s="11" t="s">
        <v>847</v>
      </c>
      <c r="AA170" s="20"/>
      <c r="AB170" s="21"/>
      <c r="AC170" s="21"/>
    </row>
    <row r="171" spans="1:30" ht="14.25" x14ac:dyDescent="0.25">
      <c r="A171" s="9" t="s">
        <v>21</v>
      </c>
      <c r="B171" s="10" t="s">
        <v>915</v>
      </c>
      <c r="C171" s="10" t="s">
        <v>916</v>
      </c>
      <c r="D171" s="10" t="s">
        <v>917</v>
      </c>
      <c r="E171" s="11" t="s">
        <v>41</v>
      </c>
      <c r="F171" s="18" t="s">
        <v>626</v>
      </c>
      <c r="G171" s="18" t="s">
        <v>918</v>
      </c>
      <c r="H171" s="12" t="s">
        <v>919</v>
      </c>
      <c r="I171" s="11" t="s">
        <v>25</v>
      </c>
      <c r="J171" s="12" t="s">
        <v>212</v>
      </c>
      <c r="K171" s="12" t="s">
        <v>212</v>
      </c>
      <c r="L171" s="13"/>
      <c r="M171" s="13">
        <v>5484</v>
      </c>
      <c r="N171" s="13">
        <v>10000</v>
      </c>
      <c r="O171" s="13">
        <f t="shared" si="6"/>
        <v>4516</v>
      </c>
      <c r="P171" s="13">
        <v>10000</v>
      </c>
      <c r="Q171" s="13">
        <f t="shared" si="7"/>
        <v>4516</v>
      </c>
      <c r="R171" s="13">
        <v>0</v>
      </c>
      <c r="S171" s="11" t="s">
        <v>969</v>
      </c>
      <c r="T171" s="14">
        <v>46282</v>
      </c>
      <c r="U171" s="11" t="s">
        <v>970</v>
      </c>
      <c r="V171" s="12"/>
      <c r="W171" s="13"/>
      <c r="X171" s="11"/>
      <c r="Y171" s="11"/>
      <c r="Z171" s="11" t="s">
        <v>847</v>
      </c>
      <c r="AA171" s="20"/>
      <c r="AB171" s="21"/>
      <c r="AC171" s="21"/>
    </row>
    <row r="172" spans="1:30" s="21" customFormat="1" ht="14.25" x14ac:dyDescent="0.25">
      <c r="A172" s="9" t="s">
        <v>21</v>
      </c>
      <c r="B172" s="12" t="s">
        <v>920</v>
      </c>
      <c r="C172" s="12" t="s">
        <v>921</v>
      </c>
      <c r="D172" s="12" t="s">
        <v>922</v>
      </c>
      <c r="E172" s="11" t="s">
        <v>34</v>
      </c>
      <c r="F172" s="12" t="s">
        <v>923</v>
      </c>
      <c r="G172" s="12" t="s">
        <v>924</v>
      </c>
      <c r="H172" s="12" t="s">
        <v>37</v>
      </c>
      <c r="I172" s="11" t="s">
        <v>34</v>
      </c>
      <c r="J172" s="12" t="s">
        <v>46</v>
      </c>
      <c r="K172" s="12" t="s">
        <v>52</v>
      </c>
      <c r="L172" s="34"/>
      <c r="M172" s="13">
        <v>10000</v>
      </c>
      <c r="N172" s="13">
        <v>10000</v>
      </c>
      <c r="O172" s="13">
        <f t="shared" si="6"/>
        <v>0</v>
      </c>
      <c r="P172" s="13">
        <v>10000</v>
      </c>
      <c r="Q172" s="13">
        <f t="shared" si="7"/>
        <v>0</v>
      </c>
      <c r="R172" s="13">
        <v>0</v>
      </c>
      <c r="S172" s="11" t="s">
        <v>969</v>
      </c>
      <c r="T172" s="14">
        <v>46253</v>
      </c>
      <c r="U172" s="11" t="s">
        <v>970</v>
      </c>
      <c r="V172" s="12"/>
      <c r="W172" s="12"/>
      <c r="X172" s="12"/>
      <c r="Y172" s="12"/>
      <c r="Z172" s="11" t="s">
        <v>847</v>
      </c>
      <c r="AA172" s="23"/>
      <c r="AD172" s="24"/>
    </row>
    <row r="173" spans="1:30" s="21" customFormat="1" ht="14.25" x14ac:dyDescent="0.25">
      <c r="A173" s="9" t="s">
        <v>21</v>
      </c>
      <c r="B173" s="12" t="s">
        <v>925</v>
      </c>
      <c r="C173" s="12" t="s">
        <v>926</v>
      </c>
      <c r="D173" s="12" t="s">
        <v>927</v>
      </c>
      <c r="E173" s="11" t="s">
        <v>928</v>
      </c>
      <c r="F173" s="12" t="s">
        <v>929</v>
      </c>
      <c r="G173" s="12" t="s">
        <v>930</v>
      </c>
      <c r="H173" s="12" t="s">
        <v>168</v>
      </c>
      <c r="I173" s="11" t="s">
        <v>930</v>
      </c>
      <c r="J173" s="12" t="s">
        <v>46</v>
      </c>
      <c r="K173" s="12" t="s">
        <v>52</v>
      </c>
      <c r="L173" s="17"/>
      <c r="M173" s="13">
        <v>9499</v>
      </c>
      <c r="N173" s="35">
        <v>9499</v>
      </c>
      <c r="O173" s="13">
        <f t="shared" si="6"/>
        <v>0</v>
      </c>
      <c r="P173" s="13">
        <v>10000</v>
      </c>
      <c r="Q173" s="13">
        <f t="shared" si="7"/>
        <v>501</v>
      </c>
      <c r="R173" s="13">
        <v>0</v>
      </c>
      <c r="S173" s="11" t="s">
        <v>969</v>
      </c>
      <c r="T173" s="14">
        <v>46279</v>
      </c>
      <c r="U173" s="11" t="s">
        <v>970</v>
      </c>
      <c r="V173" s="12"/>
      <c r="W173" s="12"/>
      <c r="X173" s="12"/>
      <c r="Y173" s="12"/>
      <c r="Z173" s="11" t="s">
        <v>847</v>
      </c>
      <c r="AA173" s="25"/>
      <c r="AB173" s="26"/>
      <c r="AC173" s="26"/>
    </row>
    <row r="174" spans="1:30" s="21" customFormat="1" ht="14.25" x14ac:dyDescent="0.25">
      <c r="A174" s="9" t="s">
        <v>21</v>
      </c>
      <c r="B174" s="18" t="s">
        <v>931</v>
      </c>
      <c r="C174" s="18" t="s">
        <v>932</v>
      </c>
      <c r="D174" s="18" t="s">
        <v>933</v>
      </c>
      <c r="E174" s="18" t="s">
        <v>41</v>
      </c>
      <c r="F174" s="12" t="s">
        <v>934</v>
      </c>
      <c r="G174" s="12" t="s">
        <v>935</v>
      </c>
      <c r="H174" s="17" t="s">
        <v>132</v>
      </c>
      <c r="I174" s="11" t="s">
        <v>25</v>
      </c>
      <c r="J174" s="17" t="s">
        <v>59</v>
      </c>
      <c r="K174" s="17" t="s">
        <v>52</v>
      </c>
      <c r="L174" s="17"/>
      <c r="M174" s="13">
        <v>9500</v>
      </c>
      <c r="N174" s="35">
        <v>9500</v>
      </c>
      <c r="O174" s="13">
        <f t="shared" si="6"/>
        <v>0</v>
      </c>
      <c r="P174" s="13">
        <v>10000</v>
      </c>
      <c r="Q174" s="13">
        <f t="shared" si="7"/>
        <v>500</v>
      </c>
      <c r="R174" s="13">
        <v>0</v>
      </c>
      <c r="S174" s="11" t="s">
        <v>969</v>
      </c>
      <c r="T174" s="27">
        <v>46278</v>
      </c>
      <c r="U174" s="11" t="s">
        <v>970</v>
      </c>
      <c r="V174" s="17"/>
      <c r="W174" s="17"/>
      <c r="X174" s="17"/>
      <c r="Y174" s="17"/>
      <c r="Z174" s="11" t="s">
        <v>847</v>
      </c>
      <c r="AA174" s="24"/>
    </row>
    <row r="175" spans="1:30" s="21" customFormat="1" ht="15" customHeight="1" x14ac:dyDescent="0.25">
      <c r="A175" s="9" t="s">
        <v>21</v>
      </c>
      <c r="B175" s="17" t="s">
        <v>936</v>
      </c>
      <c r="C175" s="17" t="s">
        <v>937</v>
      </c>
      <c r="D175" s="17" t="s">
        <v>938</v>
      </c>
      <c r="E175" s="17" t="s">
        <v>41</v>
      </c>
      <c r="F175" s="17" t="s">
        <v>371</v>
      </c>
      <c r="G175" s="17" t="s">
        <v>939</v>
      </c>
      <c r="H175" s="17" t="s">
        <v>28</v>
      </c>
      <c r="I175" s="17" t="s">
        <v>25</v>
      </c>
      <c r="J175" s="17" t="s">
        <v>59</v>
      </c>
      <c r="K175" s="17" t="s">
        <v>52</v>
      </c>
      <c r="L175" s="17"/>
      <c r="M175" s="13">
        <v>10000</v>
      </c>
      <c r="N175" s="13">
        <v>10000</v>
      </c>
      <c r="O175" s="13">
        <f t="shared" si="6"/>
        <v>0</v>
      </c>
      <c r="P175" s="13">
        <v>10000</v>
      </c>
      <c r="Q175" s="13">
        <f t="shared" si="7"/>
        <v>0</v>
      </c>
      <c r="R175" s="13">
        <v>0</v>
      </c>
      <c r="S175" s="11" t="s">
        <v>969</v>
      </c>
      <c r="T175" s="27">
        <v>46281</v>
      </c>
      <c r="U175" s="11" t="s">
        <v>970</v>
      </c>
      <c r="V175" s="17"/>
      <c r="W175" s="17"/>
      <c r="X175" s="17"/>
      <c r="Y175" s="17"/>
      <c r="Z175" s="11" t="s">
        <v>847</v>
      </c>
      <c r="AA175" s="24"/>
    </row>
    <row r="176" spans="1:30" s="21" customFormat="1" ht="15" customHeight="1" x14ac:dyDescent="0.25">
      <c r="A176" s="9" t="s">
        <v>21</v>
      </c>
      <c r="B176" s="18" t="s">
        <v>940</v>
      </c>
      <c r="C176" s="18" t="s">
        <v>941</v>
      </c>
      <c r="D176" s="18" t="s">
        <v>942</v>
      </c>
      <c r="E176" s="28" t="s">
        <v>41</v>
      </c>
      <c r="F176" s="17" t="s">
        <v>943</v>
      </c>
      <c r="G176" s="17" t="s">
        <v>944</v>
      </c>
      <c r="H176" s="17" t="s">
        <v>132</v>
      </c>
      <c r="I176" s="17" t="s">
        <v>945</v>
      </c>
      <c r="J176" s="17" t="s">
        <v>119</v>
      </c>
      <c r="K176" s="17" t="s">
        <v>30</v>
      </c>
      <c r="L176" s="17"/>
      <c r="M176" s="13">
        <v>7161</v>
      </c>
      <c r="N176" s="35">
        <v>8161</v>
      </c>
      <c r="O176" s="13">
        <f t="shared" si="6"/>
        <v>1000</v>
      </c>
      <c r="P176" s="13">
        <v>10000</v>
      </c>
      <c r="Q176" s="13">
        <f t="shared" si="7"/>
        <v>2839</v>
      </c>
      <c r="R176" s="13">
        <v>0</v>
      </c>
      <c r="S176" s="11" t="s">
        <v>969</v>
      </c>
      <c r="T176" s="27">
        <v>46253</v>
      </c>
      <c r="U176" s="11" t="s">
        <v>970</v>
      </c>
      <c r="V176" s="17"/>
      <c r="W176" s="17"/>
      <c r="X176" s="17"/>
      <c r="Y176" s="17"/>
      <c r="Z176" s="11" t="s">
        <v>847</v>
      </c>
      <c r="AA176" s="24"/>
    </row>
    <row r="177" spans="1:27" s="21" customFormat="1" ht="15" customHeight="1" x14ac:dyDescent="0.25">
      <c r="A177" s="9" t="s">
        <v>21</v>
      </c>
      <c r="B177" s="18" t="s">
        <v>946</v>
      </c>
      <c r="C177" s="18" t="s">
        <v>947</v>
      </c>
      <c r="D177" s="11" t="s">
        <v>948</v>
      </c>
      <c r="E177" s="11" t="s">
        <v>41</v>
      </c>
      <c r="F177" s="11" t="s">
        <v>99</v>
      </c>
      <c r="G177" s="11" t="s">
        <v>100</v>
      </c>
      <c r="H177" s="11" t="s">
        <v>949</v>
      </c>
      <c r="I177" s="17" t="s">
        <v>945</v>
      </c>
      <c r="J177" s="17" t="s">
        <v>59</v>
      </c>
      <c r="K177" s="17" t="s">
        <v>59</v>
      </c>
      <c r="L177" s="17"/>
      <c r="M177" s="13">
        <v>8253</v>
      </c>
      <c r="N177" s="35">
        <v>10000</v>
      </c>
      <c r="O177" s="13">
        <f t="shared" si="6"/>
        <v>1747</v>
      </c>
      <c r="P177" s="13">
        <v>10000</v>
      </c>
      <c r="Q177" s="13">
        <f t="shared" si="7"/>
        <v>1747</v>
      </c>
      <c r="R177" s="13">
        <v>0</v>
      </c>
      <c r="S177" s="11" t="s">
        <v>969</v>
      </c>
      <c r="T177" s="17" t="s">
        <v>950</v>
      </c>
      <c r="U177" s="11" t="s">
        <v>970</v>
      </c>
      <c r="V177" s="17"/>
      <c r="W177" s="17"/>
      <c r="X177" s="17"/>
      <c r="Y177" s="17"/>
      <c r="Z177" s="11" t="s">
        <v>847</v>
      </c>
      <c r="AA177" s="24"/>
    </row>
    <row r="178" spans="1:27" s="21" customFormat="1" ht="15" customHeight="1" x14ac:dyDescent="0.25">
      <c r="A178" s="9" t="s">
        <v>21</v>
      </c>
      <c r="B178" s="18" t="s">
        <v>951</v>
      </c>
      <c r="C178" s="18" t="s">
        <v>952</v>
      </c>
      <c r="D178" s="18" t="s">
        <v>953</v>
      </c>
      <c r="E178" s="11" t="s">
        <v>56</v>
      </c>
      <c r="F178" s="11" t="s">
        <v>954</v>
      </c>
      <c r="G178" s="11" t="s">
        <v>955</v>
      </c>
      <c r="H178" s="17" t="s">
        <v>509</v>
      </c>
      <c r="I178" s="17" t="s">
        <v>957</v>
      </c>
      <c r="J178" s="17" t="s">
        <v>119</v>
      </c>
      <c r="K178" s="17" t="s">
        <v>30</v>
      </c>
      <c r="L178" s="17"/>
      <c r="M178" s="13">
        <v>10150</v>
      </c>
      <c r="N178" s="13">
        <v>10000</v>
      </c>
      <c r="O178" s="13">
        <f t="shared" si="6"/>
        <v>-150</v>
      </c>
      <c r="P178" s="13">
        <v>10000</v>
      </c>
      <c r="Q178" s="13">
        <f t="shared" si="7"/>
        <v>-150</v>
      </c>
      <c r="R178" s="13">
        <v>0</v>
      </c>
      <c r="S178" s="11" t="s">
        <v>969</v>
      </c>
      <c r="T178" s="17" t="s">
        <v>956</v>
      </c>
      <c r="U178" s="11" t="s">
        <v>970</v>
      </c>
      <c r="V178" s="17"/>
      <c r="W178" s="17"/>
      <c r="X178" s="17"/>
      <c r="Y178" s="17"/>
      <c r="Z178" s="11" t="s">
        <v>847</v>
      </c>
      <c r="AA178" s="24"/>
    </row>
    <row r="179" spans="1:27" s="21" customFormat="1" ht="14.25" x14ac:dyDescent="0.25">
      <c r="A179" s="9" t="s">
        <v>21</v>
      </c>
      <c r="B179" s="10" t="s">
        <v>958</v>
      </c>
      <c r="C179" s="10" t="s">
        <v>959</v>
      </c>
      <c r="D179" s="10" t="s">
        <v>960</v>
      </c>
      <c r="E179" s="11" t="s">
        <v>41</v>
      </c>
      <c r="F179" s="32" t="s">
        <v>961</v>
      </c>
      <c r="G179" s="10" t="s">
        <v>962</v>
      </c>
      <c r="H179" s="17" t="s">
        <v>132</v>
      </c>
      <c r="I179" s="17" t="s">
        <v>945</v>
      </c>
      <c r="J179" s="17" t="s">
        <v>119</v>
      </c>
      <c r="K179" s="17" t="s">
        <v>30</v>
      </c>
      <c r="L179" s="17"/>
      <c r="M179" s="13">
        <v>4381</v>
      </c>
      <c r="N179" s="35">
        <v>5381</v>
      </c>
      <c r="O179" s="13">
        <f t="shared" si="6"/>
        <v>1000</v>
      </c>
      <c r="P179" s="13">
        <v>10000</v>
      </c>
      <c r="Q179" s="13">
        <f t="shared" si="7"/>
        <v>5619</v>
      </c>
      <c r="R179" s="13">
        <v>0</v>
      </c>
      <c r="S179" s="11" t="s">
        <v>969</v>
      </c>
      <c r="T179" s="17" t="s">
        <v>963</v>
      </c>
      <c r="U179" s="11" t="s">
        <v>970</v>
      </c>
      <c r="V179" s="17"/>
      <c r="W179" s="17"/>
      <c r="X179" s="17"/>
      <c r="Y179" s="17"/>
      <c r="Z179" s="11" t="s">
        <v>847</v>
      </c>
      <c r="AA179" s="24"/>
    </row>
    <row r="180" spans="1:27" ht="14.25" x14ac:dyDescent="0.25">
      <c r="L180" s="29">
        <f>SUBTOTAL(9,L2:L179)</f>
        <v>0</v>
      </c>
      <c r="M180" s="22">
        <f>SUBTOTAL(9,M2:M179)</f>
        <v>1440770.4100000001</v>
      </c>
      <c r="N180" s="22">
        <f t="shared" ref="N180:O180" si="9">SUBTOTAL(9,N2:N179)</f>
        <v>1664045.4500000002</v>
      </c>
      <c r="O180" s="22">
        <f t="shared" si="9"/>
        <v>223275.04</v>
      </c>
      <c r="P180" s="22"/>
      <c r="Q180" s="22"/>
      <c r="R180" s="30"/>
    </row>
    <row r="181" spans="1:27" ht="14.25" x14ac:dyDescent="0.25">
      <c r="N181" s="36"/>
    </row>
    <row r="182" spans="1:27" ht="14.25" x14ac:dyDescent="0.25">
      <c r="B182" s="10"/>
    </row>
    <row r="183" spans="1:27" ht="14.25" x14ac:dyDescent="0.25"/>
  </sheetData>
  <conditionalFormatting sqref="B172:B173 B175:B1048576">
    <cfRule type="duplicateValues" dxfId="44" priority="34"/>
    <cfRule type="duplicateValues" dxfId="43" priority="4"/>
    <cfRule type="duplicateValues" dxfId="42" priority="40"/>
    <cfRule type="duplicateValues" dxfId="41" priority="35"/>
    <cfRule type="duplicateValues" dxfId="40" priority="36" stopIfTrue="1"/>
    <cfRule type="duplicateValues" dxfId="39" priority="37"/>
    <cfRule type="duplicateValues" dxfId="38" priority="38"/>
    <cfRule type="duplicateValues" dxfId="37" priority="39"/>
    <cfRule type="duplicateValues" dxfId="36" priority="42"/>
    <cfRule type="duplicateValues" dxfId="35" priority="43"/>
    <cfRule type="duplicateValues" dxfId="34" priority="44"/>
    <cfRule type="duplicateValues" dxfId="33" priority="45"/>
  </conditionalFormatting>
  <conditionalFormatting sqref="B172:B173 C80 B175:B1048576">
    <cfRule type="duplicateValues" dxfId="32" priority="41"/>
  </conditionalFormatting>
  <conditionalFormatting sqref="B174">
    <cfRule type="duplicateValues" dxfId="31" priority="1"/>
  </conditionalFormatting>
  <conditionalFormatting sqref="B175:B1048576 B1:B173">
    <cfRule type="duplicateValues" dxfId="30" priority="2"/>
  </conditionalFormatting>
  <conditionalFormatting sqref="C80">
    <cfRule type="duplicateValues" dxfId="29" priority="16"/>
    <cfRule type="duplicateValues" dxfId="28" priority="17"/>
    <cfRule type="duplicateValues" dxfId="27" priority="18"/>
    <cfRule type="duplicateValues" dxfId="26" priority="19"/>
    <cfRule type="duplicateValues" dxfId="25" priority="20"/>
    <cfRule type="duplicateValues" dxfId="24" priority="21"/>
    <cfRule type="duplicateValues" dxfId="23" priority="22"/>
    <cfRule type="duplicateValues" dxfId="22" priority="6"/>
    <cfRule type="duplicateValues" dxfId="21" priority="24"/>
    <cfRule type="duplicateValues" dxfId="20" priority="25"/>
    <cfRule type="duplicateValues" dxfId="19" priority="26"/>
    <cfRule type="duplicateValues" dxfId="18" priority="27" stopIfTrue="1"/>
    <cfRule type="duplicateValues" dxfId="17" priority="28"/>
    <cfRule type="duplicateValues" dxfId="16" priority="29"/>
    <cfRule type="duplicateValues" dxfId="15" priority="30"/>
    <cfRule type="duplicateValues" dxfId="14" priority="31"/>
    <cfRule type="duplicateValues" dxfId="13" priority="32"/>
    <cfRule type="duplicateValues" dxfId="12" priority="33"/>
    <cfRule type="duplicateValues" dxfId="11" priority="5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23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</conditionalFormatting>
  <conditionalFormatting sqref="H15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</dc:creator>
  <cp:lastModifiedBy>Rishabh.S STORYEXP (MIS)</cp:lastModifiedBy>
  <dcterms:created xsi:type="dcterms:W3CDTF">2026-09-16T06:26:08Z</dcterms:created>
  <dcterms:modified xsi:type="dcterms:W3CDTF">2026-10-26T12:27:39Z</dcterms:modified>
</cp:coreProperties>
</file>