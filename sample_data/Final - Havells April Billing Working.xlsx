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yexperiencespvtltd-my.sharepoint.com/personal/rishabh_s_storyexp_com/Documents/Desktop/Havells_Billing/"/>
    </mc:Choice>
  </mc:AlternateContent>
  <xr:revisionPtr revIDLastSave="904" documentId="8_{E426B79D-CCAB-40C7-9E42-7ACE3EF73CA1}" xr6:coauthVersionLast="47" xr6:coauthVersionMax="47" xr10:uidLastSave="{B9068DD4-3EB3-4C46-9E9C-169BFB95C2EB}"/>
  <bookViews>
    <workbookView xWindow="-120" yWindow="-120" windowWidth="29040" windowHeight="15840" xr2:uid="{DB1B4F15-A85D-4C62-9BBC-706125906169}"/>
  </bookViews>
  <sheets>
    <sheet name="APRIL MONTH" sheetId="1" r:id="rId1"/>
  </sheets>
  <externalReferences>
    <externalReference r:id="rId2"/>
    <externalReference r:id="rId3"/>
  </externalReferences>
  <definedNames>
    <definedName name="_xlnm._FilterDatabase" localSheetId="0" hidden="1">'APRIL MONTH'!$A$1:$AC$295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" i="1"/>
  <c r="R296" i="1"/>
  <c r="N296" i="1"/>
  <c r="P285" i="1" l="1"/>
  <c r="P268" i="1"/>
  <c r="P267" i="1"/>
  <c r="P264" i="1"/>
  <c r="P263" i="1"/>
  <c r="P262" i="1"/>
  <c r="P255" i="1"/>
  <c r="P254" i="1"/>
  <c r="P244" i="1"/>
  <c r="P238" i="1"/>
  <c r="P231" i="1"/>
  <c r="P230" i="1"/>
  <c r="P216" i="1"/>
  <c r="P209" i="1"/>
  <c r="P202" i="1"/>
  <c r="P191" i="1"/>
  <c r="P173" i="1"/>
  <c r="P162" i="1"/>
  <c r="P161" i="1"/>
  <c r="P151" i="1"/>
  <c r="P150" i="1"/>
  <c r="P142" i="1"/>
  <c r="P141" i="1"/>
  <c r="P136" i="1"/>
  <c r="P130" i="1"/>
  <c r="P128" i="1"/>
  <c r="P127" i="1"/>
  <c r="P121" i="1"/>
  <c r="P105" i="1"/>
  <c r="P101" i="1"/>
  <c r="P91" i="1"/>
  <c r="P87" i="1"/>
  <c r="P76" i="1"/>
  <c r="P72" i="1"/>
  <c r="P70" i="1"/>
  <c r="P69" i="1"/>
  <c r="P62" i="1"/>
  <c r="P49" i="1"/>
  <c r="P46" i="1"/>
  <c r="P40" i="1"/>
  <c r="P39" i="1"/>
  <c r="P16" i="1"/>
  <c r="P14" i="1"/>
  <c r="P11" i="1"/>
  <c r="P3" i="1"/>
  <c r="P2" i="1"/>
  <c r="Q210" i="1" l="1"/>
  <c r="P194" i="1"/>
  <c r="P145" i="1"/>
  <c r="P143" i="1"/>
  <c r="P214" i="1"/>
  <c r="AB264" i="1" l="1"/>
  <c r="S264" i="1"/>
  <c r="Q264" i="1"/>
  <c r="T109" i="1"/>
  <c r="S109" i="1"/>
  <c r="AB109" i="1"/>
  <c r="T3" i="1"/>
  <c r="T14" i="1"/>
  <c r="T69" i="1"/>
  <c r="T76" i="1"/>
  <c r="T91" i="1"/>
  <c r="T101" i="1"/>
  <c r="T105" i="1"/>
  <c r="T108" i="1"/>
  <c r="T130" i="1"/>
  <c r="T209" i="1"/>
  <c r="T214" i="1"/>
  <c r="T230" i="1"/>
  <c r="T231" i="1"/>
  <c r="T255" i="1"/>
  <c r="T287" i="1"/>
  <c r="T2" i="1"/>
  <c r="T296" i="1" l="1"/>
  <c r="Q10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10" i="1"/>
  <c r="S111" i="1"/>
  <c r="S112" i="1"/>
  <c r="S113" i="1"/>
  <c r="S114" i="1"/>
  <c r="S115" i="1"/>
  <c r="S116" i="1"/>
  <c r="S118" i="1"/>
  <c r="S119" i="1"/>
  <c r="S120" i="1"/>
  <c r="S121" i="1"/>
  <c r="S122" i="1"/>
  <c r="S123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40" i="1"/>
  <c r="S141" i="1"/>
  <c r="S142" i="1"/>
  <c r="S144" i="1"/>
  <c r="S146" i="1"/>
  <c r="S147" i="1"/>
  <c r="S149" i="1"/>
  <c r="S150" i="1"/>
  <c r="S151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3" i="1"/>
  <c r="S234" i="1"/>
  <c r="S235" i="1"/>
  <c r="S236" i="1"/>
  <c r="S238" i="1"/>
  <c r="S240" i="1"/>
  <c r="S242" i="1"/>
  <c r="S243" i="1"/>
  <c r="S244" i="1"/>
  <c r="S245" i="1"/>
  <c r="S246" i="1"/>
  <c r="S247" i="1"/>
  <c r="S248" i="1"/>
  <c r="S252" i="1"/>
  <c r="S253" i="1"/>
  <c r="S254" i="1"/>
  <c r="S255" i="1"/>
  <c r="S257" i="1"/>
  <c r="S258" i="1"/>
  <c r="S259" i="1"/>
  <c r="S260" i="1"/>
  <c r="S261" i="1"/>
  <c r="S262" i="1"/>
  <c r="S263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9" i="1"/>
  <c r="S280" i="1"/>
  <c r="S281" i="1"/>
  <c r="S282" i="1"/>
  <c r="S283" i="1"/>
  <c r="S284" i="1"/>
  <c r="S285" i="1"/>
  <c r="S286" i="1"/>
  <c r="S288" i="1"/>
  <c r="S289" i="1"/>
  <c r="S290" i="1"/>
  <c r="S291" i="1"/>
  <c r="S292" i="1"/>
  <c r="S293" i="1"/>
  <c r="S294" i="1"/>
  <c r="S295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10" i="1"/>
  <c r="Q111" i="1"/>
  <c r="Q112" i="1"/>
  <c r="Q113" i="1"/>
  <c r="Q114" i="1"/>
  <c r="Q115" i="1"/>
  <c r="Q116" i="1"/>
  <c r="Q118" i="1"/>
  <c r="Q119" i="1"/>
  <c r="Q120" i="1"/>
  <c r="Q121" i="1"/>
  <c r="Q122" i="1"/>
  <c r="Q123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40" i="1"/>
  <c r="Q141" i="1"/>
  <c r="Q142" i="1"/>
  <c r="Q144" i="1"/>
  <c r="Q146" i="1"/>
  <c r="Q147" i="1"/>
  <c r="Q149" i="1"/>
  <c r="Q150" i="1"/>
  <c r="Q151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1" i="1"/>
  <c r="Q212" i="1"/>
  <c r="Q213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3" i="1"/>
  <c r="Q234" i="1"/>
  <c r="Q235" i="1"/>
  <c r="Q236" i="1"/>
  <c r="Q238" i="1"/>
  <c r="Q240" i="1"/>
  <c r="Q242" i="1"/>
  <c r="Q243" i="1"/>
  <c r="Q244" i="1"/>
  <c r="Q245" i="1"/>
  <c r="Q246" i="1"/>
  <c r="Q247" i="1"/>
  <c r="Q248" i="1"/>
  <c r="Q252" i="1"/>
  <c r="Q253" i="1"/>
  <c r="Q254" i="1"/>
  <c r="Q255" i="1"/>
  <c r="Q257" i="1"/>
  <c r="Q258" i="1"/>
  <c r="Q259" i="1"/>
  <c r="Q260" i="1"/>
  <c r="Q261" i="1"/>
  <c r="Q262" i="1"/>
  <c r="Q263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9" i="1"/>
  <c r="Q280" i="1"/>
  <c r="Q281" i="1"/>
  <c r="Q282" i="1"/>
  <c r="Q283" i="1"/>
  <c r="Q284" i="1"/>
  <c r="Q285" i="1"/>
  <c r="Q286" i="1"/>
  <c r="Q288" i="1"/>
  <c r="Q289" i="1"/>
  <c r="Q290" i="1"/>
  <c r="Q291" i="1"/>
  <c r="Q292" i="1"/>
  <c r="Q293" i="1"/>
  <c r="Q294" i="1"/>
  <c r="Q295" i="1"/>
  <c r="Q2" i="1"/>
  <c r="AB295" i="1" l="1"/>
  <c r="AB294" i="1"/>
  <c r="AB293" i="1"/>
  <c r="AB292" i="1"/>
  <c r="AB291" i="1"/>
  <c r="AB290" i="1"/>
  <c r="AB289" i="1"/>
  <c r="AB288" i="1"/>
  <c r="AB286" i="1"/>
  <c r="AB285" i="1"/>
  <c r="AB284" i="1"/>
  <c r="AB283" i="1"/>
  <c r="AB282" i="1"/>
  <c r="AB281" i="1"/>
  <c r="AB280" i="1"/>
  <c r="AB279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3" i="1"/>
  <c r="AB262" i="1"/>
  <c r="AB261" i="1"/>
  <c r="AB260" i="1"/>
  <c r="AB259" i="1"/>
  <c r="AB258" i="1"/>
  <c r="AB257" i="1"/>
  <c r="AB255" i="1"/>
  <c r="AB254" i="1"/>
  <c r="AB253" i="1"/>
  <c r="AB252" i="1"/>
  <c r="AB248" i="1"/>
  <c r="AB247" i="1"/>
  <c r="AB246" i="1"/>
  <c r="AB245" i="1"/>
  <c r="AB244" i="1"/>
  <c r="AB243" i="1"/>
  <c r="AB242" i="1"/>
  <c r="AB240" i="1"/>
  <c r="AB238" i="1"/>
  <c r="AB236" i="1"/>
  <c r="AB235" i="1"/>
  <c r="AB234" i="1"/>
  <c r="AB233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1" i="1"/>
  <c r="AB150" i="1"/>
  <c r="AB149" i="1"/>
  <c r="AB147" i="1"/>
  <c r="AB146" i="1"/>
  <c r="AB144" i="1"/>
  <c r="AB142" i="1"/>
  <c r="AB141" i="1"/>
  <c r="AB140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3" i="1"/>
  <c r="AB122" i="1"/>
  <c r="AB121" i="1"/>
  <c r="AB120" i="1"/>
  <c r="AB119" i="1"/>
  <c r="AB118" i="1"/>
  <c r="AB116" i="1"/>
  <c r="AB115" i="1"/>
  <c r="AB114" i="1"/>
  <c r="AB113" i="1"/>
  <c r="AB112" i="1"/>
  <c r="AB111" i="1"/>
  <c r="AB110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O287" i="1" l="1"/>
  <c r="P287" i="1" s="1"/>
  <c r="P296" i="1" s="1"/>
  <c r="O251" i="1"/>
  <c r="O249" i="1"/>
  <c r="O237" i="1"/>
  <c r="O232" i="1"/>
  <c r="O214" i="1"/>
  <c r="O148" i="1"/>
  <c r="O145" i="1"/>
  <c r="O139" i="1"/>
  <c r="AB2" i="1"/>
  <c r="O117" i="1"/>
  <c r="O124" i="1"/>
  <c r="O143" i="1"/>
  <c r="O152" i="1"/>
  <c r="O153" i="1"/>
  <c r="O154" i="1"/>
  <c r="O177" i="1"/>
  <c r="O178" i="1"/>
  <c r="O194" i="1"/>
  <c r="O239" i="1"/>
  <c r="O241" i="1"/>
  <c r="O250" i="1"/>
  <c r="O256" i="1"/>
  <c r="O278" i="1"/>
  <c r="O296" i="1" l="1"/>
  <c r="S145" i="1"/>
  <c r="Q145" i="1"/>
  <c r="S153" i="1"/>
  <c r="Q153" i="1"/>
  <c r="S214" i="1"/>
  <c r="Q214" i="1"/>
  <c r="S143" i="1"/>
  <c r="Q143" i="1"/>
  <c r="S239" i="1"/>
  <c r="Q239" i="1"/>
  <c r="Q124" i="1"/>
  <c r="S124" i="1"/>
  <c r="Q237" i="1"/>
  <c r="S237" i="1"/>
  <c r="Q194" i="1"/>
  <c r="S194" i="1"/>
  <c r="Q117" i="1"/>
  <c r="S117" i="1"/>
  <c r="S249" i="1"/>
  <c r="Q249" i="1"/>
  <c r="Q278" i="1"/>
  <c r="S278" i="1"/>
  <c r="Q154" i="1"/>
  <c r="S154" i="1"/>
  <c r="S256" i="1"/>
  <c r="Q256" i="1"/>
  <c r="Q148" i="1"/>
  <c r="S148" i="1"/>
  <c r="Q250" i="1"/>
  <c r="S250" i="1"/>
  <c r="S152" i="1"/>
  <c r="Q152" i="1"/>
  <c r="S241" i="1"/>
  <c r="Q241" i="1"/>
  <c r="S232" i="1"/>
  <c r="Q232" i="1"/>
  <c r="Q178" i="1"/>
  <c r="S178" i="1"/>
  <c r="Q251" i="1"/>
  <c r="S251" i="1"/>
  <c r="S177" i="1"/>
  <c r="Q177" i="1"/>
  <c r="Q139" i="1"/>
  <c r="S139" i="1"/>
  <c r="S287" i="1"/>
  <c r="Q287" i="1"/>
  <c r="AB250" i="1"/>
  <c r="AB152" i="1"/>
  <c r="AB145" i="1"/>
  <c r="AB241" i="1"/>
  <c r="AB143" i="1"/>
  <c r="AB148" i="1"/>
  <c r="AB239" i="1"/>
  <c r="AB124" i="1"/>
  <c r="AB214" i="1"/>
  <c r="AB194" i="1"/>
  <c r="AB232" i="1"/>
  <c r="AB178" i="1"/>
  <c r="AB177" i="1"/>
  <c r="AB117" i="1"/>
  <c r="AB237" i="1"/>
  <c r="AB249" i="1"/>
  <c r="AB278" i="1"/>
  <c r="AB154" i="1"/>
  <c r="AB108" i="1"/>
  <c r="AB251" i="1"/>
  <c r="AB256" i="1"/>
  <c r="AB153" i="1"/>
  <c r="AB139" i="1"/>
  <c r="AB287" i="1"/>
  <c r="S296" i="1" l="1"/>
  <c r="Q296" i="1"/>
</calcChain>
</file>

<file path=xl/sharedStrings.xml><?xml version="1.0" encoding="utf-8"?>
<sst xmlns="http://schemas.openxmlformats.org/spreadsheetml/2006/main" count="3837" uniqueCount="1483">
  <si>
    <t>Bharti</t>
  </si>
  <si>
    <t>Parsun</t>
  </si>
  <si>
    <t>2 Adults</t>
  </si>
  <si>
    <t>Dhule</t>
  </si>
  <si>
    <t>Dine-Out</t>
  </si>
  <si>
    <t>Sambandh - 10k</t>
  </si>
  <si>
    <t>UPI</t>
  </si>
  <si>
    <t>SEPL</t>
  </si>
  <si>
    <t>Simran</t>
  </si>
  <si>
    <t>Buffet</t>
  </si>
  <si>
    <t>2 pax</t>
  </si>
  <si>
    <t>Parmeet</t>
  </si>
  <si>
    <t>PUNE</t>
  </si>
  <si>
    <t>Photoshoot</t>
  </si>
  <si>
    <t xml:space="preserve">Outdoor Photoshoot </t>
  </si>
  <si>
    <t xml:space="preserve">Kamrup Metropolitan </t>
  </si>
  <si>
    <t>Naveen Kumar Sethia</t>
  </si>
  <si>
    <t>Jyoti Electricals</t>
  </si>
  <si>
    <t>CJY0055</t>
  </si>
  <si>
    <t>PC - 22K</t>
  </si>
  <si>
    <t>Himanshu</t>
  </si>
  <si>
    <t>Spa</t>
  </si>
  <si>
    <t>1 pax</t>
  </si>
  <si>
    <t xml:space="preserve">Tattva Spa </t>
  </si>
  <si>
    <t>Lucknow</t>
  </si>
  <si>
    <t>Mahesh Agarwal</t>
  </si>
  <si>
    <t>Shakti Electric C</t>
  </si>
  <si>
    <t>CSH0136</t>
  </si>
  <si>
    <t>Ravinder</t>
  </si>
  <si>
    <t>2 adults</t>
  </si>
  <si>
    <t>Double Tree By Hilton, Arpora</t>
  </si>
  <si>
    <t>Goa</t>
  </si>
  <si>
    <t>Sangaram Dewasi</t>
  </si>
  <si>
    <t>New Anand Electrical</t>
  </si>
  <si>
    <t>CNE1141</t>
  </si>
  <si>
    <t>Aayushi</t>
  </si>
  <si>
    <t>2 Pax</t>
  </si>
  <si>
    <t>Radisson Blu Noida, sector-18</t>
  </si>
  <si>
    <t>Noida</t>
  </si>
  <si>
    <t>Pramod Pathak</t>
  </si>
  <si>
    <t>A to z POWER SOLUTIONS</t>
  </si>
  <si>
    <t>CAT0063</t>
  </si>
  <si>
    <t>2 Adults(Couple)</t>
  </si>
  <si>
    <t>Bengaluru</t>
  </si>
  <si>
    <t>Basrur Sandeep</t>
  </si>
  <si>
    <t>Elkart Private Limited</t>
  </si>
  <si>
    <t>CEL0635</t>
  </si>
  <si>
    <t>10 adults</t>
  </si>
  <si>
    <t>Radisson Dwarka</t>
  </si>
  <si>
    <t>Delhi</t>
  </si>
  <si>
    <t>Vijendar Mittal</t>
  </si>
  <si>
    <t>Jagdamba Electricals</t>
  </si>
  <si>
    <t>CJA0611</t>
  </si>
  <si>
    <t xml:space="preserve">6 Adults +2 Kids </t>
  </si>
  <si>
    <t>JW Marriott Hotel Kolkata</t>
  </si>
  <si>
    <t xml:space="preserve">KOLKATA </t>
  </si>
  <si>
    <t>Raj Kumar</t>
  </si>
  <si>
    <t>Raj Traders</t>
  </si>
  <si>
    <t>CRA0639</t>
  </si>
  <si>
    <t>Zomato</t>
  </si>
  <si>
    <t xml:space="preserve">3 Adults </t>
  </si>
  <si>
    <t>Trident ,Nariman point ,Mumbai</t>
  </si>
  <si>
    <t>Mumbai</t>
  </si>
  <si>
    <t>Krishna Kant Tiwari</t>
  </si>
  <si>
    <t>Amit Trading Company</t>
  </si>
  <si>
    <t>CAM0613</t>
  </si>
  <si>
    <t xml:space="preserve">2 pax </t>
  </si>
  <si>
    <t>Hyatt Regency Dehradun Resort and Spa</t>
  </si>
  <si>
    <t xml:space="preserve">DEHRADUN </t>
  </si>
  <si>
    <t>Sandhya Goyal</t>
  </si>
  <si>
    <t>Saar Agencies</t>
  </si>
  <si>
    <t>CSA1348</t>
  </si>
  <si>
    <t xml:space="preserve">Taj Cidade De Goa Heritage, Goa
</t>
  </si>
  <si>
    <t>Saiba Shaikh</t>
  </si>
  <si>
    <t>Vibgyor</t>
  </si>
  <si>
    <t>CVI1258</t>
  </si>
  <si>
    <t>2 adults + 1 kid ( 9 yrs)</t>
  </si>
  <si>
    <t>JW Marriott</t>
  </si>
  <si>
    <t>Chandigarh</t>
  </si>
  <si>
    <t>Rakesh Khurana</t>
  </si>
  <si>
    <t>Khurana Agencies</t>
  </si>
  <si>
    <t>CKH0236</t>
  </si>
  <si>
    <t>Salon</t>
  </si>
  <si>
    <t xml:space="preserve">2 Pax </t>
  </si>
  <si>
    <t>Green Trends Unisex Hair &amp; Style Salon</t>
  </si>
  <si>
    <t xml:space="preserve">Bhadrak </t>
  </si>
  <si>
    <t>Durga Charan</t>
  </si>
  <si>
    <t>Samal_Maa Tabhamani Trading</t>
  </si>
  <si>
    <t>CMA2597</t>
  </si>
  <si>
    <t>1 Pax</t>
  </si>
  <si>
    <t>FTV Salon Hubli</t>
  </si>
  <si>
    <t>Hubali</t>
  </si>
  <si>
    <t>Rekha</t>
  </si>
  <si>
    <t>Prakash Cable House</t>
  </si>
  <si>
    <t>CPR0811</t>
  </si>
  <si>
    <t xml:space="preserve">Jhansi </t>
  </si>
  <si>
    <t>Abhinav Gupta</t>
  </si>
  <si>
    <t xml:space="preserve">Quality Agency </t>
  </si>
  <si>
    <t>CQU0026</t>
  </si>
  <si>
    <t>2 adults + 1 kid (10 yrs)</t>
  </si>
  <si>
    <t>Blueberrys Restaurant &amp; Banquet - opp amba Ashram, Nadiad 387001</t>
  </si>
  <si>
    <t>Nadiad</t>
  </si>
  <si>
    <t>Jaymin Daswani</t>
  </si>
  <si>
    <t>Har Krishan Lighting</t>
  </si>
  <si>
    <t>CHA8132</t>
  </si>
  <si>
    <t>The Regent Palm</t>
  </si>
  <si>
    <t>Mandi</t>
  </si>
  <si>
    <t>Jitender Pal Gupta</t>
  </si>
  <si>
    <t>J K Electricals</t>
  </si>
  <si>
    <t>CJK0045</t>
  </si>
  <si>
    <t>4 adults</t>
  </si>
  <si>
    <t>Saffron Hotel Restaurant</t>
  </si>
  <si>
    <t>Kurukshetra</t>
  </si>
  <si>
    <t xml:space="preserve"> Mukesh Gulati</t>
  </si>
  <si>
    <t>Gulati Trading Co</t>
  </si>
  <si>
    <t>CGU2366</t>
  </si>
  <si>
    <t>6 pAX</t>
  </si>
  <si>
    <t>CHAASHNI - VEG RESTAURANT</t>
  </si>
  <si>
    <t>KANNAMANGALA</t>
  </si>
  <si>
    <t xml:space="preserve"> Khubso</t>
  </si>
  <si>
    <t>Krishna Electrical</t>
  </si>
  <si>
    <t>CKR0152</t>
  </si>
  <si>
    <t>2 pax - Couple</t>
  </si>
  <si>
    <t>GURUGRAM</t>
  </si>
  <si>
    <t>Ritvik Arora</t>
  </si>
  <si>
    <t>Kirti Marketing</t>
  </si>
  <si>
    <t>CKI0109</t>
  </si>
  <si>
    <t>Ramada Encore by Wyndham Ambala GT Road</t>
  </si>
  <si>
    <t>Ambala</t>
  </si>
  <si>
    <t>Sandeep Kaur</t>
  </si>
  <si>
    <t>D. S. Enterprises</t>
  </si>
  <si>
    <t>CDS0015</t>
  </si>
  <si>
    <t>3 Adults</t>
  </si>
  <si>
    <t>Taj Dal View</t>
  </si>
  <si>
    <t>Srinagar</t>
  </si>
  <si>
    <t>Hilal Ahmed Shah</t>
  </si>
  <si>
    <t>Imperial Shah Store</t>
  </si>
  <si>
    <t>CIM0007</t>
  </si>
  <si>
    <t>11Pax</t>
  </si>
  <si>
    <t>Mayfair Tea Resort Siliguri</t>
  </si>
  <si>
    <t>SILIGURI</t>
  </si>
  <si>
    <t>Tanmay Khemka</t>
  </si>
  <si>
    <t>New Light House</t>
  </si>
  <si>
    <t>CNE0804</t>
  </si>
  <si>
    <t>Tattva spa- Trivandrum</t>
  </si>
  <si>
    <t>Trivandrum</t>
  </si>
  <si>
    <t>Vyshak</t>
  </si>
  <si>
    <t>U K Agencies and Electricals</t>
  </si>
  <si>
    <t>CUK0001</t>
  </si>
  <si>
    <t>Bodhi Prana at GRT Regency - Madurai</t>
  </si>
  <si>
    <t>Madurai</t>
  </si>
  <si>
    <t>P. RamaMoorthy</t>
  </si>
  <si>
    <t>Rsd Power Lines</t>
  </si>
  <si>
    <t>CRS0021</t>
  </si>
  <si>
    <t>2 PAX (Couple)</t>
  </si>
  <si>
    <t>Tattva Spa, Crowne Plaza</t>
  </si>
  <si>
    <t>Rajat Agarwal</t>
  </si>
  <si>
    <t>Cbl Enterprises</t>
  </si>
  <si>
    <t>CCB0012</t>
  </si>
  <si>
    <t>2 Pax(Couple) &amp; 1 Kid(9 year)</t>
  </si>
  <si>
    <t xml:space="preserve">Hotel Sayaji </t>
  </si>
  <si>
    <t>Indore</t>
  </si>
  <si>
    <t>Mr Girish Hirani</t>
  </si>
  <si>
    <t>Siddhi Vinayak Distributors</t>
  </si>
  <si>
    <t>CSI2274</t>
  </si>
  <si>
    <t>Looks Salon Khan Market</t>
  </si>
  <si>
    <t>Rajesh Mahajan</t>
  </si>
  <si>
    <t>SKYCELL DISTRIBUTION PRIVATE LIMITE</t>
  </si>
  <si>
    <t>CSK0501</t>
  </si>
  <si>
    <t>4 Pax</t>
  </si>
  <si>
    <t>U.P</t>
  </si>
  <si>
    <t>Vipin Kumar Yadav</t>
  </si>
  <si>
    <t>Vinay Electricals</t>
  </si>
  <si>
    <t>CVI0545</t>
  </si>
  <si>
    <t>6 PAX</t>
  </si>
  <si>
    <t>Naveen- The Water Edge</t>
  </si>
  <si>
    <t>Praveen Patil</t>
  </si>
  <si>
    <t>Renuka Sales Corporation</t>
  </si>
  <si>
    <t>CRE2391</t>
  </si>
  <si>
    <t>8 PAX</t>
  </si>
  <si>
    <t>Falak- The Revolving Restaurant, K.C Residency</t>
  </si>
  <si>
    <t>Jammu</t>
  </si>
  <si>
    <t>Vikrant Mahajan</t>
  </si>
  <si>
    <t>Mahajan Cement Store</t>
  </si>
  <si>
    <t>CMA0933</t>
  </si>
  <si>
    <t>4 PAX</t>
  </si>
  <si>
    <t>Mayfair Purnia</t>
  </si>
  <si>
    <t>Purnea(Bihar)</t>
  </si>
  <si>
    <t>Pravin Kumar Singh</t>
  </si>
  <si>
    <t>Shree Ganesh Electric</t>
  </si>
  <si>
    <t>CSH2035</t>
  </si>
  <si>
    <t>Novotel Mumbai International Airport ( Tattva Spa)</t>
  </si>
  <si>
    <t>Vijay Kanaiyalal Shah</t>
  </si>
  <si>
    <t>D K Enterprises</t>
  </si>
  <si>
    <t>CDK0001</t>
  </si>
  <si>
    <t>4 adults + 3 Kids (5 and 7 , 8years)</t>
  </si>
  <si>
    <t>The Lalit Delhi</t>
  </si>
  <si>
    <t>Gaurav Jain</t>
  </si>
  <si>
    <t>GAURAV TRADERS</t>
  </si>
  <si>
    <t>CGA0342</t>
  </si>
  <si>
    <t>2 adults + 2 Kids (5 and 7 years)</t>
  </si>
  <si>
    <t>Nitish Gupta</t>
  </si>
  <si>
    <t>ABHA ENTERPRISES</t>
  </si>
  <si>
    <t>CAB0139</t>
  </si>
  <si>
    <t>5 Pax</t>
  </si>
  <si>
    <t>Craft Haus Terrace Taproom</t>
  </si>
  <si>
    <t>Chitradurga</t>
  </si>
  <si>
    <t>Tejas</t>
  </si>
  <si>
    <t>Jyothi Enterprises</t>
  </si>
  <si>
    <t>CJY0092</t>
  </si>
  <si>
    <t>Hyatt Regency, Chandigarh</t>
  </si>
  <si>
    <t>MANSA-PB</t>
  </si>
  <si>
    <t>Surinder Pal</t>
  </si>
  <si>
    <t>Surindera Motor &amp; Mill Store</t>
  </si>
  <si>
    <t>CSU1244</t>
  </si>
  <si>
    <t>Ala-carte</t>
  </si>
  <si>
    <t>2 Pax (Couple) &amp; 2 Kids (2 Years &amp; 14 Year)</t>
  </si>
  <si>
    <t xml:space="preserve">Welcomehotels by ITC </t>
  </si>
  <si>
    <t>Gaya</t>
  </si>
  <si>
    <t>Vivek Bhadani</t>
  </si>
  <si>
    <t>Brite Enterprises</t>
  </si>
  <si>
    <t>CBR0075</t>
  </si>
  <si>
    <t>4 Adults</t>
  </si>
  <si>
    <t>Timber Trail Resort</t>
  </si>
  <si>
    <t>Parwanoo</t>
  </si>
  <si>
    <t>Anupma Garg</t>
  </si>
  <si>
    <t>Amrit Electricals</t>
  </si>
  <si>
    <t>CAM0467</t>
  </si>
  <si>
    <t>2 Adults + 2 Kids (2 and 9 yrs)</t>
  </si>
  <si>
    <t>Hyatt Regency, Thrissur</t>
  </si>
  <si>
    <t>Thrissur</t>
  </si>
  <si>
    <t xml:space="preserve">SOMARAJ </t>
  </si>
  <si>
    <t>Falcon Agencies</t>
  </si>
  <si>
    <t>CFA0108</t>
  </si>
  <si>
    <t>4 Adults + 1 Kid (2 yrs)</t>
  </si>
  <si>
    <t>Radisson Blu MBD Hotel, Noida</t>
  </si>
  <si>
    <t>Bhuvan Gosain</t>
  </si>
  <si>
    <t>Elmec</t>
  </si>
  <si>
    <t>CEL0179</t>
  </si>
  <si>
    <t>The Look's Unisex Salon</t>
  </si>
  <si>
    <t>Odisha</t>
  </si>
  <si>
    <t>Ankit  Nanda</t>
  </si>
  <si>
    <t>Gitanjali Traders</t>
  </si>
  <si>
    <t>CGI0041</t>
  </si>
  <si>
    <t xml:space="preserve">Lakme Salon </t>
  </si>
  <si>
    <t>jharkhand</t>
  </si>
  <si>
    <t>om Prakash</t>
  </si>
  <si>
    <t>Jharkhand Electrical</t>
  </si>
  <si>
    <t>CJH0029</t>
  </si>
  <si>
    <t xml:space="preserve">Leena Vijay Chaudhari </t>
  </si>
  <si>
    <t>Ultron Power Systems</t>
  </si>
  <si>
    <t>CUL0027</t>
  </si>
  <si>
    <t>KARIMNAGAR</t>
  </si>
  <si>
    <t>TELANGANA</t>
  </si>
  <si>
    <t>Komuravelli Aparna</t>
  </si>
  <si>
    <t>Manikanta Electricals</t>
  </si>
  <si>
    <t>CMA2799</t>
  </si>
  <si>
    <t>Jaunpur</t>
  </si>
  <si>
    <t>UP</t>
  </si>
  <si>
    <t>Rupesh Keshodhan</t>
  </si>
  <si>
    <t>Bishwanath Electricals</t>
  </si>
  <si>
    <t>CBI0014</t>
  </si>
  <si>
    <t>Norbu The Montanna, Dharamshala- IHCL SeleQtions</t>
  </si>
  <si>
    <t>KANGRA</t>
  </si>
  <si>
    <t>Piyush Thakur</t>
  </si>
  <si>
    <t>Thakur Electricals</t>
  </si>
  <si>
    <t>CTH0463</t>
  </si>
  <si>
    <t>JW Mariott</t>
  </si>
  <si>
    <t>Sumit Gupta</t>
  </si>
  <si>
    <t>Surya Electric stores</t>
  </si>
  <si>
    <t>CSU0140</t>
  </si>
  <si>
    <t>Jalpaan_jayanagar</t>
  </si>
  <si>
    <t>Jain Neermal</t>
  </si>
  <si>
    <t>Bharat Radio and Electric Co</t>
  </si>
  <si>
    <t>CBH0171</t>
  </si>
  <si>
    <t xml:space="preserve">ITC Grand Chola </t>
  </si>
  <si>
    <t>CHENNAI</t>
  </si>
  <si>
    <t>Anbuganapathi. S</t>
  </si>
  <si>
    <t>Kumaran Lighting Co</t>
  </si>
  <si>
    <t>CKU0097</t>
  </si>
  <si>
    <t>3 adults + 1 kid (3 yrs)</t>
  </si>
  <si>
    <t>Ahmedabad</t>
  </si>
  <si>
    <t>Nirvan Dudhat</t>
  </si>
  <si>
    <t>Matrix Green Enterprise Private Lim</t>
  </si>
  <si>
    <t>CMA3113</t>
  </si>
  <si>
    <t>Agra</t>
  </si>
  <si>
    <t>RAKESH AGGARWAL</t>
  </si>
  <si>
    <t>Rakesh Marketing Pvt. Ltd.</t>
  </si>
  <si>
    <t>CRA1336</t>
  </si>
  <si>
    <t>GOTA</t>
  </si>
  <si>
    <t>Yahavi Soni</t>
  </si>
  <si>
    <t>Ar Associates</t>
  </si>
  <si>
    <t>CAR0715</t>
  </si>
  <si>
    <t>Salem</t>
  </si>
  <si>
    <t>Chithra S.</t>
  </si>
  <si>
    <t>Ram Motors</t>
  </si>
  <si>
    <t>CRA1330</t>
  </si>
  <si>
    <t>2 pax (F+F)</t>
  </si>
  <si>
    <t>Looks Salon Swaroop Nagar</t>
  </si>
  <si>
    <t>Kanpur</t>
  </si>
  <si>
    <t>Anil Kumar Kukreja</t>
  </si>
  <si>
    <t>Kukreja Electricals</t>
  </si>
  <si>
    <t>CKU0113</t>
  </si>
  <si>
    <t>3 Pax</t>
  </si>
  <si>
    <t>Babita Rawat</t>
  </si>
  <si>
    <t>M/s RAWAT ENTERPRISES</t>
  </si>
  <si>
    <t>CRA2275</t>
  </si>
  <si>
    <t xml:space="preserve">Parsun </t>
  </si>
  <si>
    <t>Dawaat Multicuisine Restaurant</t>
  </si>
  <si>
    <t xml:space="preserve">Balasore  </t>
  </si>
  <si>
    <t>Gopinath  Dash</t>
  </si>
  <si>
    <t>Raghunath Enterprises</t>
  </si>
  <si>
    <t>CRA0855</t>
  </si>
  <si>
    <t>4 Adults +1 Kid (10 yrs)</t>
  </si>
  <si>
    <t>Dehradun</t>
  </si>
  <si>
    <t>Gagan Sehgal</t>
  </si>
  <si>
    <t>M/S SHRI BADRINATH DISTRIBUTOR</t>
  </si>
  <si>
    <t>CSH4343</t>
  </si>
  <si>
    <t>2Adults + 2 Kids</t>
  </si>
  <si>
    <t>The Lalit Grand Palace, Srinagar</t>
  </si>
  <si>
    <t>Gowhar Reshi</t>
  </si>
  <si>
    <t>Rational Business Corporation</t>
  </si>
  <si>
    <t>CRA2299</t>
  </si>
  <si>
    <t>Uttar Dinajpur</t>
  </si>
  <si>
    <t>Pratik Poddar</t>
  </si>
  <si>
    <t>A B C Enterprise.</t>
  </si>
  <si>
    <t>CAB0042</t>
  </si>
  <si>
    <t>2 Adults (F+F)</t>
  </si>
  <si>
    <t xml:space="preserve">Ranchi </t>
  </si>
  <si>
    <t>Roaunak Poddar</t>
  </si>
  <si>
    <t>Roaunak Agency</t>
  </si>
  <si>
    <t>CRO0286</t>
  </si>
  <si>
    <t>Gym</t>
  </si>
  <si>
    <t>Anytime Fitness</t>
  </si>
  <si>
    <t>Jaipur</t>
  </si>
  <si>
    <t xml:space="preserve"> Yash Gupta 9414841971</t>
  </si>
  <si>
    <t>Shree Nath And Company</t>
  </si>
  <si>
    <t>CSH1570</t>
  </si>
  <si>
    <t>Looks Salon</t>
  </si>
  <si>
    <t>Anil Gupta</t>
  </si>
  <si>
    <t>Tirupati Enterprises</t>
  </si>
  <si>
    <t>CTI0066</t>
  </si>
  <si>
    <t>Bhubaneswar</t>
  </si>
  <si>
    <t>Bhawesh  Upadhyay</t>
  </si>
  <si>
    <t>Narmada Trading Corporation</t>
  </si>
  <si>
    <t>CNA0104</t>
  </si>
  <si>
    <t>2 PAX (couple)</t>
  </si>
  <si>
    <t>Rajasthan(Jaipur)</t>
  </si>
  <si>
    <t>Saurabh Khandelwal</t>
  </si>
  <si>
    <t>SURESH ELECTRIC BOARD WORKS LTD</t>
  </si>
  <si>
    <t>CSU1004</t>
  </si>
  <si>
    <t>MAYFAIR Lake Resort, Atal Nagar, Raipur</t>
  </si>
  <si>
    <t>Raipur</t>
  </si>
  <si>
    <t>Yashwant Agrawal</t>
  </si>
  <si>
    <t>Ankit Marketing</t>
  </si>
  <si>
    <t>CAN0555</t>
  </si>
  <si>
    <t>3 Adults + 1 kid</t>
  </si>
  <si>
    <t xml:space="preserve">Jalgaon </t>
  </si>
  <si>
    <t>Pramod Kapure</t>
  </si>
  <si>
    <t xml:space="preserve">Kirit Engineering </t>
  </si>
  <si>
    <t>CKI0187</t>
  </si>
  <si>
    <t>Welcomhotel by ITC Hotels, Cathedral Road, Chennai</t>
  </si>
  <si>
    <t>Narendra C</t>
  </si>
  <si>
    <t>BALAJI AGENCY</t>
  </si>
  <si>
    <t>CBA2316</t>
  </si>
  <si>
    <t>3 Adults + 1 Kid (5 yrs)</t>
  </si>
  <si>
    <t xml:space="preserve">Kamdhenu Restaurant, Ghumarwin </t>
  </si>
  <si>
    <t>GHUMARWI</t>
  </si>
  <si>
    <t>Pankaj Kumar</t>
  </si>
  <si>
    <t>VANSHIKA TRADERS</t>
  </si>
  <si>
    <t>CVA2413</t>
  </si>
  <si>
    <t>7 PAX</t>
  </si>
  <si>
    <t>HOTEL ANNAPURNESHWARI FAMILY RESTAURANT</t>
  </si>
  <si>
    <t>Mudhol</t>
  </si>
  <si>
    <t>Kalpana M. Koti</t>
  </si>
  <si>
    <t>Shri Hanuman Electricals</t>
  </si>
  <si>
    <t>CSR0183</t>
  </si>
  <si>
    <t>3 people</t>
  </si>
  <si>
    <t>Amit Guglani</t>
  </si>
  <si>
    <t>FRIENDS ELECTRICALS</t>
  </si>
  <si>
    <t>CFR0037</t>
  </si>
  <si>
    <t>9 Adults</t>
  </si>
  <si>
    <t xml:space="preserve">Hotel Maitri Residency </t>
  </si>
  <si>
    <t>KARIMNAGAR (TELANGANA)</t>
  </si>
  <si>
    <t>P Srinivas</t>
  </si>
  <si>
    <t>Hanuman Electrical Agency</t>
  </si>
  <si>
    <t>CHA0992</t>
  </si>
  <si>
    <t>Patna</t>
  </si>
  <si>
    <t>Baleswar Singh</t>
  </si>
  <si>
    <t>Kamlesh Electricals Store</t>
  </si>
  <si>
    <t>CKA0176</t>
  </si>
  <si>
    <t>3 adults + 3 kids</t>
  </si>
  <si>
    <t>Hotel Hertiage</t>
  </si>
  <si>
    <t>Jamnipali Korba</t>
  </si>
  <si>
    <t>Dinesh  Agrawal</t>
  </si>
  <si>
    <t>Ganpati Traders</t>
  </si>
  <si>
    <t>CGA0506</t>
  </si>
  <si>
    <t>3 adults</t>
  </si>
  <si>
    <t>Gaurav Aggarwal</t>
  </si>
  <si>
    <t>Kumar Electric Corporation</t>
  </si>
  <si>
    <t>CKU0002</t>
  </si>
  <si>
    <t>2 pax (M+M)</t>
  </si>
  <si>
    <t>Tattva Wellness Spa</t>
  </si>
  <si>
    <t>AVINASH B</t>
  </si>
  <si>
    <t>Vikas Electric Agencies Pvt Ltd</t>
  </si>
  <si>
    <t>CVI1274</t>
  </si>
  <si>
    <t>Sanjay</t>
  </si>
  <si>
    <t>DCA Marketing</t>
  </si>
  <si>
    <t>CDC0007</t>
  </si>
  <si>
    <t>2 PAX (couple) &amp; 1 Kid-14 year</t>
  </si>
  <si>
    <t>Casino Hotel, CGH EARTH</t>
  </si>
  <si>
    <t>Kochi</t>
  </si>
  <si>
    <t>Sebastin M K</t>
  </si>
  <si>
    <t>C-MOS</t>
  </si>
  <si>
    <t>CCM0024</t>
  </si>
  <si>
    <t>Jamshedpur</t>
  </si>
  <si>
    <t>Jaiprakash</t>
  </si>
  <si>
    <t>SK industrial Corporation</t>
  </si>
  <si>
    <t>CSK0001</t>
  </si>
  <si>
    <t>Vicky Varun Salon</t>
  </si>
  <si>
    <t>Sirsa</t>
  </si>
  <si>
    <t>Naresh Madaan</t>
  </si>
  <si>
    <t>Madaan Electric Store</t>
  </si>
  <si>
    <t>CMA0338</t>
  </si>
  <si>
    <t>Hora Salon</t>
  </si>
  <si>
    <t>Somajiguda</t>
  </si>
  <si>
    <t>Uma Harish</t>
  </si>
  <si>
    <t>Aasha Techno Enterprises</t>
  </si>
  <si>
    <t>CAA0223</t>
  </si>
  <si>
    <t>Hassan</t>
  </si>
  <si>
    <t>Chirag Gowda</t>
  </si>
  <si>
    <t>Sri Padma Enterprises</t>
  </si>
  <si>
    <t>CSR5914</t>
  </si>
  <si>
    <t>Requested payment in 2 parts</t>
  </si>
  <si>
    <t>The Ritz-Carlton Spa Bangalore</t>
  </si>
  <si>
    <t>Bangalore</t>
  </si>
  <si>
    <t>Ankith Jain</t>
  </si>
  <si>
    <t>Sushil Electricals</t>
  </si>
  <si>
    <t>CSU1387</t>
  </si>
  <si>
    <t>Grand Mirage Dhanbad, a member of Radisson Individuals</t>
  </si>
  <si>
    <t xml:space="preserve">Dhanbad </t>
  </si>
  <si>
    <t>sanjay Kumar</t>
  </si>
  <si>
    <t>Pammi Enterprises</t>
  </si>
  <si>
    <t>CPA0966</t>
  </si>
  <si>
    <t>Vurve Salon | T.Nagar</t>
  </si>
  <si>
    <t>AKSHAY L</t>
  </si>
  <si>
    <t>Akash Cable Corporation</t>
  </si>
  <si>
    <t>CAK0009</t>
  </si>
  <si>
    <t>Lemon Tree Hotel</t>
  </si>
  <si>
    <t>Ranchi</t>
  </si>
  <si>
    <t>Manmeet Singh</t>
  </si>
  <si>
    <t>Rachi Marketing</t>
  </si>
  <si>
    <t>CRA2063</t>
  </si>
  <si>
    <t>3 pax</t>
  </si>
  <si>
    <t>Storii By ITC Hotel Amoha Retreat</t>
  </si>
  <si>
    <t xml:space="preserve">ARCHIT SODHI </t>
  </si>
  <si>
    <t>Shivam Electricals</t>
  </si>
  <si>
    <t>CSH3605</t>
  </si>
  <si>
    <t>5 Adults</t>
  </si>
  <si>
    <t>LAZEEZ Dal Lake</t>
  </si>
  <si>
    <t xml:space="preserve">Srinagar </t>
  </si>
  <si>
    <t>Showkat Ahanger</t>
  </si>
  <si>
    <t>Taj Iron</t>
  </si>
  <si>
    <t>CTA0470</t>
  </si>
  <si>
    <t>Mayur Restaurant</t>
  </si>
  <si>
    <t xml:space="preserve">DEOGHAR </t>
  </si>
  <si>
    <t>Prince Raj</t>
  </si>
  <si>
    <t>jagannath Electricals</t>
  </si>
  <si>
    <t>CJA1190</t>
  </si>
  <si>
    <t>Surat Mariott Parana SPA</t>
  </si>
  <si>
    <t>Surat</t>
  </si>
  <si>
    <t>Hitkumar Ashokkumar Khandor</t>
  </si>
  <si>
    <t>Ank Solar Energy</t>
  </si>
  <si>
    <t>CAN1106</t>
  </si>
  <si>
    <t>Facecraft</t>
  </si>
  <si>
    <t>Pankaj Dhiman</t>
  </si>
  <si>
    <t>Youngster s Choice</t>
  </si>
  <si>
    <t>CYO0049</t>
  </si>
  <si>
    <t xml:space="preserve">Aayushi </t>
  </si>
  <si>
    <t>2 Adult (Couple)</t>
  </si>
  <si>
    <t>LA DAMA SALON</t>
  </si>
  <si>
    <t>Punjab</t>
  </si>
  <si>
    <t>Jasjit Singh</t>
  </si>
  <si>
    <t>Globe Electrical</t>
  </si>
  <si>
    <t>CGL0166</t>
  </si>
  <si>
    <t>Mayfair Lake Resort</t>
  </si>
  <si>
    <t>Avinash Agrawal</t>
  </si>
  <si>
    <t>Raas Distributors</t>
  </si>
  <si>
    <t>CRA1339</t>
  </si>
  <si>
    <t>4 pax</t>
  </si>
  <si>
    <t>Hotel Brahmaputra</t>
  </si>
  <si>
    <t>Sibsagar</t>
  </si>
  <si>
    <t>Pawan Agarwal</t>
  </si>
  <si>
    <t>Purbanchal Hardware and Electricals</t>
  </si>
  <si>
    <t>CPU0002</t>
  </si>
  <si>
    <t>Timer-Based Payment</t>
  </si>
  <si>
    <t>2 Pax(Couple)</t>
  </si>
  <si>
    <t>The Imperial, 1911</t>
  </si>
  <si>
    <t>Gaziabad</t>
  </si>
  <si>
    <t>Rajeev Kansal</t>
  </si>
  <si>
    <t>SHIV ELECTRIC AND TRADING COMPANY</t>
  </si>
  <si>
    <t>CSH0019</t>
  </si>
  <si>
    <t>Sampraday Café</t>
  </si>
  <si>
    <t>Koppal</t>
  </si>
  <si>
    <t>SVV RAO</t>
  </si>
  <si>
    <t xml:space="preserve">B Mart </t>
  </si>
  <si>
    <t>CBM0018</t>
  </si>
  <si>
    <t>3 Adults + 1 Kid ( 10 yr)</t>
  </si>
  <si>
    <t>H M Resort &amp; hotel</t>
  </si>
  <si>
    <t xml:space="preserve">Daltonganj </t>
  </si>
  <si>
    <t>vivek Bhagat</t>
  </si>
  <si>
    <t>Adhya Agency</t>
  </si>
  <si>
    <t>CAD0390</t>
  </si>
  <si>
    <t>2 Adults + 2 Kids (11 yrs and 8 yrs)</t>
  </si>
  <si>
    <t>Subash Arora</t>
  </si>
  <si>
    <t>Sadhana Electric Store</t>
  </si>
  <si>
    <t>CSA0723</t>
  </si>
  <si>
    <t>Span Resort and Spa</t>
  </si>
  <si>
    <t>KULLU</t>
  </si>
  <si>
    <t>Tejender Sharma</t>
  </si>
  <si>
    <t>Manali Computer House</t>
  </si>
  <si>
    <t>CMA2600</t>
  </si>
  <si>
    <t xml:space="preserve">Headmasters Salon &amp; Spa - Ludhiana </t>
  </si>
  <si>
    <t>LUDHIANA-PB</t>
  </si>
  <si>
    <t>Steenu Arora</t>
  </si>
  <si>
    <t>5 Star Agencies</t>
  </si>
  <si>
    <t>CFI0078</t>
  </si>
  <si>
    <t>5 Adults +3 Kids</t>
  </si>
  <si>
    <t>The Piccadily</t>
  </si>
  <si>
    <t>Mohini Agarwal</t>
  </si>
  <si>
    <t>M K Electricals</t>
  </si>
  <si>
    <t>CMK0002</t>
  </si>
  <si>
    <t>Pink Veranda, Champa building, Mangalwar Peth, Tilakwadi, Belagavi</t>
  </si>
  <si>
    <t>Belgaum</t>
  </si>
  <si>
    <t>Pankaj Jain</t>
  </si>
  <si>
    <t>Vardhaman Electricals</t>
  </si>
  <si>
    <t>CVA2387</t>
  </si>
  <si>
    <t>Radisson Blu</t>
  </si>
  <si>
    <t>NAGPUR</t>
  </si>
  <si>
    <t>Sartha Shivankar</t>
  </si>
  <si>
    <t>Shivankar Electricals</t>
  </si>
  <si>
    <t>CSH2074</t>
  </si>
  <si>
    <t>The Ritz-Carlton, Pune</t>
  </si>
  <si>
    <t>Bhushan C Bhomawat</t>
  </si>
  <si>
    <t>Neminath Electricals</t>
  </si>
  <si>
    <t>CNE0301</t>
  </si>
  <si>
    <t>2 PAX(Couple) &amp; 2 Kids(Under 10 Year)- Lunch</t>
  </si>
  <si>
    <t>Radisson Blu, Manyata Tech Park</t>
  </si>
  <si>
    <t>Jain Mahaveer</t>
  </si>
  <si>
    <t>Seema Electricals</t>
  </si>
  <si>
    <t>CSE0101</t>
  </si>
  <si>
    <t>Le Méridien</t>
  </si>
  <si>
    <t>Nirdesh Kumar Garg</t>
  </si>
  <si>
    <t>Kumar Trading Company</t>
  </si>
  <si>
    <t>CKU0112</t>
  </si>
  <si>
    <t>4 Adults and 2 kids (10 and 5 yrs)</t>
  </si>
  <si>
    <t>Courtyard by Marriott Gorakhpur</t>
  </si>
  <si>
    <t>Gorakhpur</t>
  </si>
  <si>
    <t>Ravi Jaiswal</t>
  </si>
  <si>
    <t>Bharat Vyapar</t>
  </si>
  <si>
    <t>CBH0257</t>
  </si>
  <si>
    <t>Face 2 Face Saloon Hamirpur</t>
  </si>
  <si>
    <t>Hamirpur</t>
  </si>
  <si>
    <t>GL Chopra</t>
  </si>
  <si>
    <t>Shubham Traders</t>
  </si>
  <si>
    <t>CSH1317</t>
  </si>
  <si>
    <t xml:space="preserve">2 Adults </t>
  </si>
  <si>
    <t xml:space="preserve">Sandeep Kumar / Deepak Rana </t>
  </si>
  <si>
    <t>Hygrid Solar Private Limited</t>
  </si>
  <si>
    <t>CHY0025</t>
  </si>
  <si>
    <t>The opulent luxury salon karnal</t>
  </si>
  <si>
    <t>Karnal</t>
  </si>
  <si>
    <t>Navneet Gupta</t>
  </si>
  <si>
    <t>RC Automation Services</t>
  </si>
  <si>
    <t>CRC0013</t>
  </si>
  <si>
    <t>10 Adults + 1 kid (5 yrs)</t>
  </si>
  <si>
    <t>Taj Ganges, Varanasi</t>
  </si>
  <si>
    <t>Banaras</t>
  </si>
  <si>
    <t>Dinesh Anand</t>
  </si>
  <si>
    <t>Fairdeal Electric Ware</t>
  </si>
  <si>
    <t>CFA0007</t>
  </si>
  <si>
    <t>Karnatka</t>
  </si>
  <si>
    <t>Arvind Jain</t>
  </si>
  <si>
    <t>Vaibhav Lightronics</t>
  </si>
  <si>
    <t>CVA0055</t>
  </si>
  <si>
    <t>1 adult</t>
  </si>
  <si>
    <t>Krishna Shah</t>
  </si>
  <si>
    <t>Zaveri Mehta And Company</t>
  </si>
  <si>
    <t>CZA0016</t>
  </si>
  <si>
    <t>Parvinder Singh / gurjoot Singh</t>
  </si>
  <si>
    <t>GNA Motors Private Limited</t>
  </si>
  <si>
    <t>CGN0013</t>
  </si>
  <si>
    <t>Reflexions Unisex Salon</t>
  </si>
  <si>
    <t>Rajkot</t>
  </si>
  <si>
    <t>Sumitaben A. Nasit</t>
  </si>
  <si>
    <t>Deep Electricals And Home Appliance</t>
  </si>
  <si>
    <t>CDE0132</t>
  </si>
  <si>
    <t>Vivanta Mangalore</t>
  </si>
  <si>
    <t>Puttur</t>
  </si>
  <si>
    <t>Ravi Narayana M</t>
  </si>
  <si>
    <t>Maithri Electric Co.</t>
  </si>
  <si>
    <t>CMA0641</t>
  </si>
  <si>
    <t>VIKASH B</t>
  </si>
  <si>
    <t>AVINASH CABLES (I) PVT LT</t>
  </si>
  <si>
    <t>CAV0003</t>
  </si>
  <si>
    <t>Subhash	Chander</t>
  </si>
  <si>
    <t xml:space="preserve">Shyam Ji Trading Company	
</t>
  </si>
  <si>
    <t>CSH3804</t>
  </si>
  <si>
    <t>ANDHDRA PRADESH</t>
  </si>
  <si>
    <t xml:space="preserve">Kiran </t>
  </si>
  <si>
    <t>Siva Krishna Enterprises</t>
  </si>
  <si>
    <t>CSI0492</t>
  </si>
  <si>
    <t xml:space="preserve">4 Adults </t>
  </si>
  <si>
    <t>Park Hyatt</t>
  </si>
  <si>
    <t>Hyderabad</t>
  </si>
  <si>
    <t>E Ravikanth</t>
  </si>
  <si>
    <t>SLR Enterprises</t>
  </si>
  <si>
    <t>CSL0005</t>
  </si>
  <si>
    <t xml:space="preserve">The Lalit KOLKATA </t>
  </si>
  <si>
    <t>Siddharth Bothra</t>
  </si>
  <si>
    <t>Ramdeo Fans</t>
  </si>
  <si>
    <t>CRA0427</t>
  </si>
  <si>
    <t>2 PAX</t>
  </si>
  <si>
    <t>Tattva Spa, Holiday INN</t>
  </si>
  <si>
    <t>Rajasthan, Jaipur</t>
  </si>
  <si>
    <t>SAGAR AGARWAL</t>
  </si>
  <si>
    <t>TRIO RENEWABLE</t>
  </si>
  <si>
    <t>CTR0488</t>
  </si>
  <si>
    <t>Surat Mariott</t>
  </si>
  <si>
    <t>Rajan Jariwala</t>
  </si>
  <si>
    <t>Khanak System</t>
  </si>
  <si>
    <t>CKH0151</t>
  </si>
  <si>
    <t>mangla chowk Lakme Salon</t>
  </si>
  <si>
    <t>Bilaspur</t>
  </si>
  <si>
    <t>Ayush  Bajaj</t>
  </si>
  <si>
    <t>Bajaj Enterprises</t>
  </si>
  <si>
    <t>CBA2402</t>
  </si>
  <si>
    <t>2 PAX(Couple)</t>
  </si>
  <si>
    <t>Tattva Spa, Radisson Indore</t>
  </si>
  <si>
    <t>MP INDORE</t>
  </si>
  <si>
    <t>Akash Daga</t>
  </si>
  <si>
    <t>Vindhyanchal Trade Link</t>
  </si>
  <si>
    <t>CVI0873</t>
  </si>
  <si>
    <t>Hotel Brij Residency</t>
  </si>
  <si>
    <t>Maharashtra - KHARDEKAR STOP, Latur</t>
  </si>
  <si>
    <t>Santosh Kulkarni (Booking Name: Prashant Metkute)</t>
  </si>
  <si>
    <t>Vishnuprem Electricals And Associates</t>
  </si>
  <si>
    <t>CVI0542</t>
  </si>
  <si>
    <t>2 Pax _ Dinner</t>
  </si>
  <si>
    <t>Sallitha</t>
  </si>
  <si>
    <t>Gokul Enterprises</t>
  </si>
  <si>
    <t>CGO0336</t>
  </si>
  <si>
    <t>6 Adults + 4 Kids (11, 7, 1, 4 yrs)</t>
  </si>
  <si>
    <t>Vivanta Thiruvananthapuram</t>
  </si>
  <si>
    <t>TRIVANDRUM</t>
  </si>
  <si>
    <t>NANTHASUBRAMANI (Booking Name: NARAYANAN)</t>
  </si>
  <si>
    <t>LAKSHMI ELECTRICALS</t>
  </si>
  <si>
    <t>CLA1097</t>
  </si>
  <si>
    <t>SPA VILLA</t>
  </si>
  <si>
    <t>Harish T Kriplani</t>
  </si>
  <si>
    <t>METRO ELECTRICALS AND INDUSTRIAL AG</t>
  </si>
  <si>
    <t>CME1136</t>
  </si>
  <si>
    <t>Harsukhbhai Mohanbhai Ghoniya</t>
  </si>
  <si>
    <t>Shraddha Electricals</t>
  </si>
  <si>
    <t>CSH3589</t>
  </si>
  <si>
    <t>Razorpay Link</t>
  </si>
  <si>
    <t>5 PAX</t>
  </si>
  <si>
    <t>Amritsar</t>
  </si>
  <si>
    <t>Jaspal Singh</t>
  </si>
  <si>
    <t>Jaspal Engennering Work</t>
  </si>
  <si>
    <t>CJA1437</t>
  </si>
  <si>
    <t>TilayJi Shushad</t>
  </si>
  <si>
    <t>Amba Sales Corporation</t>
  </si>
  <si>
    <t>CAM0383</t>
  </si>
  <si>
    <t>2 adults + 2 kids</t>
  </si>
  <si>
    <t xml:space="preserve">Holiday Inn </t>
  </si>
  <si>
    <t>Zirakpur</t>
  </si>
  <si>
    <t>Rahul Garg</t>
  </si>
  <si>
    <t>Krishna Enterprises</t>
  </si>
  <si>
    <t>CKR0154</t>
  </si>
  <si>
    <t>Mayfairhotel</t>
  </si>
  <si>
    <t xml:space="preserve">Bhubaneswar </t>
  </si>
  <si>
    <t>Debasish Mishra</t>
  </si>
  <si>
    <t>Mass Co</t>
  </si>
  <si>
    <t>CMA2909</t>
  </si>
  <si>
    <t>Franck Provost Thrissur</t>
  </si>
  <si>
    <t>THRISSUR-KL</t>
  </si>
  <si>
    <t>Abdul Mannaf</t>
  </si>
  <si>
    <t>Shalimar Lights And Electricals</t>
  </si>
  <si>
    <t>CSH3686</t>
  </si>
  <si>
    <t>Toni &amp; Guy</t>
  </si>
  <si>
    <t>ROHTAK</t>
  </si>
  <si>
    <t>Vikas Gupta</t>
  </si>
  <si>
    <t>Ganesh  Electric Store</t>
  </si>
  <si>
    <t>CGA0670</t>
  </si>
  <si>
    <t>2 Adults + 1 kid 6yr</t>
  </si>
  <si>
    <t xml:space="preserve">Berhampur </t>
  </si>
  <si>
    <t>Sudhir Sahu</t>
  </si>
  <si>
    <t>ri Ram Enterprises</t>
  </si>
  <si>
    <t>CSR0906</t>
  </si>
  <si>
    <t>Bibek Dutta</t>
  </si>
  <si>
    <t>Raju Electricals</t>
  </si>
  <si>
    <t>CRA1043</t>
  </si>
  <si>
    <t>Naivedyam Hubli</t>
  </si>
  <si>
    <t>Hubli</t>
  </si>
  <si>
    <t>DallaRam Patel</t>
  </si>
  <si>
    <t>Pratham Electricals</t>
  </si>
  <si>
    <t>CPR0098</t>
  </si>
  <si>
    <t>Tattva Karjat</t>
  </si>
  <si>
    <t xml:space="preserve">Karjat </t>
  </si>
  <si>
    <t>Sumit</t>
  </si>
  <si>
    <t>vashi Integrated Solution Ltd</t>
  </si>
  <si>
    <t>CVA0729</t>
  </si>
  <si>
    <t>Bihar</t>
  </si>
  <si>
    <t>Mnaish Kumar</t>
  </si>
  <si>
    <t>Manish And Sons</t>
  </si>
  <si>
    <t>CMA3314</t>
  </si>
  <si>
    <t>HYDERABAD</t>
  </si>
  <si>
    <t>Lajo Choudhary</t>
  </si>
  <si>
    <t>Mukesh Electricals</t>
  </si>
  <si>
    <t>CMU0312</t>
  </si>
  <si>
    <t>Trident, Nariman Point, Mumbai (Frangipani)</t>
  </si>
  <si>
    <t>Asit Parikh</t>
  </si>
  <si>
    <t>British Engineering Co</t>
  </si>
  <si>
    <t>CBR0065</t>
  </si>
  <si>
    <t>3 Adults + 1 kid (5yr)</t>
  </si>
  <si>
    <t>Mitesh</t>
  </si>
  <si>
    <t>The Nutrone Electricals</t>
  </si>
  <si>
    <t>CTH0070</t>
  </si>
  <si>
    <t>2 Adult</t>
  </si>
  <si>
    <t xml:space="preserve">Lucknow </t>
  </si>
  <si>
    <t>Javed Siddiqui</t>
  </si>
  <si>
    <t>Bright Electric</t>
  </si>
  <si>
    <t>CBR0159</t>
  </si>
  <si>
    <t>The Lalit grand place srinagar</t>
  </si>
  <si>
    <t>Mehraj Dar</t>
  </si>
  <si>
    <t>Mr Electric Traders</t>
  </si>
  <si>
    <t>CMR0058</t>
  </si>
  <si>
    <t>Hotel Royal Plaza, New Delhi</t>
  </si>
  <si>
    <t>New Delhi</t>
  </si>
  <si>
    <t>Rajesh Manchanda</t>
  </si>
  <si>
    <t>Classic Engineering Motions Private</t>
  </si>
  <si>
    <t>CCL0108</t>
  </si>
  <si>
    <t>2 Pax-Couple &amp; 1 Kid(9 year)</t>
  </si>
  <si>
    <t>Leela Kovalam</t>
  </si>
  <si>
    <t>Thiruvananthapuram</t>
  </si>
  <si>
    <t>Sonia</t>
  </si>
  <si>
    <t>Secure Electra Trade Links</t>
  </si>
  <si>
    <t>CSE1150</t>
  </si>
  <si>
    <t>Lakme Salon</t>
  </si>
  <si>
    <t>Lokesh Kumawat</t>
  </si>
  <si>
    <t>Gujarat Electronics</t>
  </si>
  <si>
    <t>CGU2357</t>
  </si>
  <si>
    <t>14 Adults</t>
  </si>
  <si>
    <t>Ramada Encore by Wyndham Bareilly</t>
  </si>
  <si>
    <t>Bareilly</t>
  </si>
  <si>
    <t>Deepak Bhasin</t>
  </si>
  <si>
    <t>Sangam App. And Electrical Ltd</t>
  </si>
  <si>
    <t>CSA0295</t>
  </si>
  <si>
    <t>3 Adults + 1 Kid (7yr)</t>
  </si>
  <si>
    <t>Hotel Premier</t>
  </si>
  <si>
    <t>Bhusawal</t>
  </si>
  <si>
    <t>Mahesh Poorvi</t>
  </si>
  <si>
    <t>Asha Electricals</t>
  </si>
  <si>
    <t>CAS0510</t>
  </si>
  <si>
    <t>Jatin Khurana</t>
  </si>
  <si>
    <t>Gayatri Enterprises</t>
  </si>
  <si>
    <t>CGA0763</t>
  </si>
  <si>
    <t>Hotel Dev International</t>
  </si>
  <si>
    <t>Chindwara</t>
  </si>
  <si>
    <t>Anand Rao Patel</t>
  </si>
  <si>
    <t>M PATEL MART</t>
  </si>
  <si>
    <t>CMP0001</t>
  </si>
  <si>
    <t>Courtyard by Marriott Bilaspur</t>
  </si>
  <si>
    <t>Bilapur</t>
  </si>
  <si>
    <t>Arslam Khan</t>
  </si>
  <si>
    <t>MM Lights</t>
  </si>
  <si>
    <t>CMM0051</t>
  </si>
  <si>
    <t>6 Pax</t>
  </si>
  <si>
    <t>Vishal Gupta</t>
  </si>
  <si>
    <t>Mahajan Sales Corp</t>
  </si>
  <si>
    <t>CMA2851</t>
  </si>
  <si>
    <t>Gurdaspur</t>
  </si>
  <si>
    <t>Sandeep Gupta</t>
  </si>
  <si>
    <t>Gupta Pump</t>
  </si>
  <si>
    <t>CGU2259</t>
  </si>
  <si>
    <t>6 adults</t>
  </si>
  <si>
    <t>Aasife Biriyani - Dharmapuri</t>
  </si>
  <si>
    <t>Dharmapuri</t>
  </si>
  <si>
    <t>G.Madhu</t>
  </si>
  <si>
    <t>Nandhiya Agencies</t>
  </si>
  <si>
    <t>CNA0553</t>
  </si>
  <si>
    <t>Bodhi Wellness Spa - A.S. Rao Nagar</t>
  </si>
  <si>
    <t>Kamlanagar</t>
  </si>
  <si>
    <t>Sandeepa Prem / Praveen Kumar meka</t>
  </si>
  <si>
    <t>Buildmax India</t>
  </si>
  <si>
    <t>CBU0082</t>
  </si>
  <si>
    <t>Hyatt regency dehradun</t>
  </si>
  <si>
    <t>Aman Goyal</t>
  </si>
  <si>
    <t>Vipul Traders Sanitary House</t>
  </si>
  <si>
    <t>CVI1319</t>
  </si>
  <si>
    <t>Grand Hyatt Kochi Bolgatty</t>
  </si>
  <si>
    <t>ERNAKULAM</t>
  </si>
  <si>
    <t>T M FAYAS</t>
  </si>
  <si>
    <t>T M Distributors</t>
  </si>
  <si>
    <t>CTM0009</t>
  </si>
  <si>
    <t>Taj Tirupati</t>
  </si>
  <si>
    <t>Tirupathi</t>
  </si>
  <si>
    <t>Hemadhri Reddy</t>
  </si>
  <si>
    <t>B N R Enterprises</t>
  </si>
  <si>
    <t>CBL0015</t>
  </si>
  <si>
    <t>Hyatt Regency</t>
  </si>
  <si>
    <t>KV Vidhu krishnan</t>
  </si>
  <si>
    <t>SoftLine Computers</t>
  </si>
  <si>
    <t>CSO0368</t>
  </si>
  <si>
    <t>Golden Haritage Spa</t>
  </si>
  <si>
    <t>DEHRADUN</t>
  </si>
  <si>
    <t>Satyendra</t>
  </si>
  <si>
    <t>Raysteeds Energy Private Limited</t>
  </si>
  <si>
    <t>CRA2083</t>
  </si>
  <si>
    <t>The Leela Kovalam, a Raviz Hotel</t>
  </si>
  <si>
    <t>B</t>
  </si>
  <si>
    <t>B R Electricals</t>
  </si>
  <si>
    <t>CBR0111</t>
  </si>
  <si>
    <t xml:space="preserve">Jhasi Hotel </t>
  </si>
  <si>
    <t>Jhansi</t>
  </si>
  <si>
    <t>Sanjay Arora</t>
  </si>
  <si>
    <t>New Modern Electricals and Electron</t>
  </si>
  <si>
    <t>CNE0031</t>
  </si>
  <si>
    <t>1 Pax (Female)</t>
  </si>
  <si>
    <t>Angel Beauty Salon</t>
  </si>
  <si>
    <t>Ratlam</t>
  </si>
  <si>
    <t>Rohit Jain</t>
  </si>
  <si>
    <t>True Sales</t>
  </si>
  <si>
    <t>CTR0417</t>
  </si>
  <si>
    <t>2 pax- Couple</t>
  </si>
  <si>
    <t xml:space="preserve">Rahul </t>
  </si>
  <si>
    <t>A. R Enterprises</t>
  </si>
  <si>
    <t>CAR0613</t>
  </si>
  <si>
    <t>Express 11</t>
  </si>
  <si>
    <t>Itarsi</t>
  </si>
  <si>
    <t>Devendra Agarwal</t>
  </si>
  <si>
    <t>Goyal Electronics</t>
  </si>
  <si>
    <t>CGO0047</t>
  </si>
  <si>
    <t>Ritesh Kumar Mehta</t>
  </si>
  <si>
    <t>Manibhadra Electricals Pvt Ltd</t>
  </si>
  <si>
    <t>CMA2616</t>
  </si>
  <si>
    <t>2 Pax-Couple</t>
  </si>
  <si>
    <t>Jigneshbhai Trada</t>
  </si>
  <si>
    <t>HARSHIL ENTERPRISE</t>
  </si>
  <si>
    <t>CHA8225</t>
  </si>
  <si>
    <t>NAGPUR-MH</t>
  </si>
  <si>
    <t>Rajkumar Chadge</t>
  </si>
  <si>
    <t>Oyster Technocon</t>
  </si>
  <si>
    <t>COY0008</t>
  </si>
  <si>
    <t>Tattva Spa Kemps Corner</t>
  </si>
  <si>
    <t>Rishi Makharia</t>
  </si>
  <si>
    <t>Makharia Machineries Private Limited</t>
  </si>
  <si>
    <t>CMA2328</t>
  </si>
  <si>
    <t>Otaram Amarararamji Choudhary</t>
  </si>
  <si>
    <t>Sagar Electricals</t>
  </si>
  <si>
    <t>CSA1815</t>
  </si>
  <si>
    <t>TOO YOO by Tattva Wellness</t>
  </si>
  <si>
    <t>Amrita Sipani</t>
  </si>
  <si>
    <t>M P SALES CORPORATION</t>
  </si>
  <si>
    <t>CMP0044</t>
  </si>
  <si>
    <t>Hotel Kaveri Grand</t>
  </si>
  <si>
    <t>Ongole</t>
  </si>
  <si>
    <t xml:space="preserve">Jaya Krishna </t>
  </si>
  <si>
    <t>Good will Electronics</t>
  </si>
  <si>
    <t>CGO0501</t>
  </si>
  <si>
    <t>2 Pax (Couple)</t>
  </si>
  <si>
    <t>Kathua</t>
  </si>
  <si>
    <t>Rohit Gupta</t>
  </si>
  <si>
    <t>City Electrical</t>
  </si>
  <si>
    <t>CCI0108</t>
  </si>
  <si>
    <t>NASHIK</t>
  </si>
  <si>
    <t xml:space="preserve">Hitesh . Ritesh </t>
  </si>
  <si>
    <t>Master Light House</t>
  </si>
  <si>
    <t>CMA2433</t>
  </si>
  <si>
    <t>Coral Spa</t>
  </si>
  <si>
    <t>Neeraj Mitta</t>
  </si>
  <si>
    <t>India Supply Corpn</t>
  </si>
  <si>
    <t>CIN0047</t>
  </si>
  <si>
    <t xml:space="preserve">6 Adults </t>
  </si>
  <si>
    <t>The Orchard Retreat &amp; Spa, Srinagar Flavors Restaurant</t>
  </si>
  <si>
    <t>J&amp;K</t>
  </si>
  <si>
    <t>Showkat Rather</t>
  </si>
  <si>
    <t>S.A Rather&amp; Sons</t>
  </si>
  <si>
    <t>CSA2372</t>
  </si>
  <si>
    <t xml:space="preserve">8 Adults </t>
  </si>
  <si>
    <t>Anil Kumar Mishra</t>
  </si>
  <si>
    <t>Mishra Electricals</t>
  </si>
  <si>
    <t>CMI0365</t>
  </si>
  <si>
    <t>Crowne Plaza, Kochi</t>
  </si>
  <si>
    <t>KR VINEESH</t>
  </si>
  <si>
    <t>The Kable Point</t>
  </si>
  <si>
    <t>CTH0338</t>
  </si>
  <si>
    <t>Tattwa Wellness Spa</t>
  </si>
  <si>
    <t>HAVELI-MH</t>
  </si>
  <si>
    <t>Manjitsingh Dhupar</t>
  </si>
  <si>
    <t>Dhupar Brothers Trading Pvt Ltd</t>
  </si>
  <si>
    <t>CDH0215</t>
  </si>
  <si>
    <t>Hyatt Regency Ludhiana</t>
  </si>
  <si>
    <t>Ludhiana</t>
  </si>
  <si>
    <t>Ashok Gupta</t>
  </si>
  <si>
    <t>Nand Kishore And Co.</t>
  </si>
  <si>
    <t>CNA0004</t>
  </si>
  <si>
    <t>Hotel Ranjhas International</t>
  </si>
  <si>
    <t>Bhagalpur</t>
  </si>
  <si>
    <t>Saroj Rai</t>
  </si>
  <si>
    <t>Hindustan Commercial Agency</t>
  </si>
  <si>
    <t>CHI0142</t>
  </si>
  <si>
    <t>O2 Spa Mantri Mall</t>
  </si>
  <si>
    <t>Nitesh M.</t>
  </si>
  <si>
    <t>MM Lunkad Electricals</t>
  </si>
  <si>
    <t>CMM0052</t>
  </si>
  <si>
    <t>Ajay Patel</t>
  </si>
  <si>
    <t>Rivaan Electricals</t>
  </si>
  <si>
    <t>CRI0298</t>
  </si>
  <si>
    <t>Radisson Blu Hotel &amp; spa - Nashik</t>
  </si>
  <si>
    <t>Nashik</t>
  </si>
  <si>
    <t>Priyank Bhalodiya</t>
  </si>
  <si>
    <t>Akon India Sales Corporation</t>
  </si>
  <si>
    <t>CAK0229</t>
  </si>
  <si>
    <t>Taj City Centre, Patna</t>
  </si>
  <si>
    <t>Park Inn &amp; Suites by Radisson Thrissur East Fort</t>
  </si>
  <si>
    <t>Thrissur Dist.</t>
  </si>
  <si>
    <t>K.K. Rajan</t>
  </si>
  <si>
    <t>K. R. Distributors</t>
  </si>
  <si>
    <t>CKR0149</t>
  </si>
  <si>
    <t>2pax</t>
  </si>
  <si>
    <t>Atman Spa – Radisson Blu Hotel &amp; Spa Nashik</t>
  </si>
  <si>
    <t>Tushar Jadhav</t>
  </si>
  <si>
    <t>Jadhav Electricals Private Limited</t>
  </si>
  <si>
    <t>CJA1446</t>
  </si>
  <si>
    <t>Ashish Pershad (Reshu Pershad 9818143762)</t>
  </si>
  <si>
    <t>Pershad Marketing Private Limited</t>
  </si>
  <si>
    <t>CPE0346</t>
  </si>
  <si>
    <t>Parana Spa Surat Mariott Hotel</t>
  </si>
  <si>
    <t>Sidharth Bothra</t>
  </si>
  <si>
    <t>Tulsi Electromech</t>
  </si>
  <si>
    <t>CTU0082</t>
  </si>
  <si>
    <t>Le Meridien, New Delhi</t>
  </si>
  <si>
    <t>Revati Prasad</t>
  </si>
  <si>
    <t>Bravura Enterprises</t>
  </si>
  <si>
    <t>CBR0174</t>
  </si>
  <si>
    <t>2 Pax-Couple &amp; 1 Kid</t>
  </si>
  <si>
    <t>Hyatt Regency, Bodhgaya</t>
  </si>
  <si>
    <t>Sameer Kumar</t>
  </si>
  <si>
    <t>SM Light House</t>
  </si>
  <si>
    <t>CSM0106</t>
  </si>
  <si>
    <t>4 adults + 3 kids (12yrs and 2 below 4yrs)</t>
  </si>
  <si>
    <t>Radisson Blu Hotel, Chennai</t>
  </si>
  <si>
    <t>Kumbakonam</t>
  </si>
  <si>
    <t>RAJADURAI R</t>
  </si>
  <si>
    <t>S.Govindasamy And Sons</t>
  </si>
  <si>
    <t>CSG0015</t>
  </si>
  <si>
    <t>Hotel Paradise</t>
  </si>
  <si>
    <t>Sagar</t>
  </si>
  <si>
    <t>SIDDHARATH</t>
  </si>
  <si>
    <t>RAMRAJA SALES</t>
  </si>
  <si>
    <t>CRA1558</t>
  </si>
  <si>
    <t>Supriya</t>
  </si>
  <si>
    <t>Sangam Hotel</t>
  </si>
  <si>
    <t>Thanjavur</t>
  </si>
  <si>
    <t>MANEGANDAN NACHIAPPAN N</t>
  </si>
  <si>
    <t>Devi Electricals</t>
  </si>
  <si>
    <t>CDE0826</t>
  </si>
  <si>
    <t>The Page Hotel &amp; Banquet</t>
  </si>
  <si>
    <t>Amit Kumar</t>
  </si>
  <si>
    <t>Amit Traders</t>
  </si>
  <si>
    <t>CAM2690</t>
  </si>
  <si>
    <t>Sayaji Rajkot</t>
  </si>
  <si>
    <t>Vijay Akbari</t>
  </si>
  <si>
    <t>Madhav Electric Corporation</t>
  </si>
  <si>
    <t>CMA1427</t>
  </si>
  <si>
    <t>Royale Lalawi Hotel</t>
  </si>
  <si>
    <t>Aizawl</t>
  </si>
  <si>
    <t>Lalthangliani</t>
  </si>
  <si>
    <t>L. T. Enterprise</t>
  </si>
  <si>
    <t>CLT0013</t>
  </si>
  <si>
    <t xml:space="preserve">2 adults + 6 yrs </t>
  </si>
  <si>
    <t>ITC NARMADA , Ahmedabad</t>
  </si>
  <si>
    <t>Himani Patel</t>
  </si>
  <si>
    <t>Shanti Arya Industries</t>
  </si>
  <si>
    <t>CSH3021</t>
  </si>
  <si>
    <t>Green Umbrella</t>
  </si>
  <si>
    <t>Jhunjhunu</t>
  </si>
  <si>
    <t>K.P Enterprises</t>
  </si>
  <si>
    <t>CKP0025</t>
  </si>
  <si>
    <t>Hotel Surya International</t>
  </si>
  <si>
    <t>Sahdol</t>
  </si>
  <si>
    <t>Rahul</t>
  </si>
  <si>
    <t>Shree Wholesale Electricals</t>
  </si>
  <si>
    <t>CSH2926</t>
  </si>
  <si>
    <t>Snip Salon &amp; Spa</t>
  </si>
  <si>
    <t>North Goa</t>
  </si>
  <si>
    <t>Mukesh Seervi</t>
  </si>
  <si>
    <t>Jay Laxmi Electricals</t>
  </si>
  <si>
    <t>CJA0572</t>
  </si>
  <si>
    <t>2 adults + 2 kids (5 and 8yrs)</t>
  </si>
  <si>
    <t>Ashok Kukreja</t>
  </si>
  <si>
    <t>Rahul Cables Pvt. Ltd.</t>
  </si>
  <si>
    <t>CRA0321</t>
  </si>
  <si>
    <t>2 Pax(Couple) &amp; 1 Kid(5 year)</t>
  </si>
  <si>
    <t>Radisson Blu, Sector-18</t>
  </si>
  <si>
    <t>Disha Gupta / Vasu Gupta</t>
  </si>
  <si>
    <t>M/s Varunavi Electrical &amp; Hardware</t>
  </si>
  <si>
    <t>CVA2389</t>
  </si>
  <si>
    <t>Ankur Singhal</t>
  </si>
  <si>
    <t>Ankur Electricals</t>
  </si>
  <si>
    <t>CAN0334</t>
  </si>
  <si>
    <t>Radisson Blu Hotel, Ludhiana</t>
  </si>
  <si>
    <t>Harpreet Singh</t>
  </si>
  <si>
    <t>A.s Electronics India</t>
  </si>
  <si>
    <t>CAS0672</t>
  </si>
  <si>
    <t>Rawls Salon</t>
  </si>
  <si>
    <t>FARIDABAD</t>
  </si>
  <si>
    <t>Kapil Kumar</t>
  </si>
  <si>
    <t>Tanmay Enterprises</t>
  </si>
  <si>
    <t>CTA0449</t>
  </si>
  <si>
    <t>Tattva Spa, Holiday Inn</t>
  </si>
  <si>
    <t>Antima</t>
  </si>
  <si>
    <t>Prashakti Electrical Pvt. Ltd.</t>
  </si>
  <si>
    <t>CPR0433</t>
  </si>
  <si>
    <t>Hotel Triple Crown, Betiya</t>
  </si>
  <si>
    <t>Betiya</t>
  </si>
  <si>
    <t>Ashok Choudhary</t>
  </si>
  <si>
    <t>Sri Balajee Electricals</t>
  </si>
  <si>
    <t>CSR0612</t>
  </si>
  <si>
    <t>Taj Swarna</t>
  </si>
  <si>
    <t>Balbir Bhasin</t>
  </si>
  <si>
    <t>MODERN FRET WORKS</t>
  </si>
  <si>
    <t>CMO0161</t>
  </si>
  <si>
    <t>Taj Lakefront, Bhopal</t>
  </si>
  <si>
    <t>Bhopal</t>
  </si>
  <si>
    <t>Rajendra Garg</t>
  </si>
  <si>
    <t>BASANT ENGEENERING COMPANY</t>
  </si>
  <si>
    <t>CBA2210</t>
  </si>
  <si>
    <t xml:space="preserve">1 Pax </t>
  </si>
  <si>
    <t>Perfect palour</t>
  </si>
  <si>
    <t>Dimapur</t>
  </si>
  <si>
    <t>Pawan Kr. Agarwal</t>
  </si>
  <si>
    <t>J. K. Electricals</t>
  </si>
  <si>
    <t>CJK0035</t>
  </si>
  <si>
    <t>Cuttack</t>
  </si>
  <si>
    <t>Sunil  Mawandia</t>
  </si>
  <si>
    <t>C R Enterprises</t>
  </si>
  <si>
    <t>CCR0298</t>
  </si>
  <si>
    <t>Prayag kumar kanubhai</t>
  </si>
  <si>
    <t>Anany Urja</t>
  </si>
  <si>
    <t>CAN1103</t>
  </si>
  <si>
    <t>4 Adults + 1 Kid (9 yrs)</t>
  </si>
  <si>
    <t>Vadodara</t>
  </si>
  <si>
    <t>Alok R. Dalmiya</t>
  </si>
  <si>
    <t>Sainath Electricals and Infotech</t>
  </si>
  <si>
    <t>CSA0838</t>
  </si>
  <si>
    <t>Yajur Goyal</t>
  </si>
  <si>
    <t>Kwality Smart Solutions</t>
  </si>
  <si>
    <t>CKW0019</t>
  </si>
  <si>
    <t>Fortune Park JPS Grand, Rajkot - Member ITC hotels' group</t>
  </si>
  <si>
    <t>Hemal jethva</t>
  </si>
  <si>
    <t>Foursun Solar</t>
  </si>
  <si>
    <t>CFO0054</t>
  </si>
  <si>
    <t>Sohum Spa – Grand Hyatt Goa</t>
  </si>
  <si>
    <t>Samir S. Korgaonkar</t>
  </si>
  <si>
    <t>Samir Electricals</t>
  </si>
  <si>
    <t>CSA0307</t>
  </si>
  <si>
    <t>Taj Skyline, Ahmedabad</t>
  </si>
  <si>
    <t>Falgesh patel</t>
  </si>
  <si>
    <t>Jigisha Electricals</t>
  </si>
  <si>
    <t>CJI0204</t>
  </si>
  <si>
    <t>Mundra</t>
  </si>
  <si>
    <t>Tushar Agarwal</t>
  </si>
  <si>
    <t>Sunrise Traders</t>
  </si>
  <si>
    <t>CSU1380</t>
  </si>
  <si>
    <t>Orange Spa Amravati</t>
  </si>
  <si>
    <t>AMRAVATI</t>
  </si>
  <si>
    <t>Manish Laddta</t>
  </si>
  <si>
    <t>Krishna Electronics</t>
  </si>
  <si>
    <t>CKR0051</t>
  </si>
  <si>
    <t>Candida beauty salon</t>
  </si>
  <si>
    <t>Lakhimpur</t>
  </si>
  <si>
    <t>Pawan Kumar Sarda</t>
  </si>
  <si>
    <t>Maruti Sales</t>
  </si>
  <si>
    <t>CMA0228</t>
  </si>
  <si>
    <t xml:space="preserve">Body &amp; Spa </t>
  </si>
  <si>
    <t>Shaurav Agarwal</t>
  </si>
  <si>
    <t>Shaurav Enterprises</t>
  </si>
  <si>
    <t>CSH3002</t>
  </si>
  <si>
    <t>The Skinsmiths Unisex Salon</t>
  </si>
  <si>
    <t>Neetu Sood</t>
  </si>
  <si>
    <t>Talwar Electricals</t>
  </si>
  <si>
    <t>CTA0268</t>
  </si>
  <si>
    <t xml:space="preserve">Avtara </t>
  </si>
  <si>
    <t>Bhavana Shah</t>
  </si>
  <si>
    <t>Mehul Enterprises</t>
  </si>
  <si>
    <t>CME0120</t>
  </si>
  <si>
    <t>Madhubani</t>
  </si>
  <si>
    <t>Priya Ranjan</t>
  </si>
  <si>
    <t>Surya Agency</t>
  </si>
  <si>
    <t>CSU0420</t>
  </si>
  <si>
    <t>Courtyard by Marriott Tiruchirappalli</t>
  </si>
  <si>
    <t>Trichy</t>
  </si>
  <si>
    <t>Mohan S</t>
  </si>
  <si>
    <t>Abirami Electricals</t>
  </si>
  <si>
    <t>CAB0022</t>
  </si>
  <si>
    <t>2Pax + 5yr Kid</t>
  </si>
  <si>
    <t>Hyderabad Marriott Hotel &amp; Convention Centre</t>
  </si>
  <si>
    <t>Prasanth Rayavarapu</t>
  </si>
  <si>
    <t>RM Enterprises</t>
  </si>
  <si>
    <t>CRM0030</t>
  </si>
  <si>
    <t>Radisson Hotel Bareilly Airport</t>
  </si>
  <si>
    <t>Rohit Kumar</t>
  </si>
  <si>
    <t>Dhruv Electricals</t>
  </si>
  <si>
    <t>CDH0205</t>
  </si>
  <si>
    <t>5 pax</t>
  </si>
  <si>
    <t>Hotel DR Indraaprasthaa</t>
  </si>
  <si>
    <t>Nandyal</t>
  </si>
  <si>
    <t>Hema Chandrudu</t>
  </si>
  <si>
    <t>Ranganadha Sai Agency</t>
  </si>
  <si>
    <t>CRA2069</t>
  </si>
  <si>
    <t>Hotel Refugio, Kotkapura</t>
  </si>
  <si>
    <t>Kotkapura</t>
  </si>
  <si>
    <t>Munish Bansal</t>
  </si>
  <si>
    <t>Bansal And Sons</t>
  </si>
  <si>
    <t>CBA0680</t>
  </si>
  <si>
    <t>HeadMasters Salon</t>
  </si>
  <si>
    <t>Jalandhar</t>
  </si>
  <si>
    <t>Harnoor</t>
  </si>
  <si>
    <t>Bright Electro Mechanical</t>
  </si>
  <si>
    <t>CBR0147</t>
  </si>
  <si>
    <t>5 adults</t>
  </si>
  <si>
    <t>Park Inn Radisson</t>
  </si>
  <si>
    <t>Umesh Chowdhary</t>
  </si>
  <si>
    <t>Shree Laxmi Electricals</t>
  </si>
  <si>
    <t>CSH0683</t>
  </si>
  <si>
    <t>3pax</t>
  </si>
  <si>
    <t>Le Meridien Kochi</t>
  </si>
  <si>
    <t>SHIBU</t>
  </si>
  <si>
    <t>Adithya Marketing</t>
  </si>
  <si>
    <t>CAD0394</t>
  </si>
  <si>
    <t>2 adults + 1 Kid (5 yrs)</t>
  </si>
  <si>
    <t>Manoj Mishra</t>
  </si>
  <si>
    <t>Yash traders</t>
  </si>
  <si>
    <t>CYA0163</t>
  </si>
  <si>
    <t>2 People</t>
  </si>
  <si>
    <t>The Leela Ashtamudi</t>
  </si>
  <si>
    <t>Kollam</t>
  </si>
  <si>
    <t>Shyla</t>
  </si>
  <si>
    <t>Prakash Traders</t>
  </si>
  <si>
    <t>CPR0666</t>
  </si>
  <si>
    <t>2 adults + 2 kids (4 and 8 yrs) + 2 adults more</t>
  </si>
  <si>
    <t>Hyatt Place Bharuch</t>
  </si>
  <si>
    <t>Ankleshwar</t>
  </si>
  <si>
    <t>Devendra Jain</t>
  </si>
  <si>
    <t>Ideal Electric Corporation</t>
  </si>
  <si>
    <t>CID0028</t>
  </si>
  <si>
    <t>Palm Resorts</t>
  </si>
  <si>
    <t>Tinsukia</t>
  </si>
  <si>
    <t>Vinod Jha</t>
  </si>
  <si>
    <t>Omkar Enterprises</t>
  </si>
  <si>
    <t>COM0373</t>
  </si>
  <si>
    <t>Parmeet - done</t>
  </si>
  <si>
    <t>Rishabh</t>
  </si>
  <si>
    <t>2 Single rooms</t>
  </si>
  <si>
    <t>Mariott</t>
  </si>
  <si>
    <t>Ritesh Patel</t>
  </si>
  <si>
    <t xml:space="preserve">New Umiya Electricals </t>
  </si>
  <si>
    <t>CNE0613</t>
  </si>
  <si>
    <t>Senjariya dhaval navinbhai</t>
  </si>
  <si>
    <t>Shri Ram Sales Corporation</t>
  </si>
  <si>
    <t>CSH1286</t>
  </si>
  <si>
    <t>CSH3539</t>
  </si>
  <si>
    <t>2 Adults + 2 Kids (9 yrs, 12 yrs)</t>
  </si>
  <si>
    <t>Grand Mumtaz</t>
  </si>
  <si>
    <t>Gulmarg</t>
  </si>
  <si>
    <t>Hafizullah Chak</t>
  </si>
  <si>
    <t>AHAMADULLAH AND SONS</t>
  </si>
  <si>
    <t>CAH0077</t>
  </si>
  <si>
    <t>2 Adults + 2 Kids ( 12yr &amp; 8yr)</t>
  </si>
  <si>
    <t>Welcomhotel by ITC Hotels</t>
  </si>
  <si>
    <t>Allahabad</t>
  </si>
  <si>
    <t>Vivek Mishra</t>
  </si>
  <si>
    <t>V R Corporation</t>
  </si>
  <si>
    <t>CVR0027</t>
  </si>
  <si>
    <t>Anup</t>
  </si>
  <si>
    <t xml:space="preserve"> Hotel Regency</t>
  </si>
  <si>
    <t>Joseph Lalsangzuala</t>
  </si>
  <si>
    <t>LP Electricals</t>
  </si>
  <si>
    <t>CLP0006</t>
  </si>
  <si>
    <t>20-04-2026</t>
  </si>
  <si>
    <t>Gorgeous Family Spa &amp; Salon</t>
  </si>
  <si>
    <t>Vellore</t>
  </si>
  <si>
    <t>KOTHANDAPANI R</t>
  </si>
  <si>
    <t>MAXIMAS TECHNOLOGIES</t>
  </si>
  <si>
    <t>CMA3233</t>
  </si>
  <si>
    <t>4 adults + 1 kid (12 yrs)</t>
  </si>
  <si>
    <t>Ahemdabad</t>
  </si>
  <si>
    <t>Santosh Chaudhry</t>
  </si>
  <si>
    <t>Swastik Enterprises</t>
  </si>
  <si>
    <t>CSW0220</t>
  </si>
  <si>
    <t>3 adults + 1 kid</t>
  </si>
  <si>
    <t>Regency Tirunelveli by GRT Hotels</t>
  </si>
  <si>
    <t>Tirunelveli</t>
  </si>
  <si>
    <t>Mariappan S</t>
  </si>
  <si>
    <t>Taurus Enterprises</t>
  </si>
  <si>
    <t>CTA0481</t>
  </si>
  <si>
    <t>Jorhat</t>
  </si>
  <si>
    <t>Lalit Prajapat</t>
  </si>
  <si>
    <t>Bharat Trade And Industries</t>
  </si>
  <si>
    <t>CBH0803</t>
  </si>
  <si>
    <t>18-04-2026</t>
  </si>
  <si>
    <t>2 Adults &amp;  1 (kid 7 Yr)</t>
  </si>
  <si>
    <t>Shillong</t>
  </si>
  <si>
    <t>Pritesh Jasrasaria</t>
  </si>
  <si>
    <t>Radio Electric Stores and Agencies</t>
  </si>
  <si>
    <t>CRA0068</t>
  </si>
  <si>
    <t>KP Singh</t>
  </si>
  <si>
    <t>CKR0479</t>
  </si>
  <si>
    <t>Courtyard by Marriott Bopal</t>
  </si>
  <si>
    <t>Pankaj</t>
  </si>
  <si>
    <t>EVERGREEN ELECTRIC &amp; HARDWARE</t>
  </si>
  <si>
    <t>CEV0003</t>
  </si>
  <si>
    <t>Welcome by ITC Chennai</t>
  </si>
  <si>
    <t>SUMMER SINGH H</t>
  </si>
  <si>
    <t>Mangaldeep Electrical And Hardwares</t>
  </si>
  <si>
    <t>CMA2493</t>
  </si>
  <si>
    <t>Pardeep Singh</t>
  </si>
  <si>
    <t>Numberdar Enterprises</t>
  </si>
  <si>
    <t>CNU0029</t>
  </si>
  <si>
    <t>Ajit Prajapati</t>
  </si>
  <si>
    <t>Kuwar traders</t>
  </si>
  <si>
    <t>CKU0326</t>
  </si>
  <si>
    <t>Manisa Salon Spa &amp; Aesthetics Center</t>
  </si>
  <si>
    <t>Shiv Kumar</t>
  </si>
  <si>
    <t>Garg Electro</t>
  </si>
  <si>
    <t>CGA0386</t>
  </si>
  <si>
    <t>CC</t>
  </si>
  <si>
    <t>Sohum Spa – Grand Hyatt Kochi</t>
  </si>
  <si>
    <t xml:space="preserve">Madhusudan Gupta </t>
  </si>
  <si>
    <t>M S SYSTEMS</t>
  </si>
  <si>
    <t>CMS0197</t>
  </si>
  <si>
    <t>Jawed Habib Hair &amp; Beauty North Lakhimpur</t>
  </si>
  <si>
    <t>Mohan Lakhotia</t>
  </si>
  <si>
    <t>Laxmi Store</t>
  </si>
  <si>
    <t>CLA0181</t>
  </si>
  <si>
    <t>Hotel Ajanta Palace</t>
  </si>
  <si>
    <t xml:space="preserve">Mahendra </t>
  </si>
  <si>
    <t>Luniya Brothers</t>
  </si>
  <si>
    <t>CLU0029</t>
  </si>
  <si>
    <t>Jehan numa palace</t>
  </si>
  <si>
    <t>LAVIN MANDHANI</t>
  </si>
  <si>
    <t>ROOP KUMAR STORE</t>
  </si>
  <si>
    <t>CRO0046</t>
  </si>
  <si>
    <t>Happy Bhuva</t>
  </si>
  <si>
    <t>Super Electric &amp; Co.</t>
  </si>
  <si>
    <t>CSU1592</t>
  </si>
  <si>
    <t>JW Marriott Pune</t>
  </si>
  <si>
    <t>Hotstart Energy Private Limited</t>
  </si>
  <si>
    <t>CHO0263</t>
  </si>
  <si>
    <t>2 Adults + 2 Kids (9 yrs, 13 yrs)</t>
  </si>
  <si>
    <t>Taj Mahal</t>
  </si>
  <si>
    <t>Awdhesh Patel</t>
  </si>
  <si>
    <t>AK Engineer</t>
  </si>
  <si>
    <t>CAK0150</t>
  </si>
  <si>
    <t>Abhinav Jain</t>
  </si>
  <si>
    <t>NORTHERN STAR ELECTRICAL COMPANY</t>
  </si>
  <si>
    <t>CNO0132</t>
  </si>
  <si>
    <t>2 Pax + 2 Kids (6 Years &amp; 2.5 Years)</t>
  </si>
  <si>
    <t>ITC Rajputana</t>
  </si>
  <si>
    <t>Geetesh Gupta</t>
  </si>
  <si>
    <t>SHREE SIRAYAM</t>
  </si>
  <si>
    <t>CSH4514</t>
  </si>
  <si>
    <t>Raddison Blu</t>
  </si>
  <si>
    <t>Visakhapatnam</t>
  </si>
  <si>
    <t>Sanjeev kumar Agarwal</t>
  </si>
  <si>
    <t>Rakesh Enterprises</t>
  </si>
  <si>
    <t>CRA0540</t>
  </si>
  <si>
    <t>Hyatt Ahmedabad</t>
  </si>
  <si>
    <t>Hardik Thakkar</t>
  </si>
  <si>
    <t>Trans India</t>
  </si>
  <si>
    <t>CTR0358</t>
  </si>
  <si>
    <t>Vijay Jitani</t>
  </si>
  <si>
    <t>Radhe Corporation</t>
  </si>
  <si>
    <t>CRA0078</t>
  </si>
  <si>
    <t>Hyatt Place Vadodara</t>
  </si>
  <si>
    <t>Mignesh R. Shah</t>
  </si>
  <si>
    <t>Active Enterprises</t>
  </si>
  <si>
    <t>CAC0001</t>
  </si>
  <si>
    <t>2 adults + 1 Kid (4 years)</t>
  </si>
  <si>
    <t>Fortune park JPS</t>
  </si>
  <si>
    <t>GUJARAT</t>
  </si>
  <si>
    <t>Umangjantilal Patel</t>
  </si>
  <si>
    <t>Reliable Enterprise</t>
  </si>
  <si>
    <t>CRE2311</t>
  </si>
  <si>
    <t>JW Marriott Hotel Pune</t>
  </si>
  <si>
    <t>PUNE-MH</t>
  </si>
  <si>
    <t>Rajendra Mehta</t>
  </si>
  <si>
    <t>SWASTIK ENTERPRISES</t>
  </si>
  <si>
    <t>CSW0307</t>
  </si>
  <si>
    <t>Sayaji Hotel Wakad Pune</t>
  </si>
  <si>
    <t>TATHAWADE-MH</t>
  </si>
  <si>
    <t>Naseem Ansari</t>
  </si>
  <si>
    <t>M S Enterprises</t>
  </si>
  <si>
    <t>CMS0191</t>
  </si>
  <si>
    <t>Hotel Raj Palace</t>
  </si>
  <si>
    <t>Chirawa</t>
  </si>
  <si>
    <t>Karmesh</t>
  </si>
  <si>
    <t>NAVEEN BUILDMART</t>
  </si>
  <si>
    <t>CNA1261</t>
  </si>
  <si>
    <t>17-04-2026</t>
  </si>
  <si>
    <t>Trident, Nariman Point, Mumbai</t>
  </si>
  <si>
    <t>Bharti Jha</t>
  </si>
  <si>
    <t>Kloseven Royale</t>
  </si>
  <si>
    <t>CKL0036</t>
  </si>
  <si>
    <t>Le Méridien New Delhi</t>
  </si>
  <si>
    <t>Harsh Mittal</t>
  </si>
  <si>
    <t>Mittal Technoplast India</t>
  </si>
  <si>
    <t>CMI0301</t>
  </si>
  <si>
    <t>The Fern Shelter Resort Palghar,  Series by Marriott</t>
  </si>
  <si>
    <t>PALGHAR</t>
  </si>
  <si>
    <t>Aadil Dhanani</t>
  </si>
  <si>
    <t>Dhanani Distributor</t>
  </si>
  <si>
    <t>CDH0222</t>
  </si>
  <si>
    <t>Seven Hills Restaurant</t>
  </si>
  <si>
    <t>Pukhraj Shah</t>
  </si>
  <si>
    <t>Priyanka Video And Electronics</t>
  </si>
  <si>
    <t>CPR0059</t>
  </si>
  <si>
    <t>16-04-2026</t>
  </si>
  <si>
    <t>3 adults + 1 kid (9 yrs)</t>
  </si>
  <si>
    <t xml:space="preserve">Surat Marriott Hotel
</t>
  </si>
  <si>
    <t>Sandeep kachchhi</t>
  </si>
  <si>
    <t>CJY0073</t>
  </si>
  <si>
    <t>Lap of Luxury</t>
  </si>
  <si>
    <t>Kolhapur</t>
  </si>
  <si>
    <t>Puja Jain</t>
  </si>
  <si>
    <t>ASK Corporation</t>
  </si>
  <si>
    <t>CAS0542</t>
  </si>
  <si>
    <t>Naturals Salon &amp; Spa</t>
  </si>
  <si>
    <t>Kakinada</t>
  </si>
  <si>
    <t>Anand Mehatha Jain (Booking Name: Roshan Mehta)</t>
  </si>
  <si>
    <t>Rajasthan Electricials</t>
  </si>
  <si>
    <t>CRA0283</t>
  </si>
  <si>
    <t>Hemant</t>
  </si>
  <si>
    <t>Snip</t>
  </si>
  <si>
    <t>TISWADI</t>
  </si>
  <si>
    <t>Suresh Kumawat (8888609444)</t>
  </si>
  <si>
    <t>Pushpa Sales And Service</t>
  </si>
  <si>
    <t>CPU0194</t>
  </si>
  <si>
    <t>Pune</t>
  </si>
  <si>
    <t>Prem Patel</t>
  </si>
  <si>
    <t>Prem Electricals</t>
  </si>
  <si>
    <t>CPR0279</t>
  </si>
  <si>
    <t>Radisson Blu Nagpur</t>
  </si>
  <si>
    <t>Nagpur</t>
  </si>
  <si>
    <t>Manish Dadlani</t>
  </si>
  <si>
    <t>Pooja Electricals</t>
  </si>
  <si>
    <t>CPO0268</t>
  </si>
  <si>
    <t>PANIPAT</t>
  </si>
  <si>
    <t>Anita Bansal</t>
  </si>
  <si>
    <t>Bansal Traders</t>
  </si>
  <si>
    <t>CBA2341</t>
  </si>
  <si>
    <t>2 pax + 2 Kids (3 yrs and 1.5 yrs)</t>
  </si>
  <si>
    <t>Hotel Masineni Grand</t>
  </si>
  <si>
    <t>Andhra Pradesh</t>
  </si>
  <si>
    <t>Kodamala Vishnuvardhan</t>
  </si>
  <si>
    <t>Vishnu Enterprises</t>
  </si>
  <si>
    <t>CSR6389</t>
  </si>
  <si>
    <t>13-04-2026</t>
  </si>
  <si>
    <t>Geetanjali Studio MGF Metropolitan</t>
  </si>
  <si>
    <t>Gurugram</t>
  </si>
  <si>
    <t>Balvinder Kaur</t>
  </si>
  <si>
    <t>Bindra Electric Company</t>
  </si>
  <si>
    <t>CBI0452</t>
  </si>
  <si>
    <t>Payment already done as per March Month Data</t>
  </si>
  <si>
    <t>Goa Marriott Resort &amp; Spa</t>
  </si>
  <si>
    <t>Panaji</t>
  </si>
  <si>
    <t>Narpat Singh Narpat Singh</t>
  </si>
  <si>
    <t>Navratan Electric Co.</t>
  </si>
  <si>
    <t>CNA0110</t>
  </si>
  <si>
    <t>Bekal, Kerala</t>
  </si>
  <si>
    <t xml:space="preserve">ABDUL SHUKOOR M </t>
  </si>
  <si>
    <t>Relax Agencies</t>
  </si>
  <si>
    <t>CRE0045</t>
  </si>
  <si>
    <t>Cloud 9 Luxury Spa</t>
  </si>
  <si>
    <t>Morbi</t>
  </si>
  <si>
    <t>Bhavya Patel</t>
  </si>
  <si>
    <t>SUN SPARKLE ENERGY</t>
  </si>
  <si>
    <t>CSU1679</t>
  </si>
  <si>
    <t>ITC Narmada</t>
  </si>
  <si>
    <t>Badal Oshwal</t>
  </si>
  <si>
    <t>Ishan Corporation</t>
  </si>
  <si>
    <t>CIS0059</t>
  </si>
  <si>
    <t>Nanded</t>
  </si>
  <si>
    <t>Mahendra Shethiya</t>
  </si>
  <si>
    <t>Rainbow Lights</t>
  </si>
  <si>
    <t>CRA1049</t>
  </si>
  <si>
    <t>Relax Unisex Salon Bridal Makeup Studio</t>
  </si>
  <si>
    <t>Haldwani</t>
  </si>
  <si>
    <t>Pushpa</t>
  </si>
  <si>
    <t>Newtec Industries</t>
  </si>
  <si>
    <t>CNE0666</t>
  </si>
  <si>
    <t xml:space="preserve"> </t>
  </si>
  <si>
    <t>2 adults (females)</t>
  </si>
  <si>
    <t>Minati (Hassukh)</t>
  </si>
  <si>
    <t>Indira Enterprisers</t>
  </si>
  <si>
    <t>CIN0207</t>
  </si>
  <si>
    <t>Approved by Client</t>
  </si>
  <si>
    <t>Payment Status</t>
  </si>
  <si>
    <t>Remarks</t>
  </si>
  <si>
    <t>Refund Date</t>
  </si>
  <si>
    <t xml:space="preserve">Refund </t>
  </si>
  <si>
    <t>Payment Mode - Direct/Zomato or Refund</t>
  </si>
  <si>
    <t xml:space="preserve">Payment Mode </t>
  </si>
  <si>
    <t>Payment Date</t>
  </si>
  <si>
    <t>Paid by</t>
  </si>
  <si>
    <t>Amount Paid</t>
  </si>
  <si>
    <t>Zomato Amount</t>
  </si>
  <si>
    <t>PAYMENT SPOC</t>
  </si>
  <si>
    <t>RM</t>
  </si>
  <si>
    <t>Buffet/Ala-Carte/Salon/Photoshoot/Concert/Spa</t>
  </si>
  <si>
    <t>Avail Date</t>
  </si>
  <si>
    <t>No of Pax</t>
  </si>
  <si>
    <t>Hotel/Restaurant/Salon/Photoshoot/Concert Name</t>
  </si>
  <si>
    <t>City &amp; State</t>
  </si>
  <si>
    <t>Dine-Out/Salon/Spa/
Photoshoot/Concert</t>
  </si>
  <si>
    <t>Dealer/Partner Name</t>
  </si>
  <si>
    <t>Firm Name</t>
  </si>
  <si>
    <t>Dealer Code</t>
  </si>
  <si>
    <t>Sambandh - 10k/PC -22k</t>
  </si>
  <si>
    <t>Billing Amount</t>
  </si>
  <si>
    <t>STORY</t>
  </si>
  <si>
    <t>Budget</t>
  </si>
  <si>
    <t>Q-N</t>
  </si>
  <si>
    <t>Approval Amount</t>
  </si>
  <si>
    <t>7 Adults + 1 Kid</t>
  </si>
  <si>
    <t>CAA0220</t>
  </si>
  <si>
    <t>Aadvik Enterprise</t>
  </si>
  <si>
    <t>Aadvik</t>
  </si>
  <si>
    <t xml:space="preserve">Hyatt Regency </t>
  </si>
  <si>
    <t xml:space="preserve">Courtyard by Marriott Vadodara </t>
  </si>
  <si>
    <t xml:space="preserve">Courtyard by Marriott Surat </t>
  </si>
  <si>
    <t xml:space="preserve">Mayfair Lagoon, Bhubaneswar </t>
  </si>
  <si>
    <t xml:space="preserve">Hyatt regency dehradun </t>
  </si>
  <si>
    <t xml:space="preserve">Mayfair Palm Beach Resort Gopalpur </t>
  </si>
  <si>
    <t xml:space="preserve">Hyatt Centric </t>
  </si>
  <si>
    <t xml:space="preserve">Trident nariman point </t>
  </si>
  <si>
    <t xml:space="preserve">Radisson Blu </t>
  </si>
  <si>
    <t>Holiday INN, Mumbai</t>
  </si>
  <si>
    <t>Natraj Sarovar portico</t>
  </si>
  <si>
    <t>Holiday Inn Lucknow Airport by IHG</t>
  </si>
  <si>
    <t>Taj Skyline</t>
  </si>
  <si>
    <t xml:space="preserve">Radisson Hotel Salem </t>
  </si>
  <si>
    <t xml:space="preserve">Le Meridian </t>
  </si>
  <si>
    <t>Holiday Inn</t>
  </si>
  <si>
    <t>Tajview, Agra Taj Ganj</t>
  </si>
  <si>
    <t>9pax</t>
  </si>
  <si>
    <t xml:space="preserve">Fairfield By Mariott </t>
  </si>
  <si>
    <t xml:space="preserve">Hotel Polo Towers </t>
  </si>
  <si>
    <t xml:space="preserve">Hoysala Village, Hassan </t>
  </si>
  <si>
    <t>The Four Season</t>
  </si>
  <si>
    <t>Welcomhotel By ITC Hotels, Devee Grand Bay, Visakhapatnam</t>
  </si>
  <si>
    <t xml:space="preserve">Hotel Siwan International </t>
  </si>
  <si>
    <t>The Pristine Hotel</t>
  </si>
  <si>
    <t>HOTEL CAMEL</t>
  </si>
  <si>
    <t>Gateway Bekal</t>
  </si>
  <si>
    <t xml:space="preserve">The Ritz-Carlton, Pune </t>
  </si>
  <si>
    <t xml:space="preserve">Courtyard by Marriott Nashik </t>
  </si>
  <si>
    <t>Taj Swarna, Amritsar</t>
  </si>
  <si>
    <t>Hotel KC Residency</t>
  </si>
  <si>
    <t xml:space="preserve">Hotel KLB Grand
</t>
  </si>
  <si>
    <t>Cult gym</t>
  </si>
  <si>
    <t>Sybarite Salon</t>
  </si>
  <si>
    <t xml:space="preserve">Lakme salon </t>
  </si>
  <si>
    <t xml:space="preserve">Looks Salon </t>
  </si>
  <si>
    <t xml:space="preserve">Looks saloon </t>
  </si>
  <si>
    <t xml:space="preserve">Jawed Habib,
</t>
  </si>
  <si>
    <t xml:space="preserve">Envi Salon &amp; Spa </t>
  </si>
  <si>
    <t>ITC RAJPUTANA</t>
  </si>
  <si>
    <t xml:space="preserve">Tattva Wellness Spa
</t>
  </si>
  <si>
    <t>May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</si>
</sst>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242424"/>
      <name val="Calibri"/>
      <family val="2"/>
    </font>
    <font>
      <sz val="12"/>
      <color theme="1"/>
      <name val="Calibri"/>
      <family val="2"/>
    </font>
    <font>
      <sz val="11"/>
      <color rgb="FF1F1F1F"/>
      <name val="Calibri"/>
      <family val="2"/>
    </font>
    <font>
      <sz val="8"/>
      <color rgb="FF1F497D"/>
      <name val="Verdana"/>
      <family val="2"/>
    </font>
    <font>
      <sz val="11"/>
      <color rgb="FF202124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0" fillId="4" borderId="2" applyNumberFormat="0" applyAlignment="0" applyProtection="0">
      <alignment horizontal="left" vertical="center" indent="1"/>
    </xf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14" fontId="2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3" fontId="3" fillId="9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SAPMemberCell" xfId="2" xr:uid="{6CA61FF1-8664-411D-95CC-7DF557CDB772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armeet_storyexp_com/Documents/Desktop/Parmeet%20-%20Story/HAVELLS%20Program/Billing%20&amp;%20Payments/6th%20Billing%20-%20May'26/Havells%20May%20Billing%20Working.xlsx" TargetMode="External"/><Relationship Id="rId2" Type="http://schemas.openxmlformats.org/officeDocument/2006/relationships/externalLinkPath" Target="https://storyexperiencespvtltd-my.sharepoint.com/personal/parmeet_storyexp_com/Documents/Desktop/Parmeet%20-%20Story/HAVELLS%20Program/Billing%20&amp;%20Payments/6th%20Billing%20-%20May'26/Havells%20May%20Billing%20Working.xlsx" TargetMode="External"/><Relationship Id="rId1" Type="http://schemas.openxmlformats.org/officeDocument/2006/relationships/externalLinkPath" Target="/personal/parmeet_storyexp_com/Documents/Desktop/Parmeet%20-%20Story/HAVELLS%20Program/Billing%20&amp;%20Payments/6th%20Billing%20-%20May'26/Havells%20May%20Billing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ryexperiencespvtltd-my.sharepoint.com/personal/parmeet_storyexp_com/Documents/Desktop/Parmeet%20-%20Story/HAVELLS%20Program/Billing%20&amp;%20Payments/5th%20Billing%20-%20Apr'26/Havells%20Sambandh%20_Additional%20Cost%20Approval%20_Apr'26.xlsx" TargetMode="External"/><Relationship Id="rId1" Type="http://schemas.openxmlformats.org/officeDocument/2006/relationships/externalLinkPath" Target="Havells%20Sambandh%20_Additional%20Cost%20Approval%20_Apr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 MONTH"/>
    </sheetNames>
    <sheetDataSet>
      <sheetData sheetId="0">
        <row r="1">
          <cell r="B1" t="str">
            <v>Dealer Code</v>
          </cell>
          <cell r="C1" t="str">
            <v>Firm Name</v>
          </cell>
        </row>
        <row r="2">
          <cell r="B2" t="str">
            <v>CAM0375</v>
          </cell>
          <cell r="C2" t="str">
            <v>Ambica Electricals</v>
          </cell>
        </row>
        <row r="3">
          <cell r="B3" t="str">
            <v>CBR0195</v>
          </cell>
          <cell r="C3" t="str">
            <v>Branz Hexa India Private Limited</v>
          </cell>
        </row>
        <row r="4">
          <cell r="B4" t="str">
            <v>CRA1613</v>
          </cell>
          <cell r="C4" t="str">
            <v>Rakhi Traders</v>
          </cell>
        </row>
        <row r="5">
          <cell r="B5" t="str">
            <v>CSA2472</v>
          </cell>
          <cell r="C5" t="str">
            <v>SAFFRON SOLAR SYSTEMS</v>
          </cell>
        </row>
        <row r="6">
          <cell r="B6" t="str">
            <v>CJJ0024</v>
          </cell>
          <cell r="C6" t="str">
            <v>J J Traders</v>
          </cell>
        </row>
        <row r="7">
          <cell r="B7" t="str">
            <v>CAD0630</v>
          </cell>
          <cell r="C7" t="str">
            <v>Adithi Business Solutions</v>
          </cell>
        </row>
        <row r="8">
          <cell r="B8" t="str">
            <v>CHI0083</v>
          </cell>
          <cell r="C8" t="str">
            <v>Hindustan Electric Corporation</v>
          </cell>
        </row>
        <row r="9">
          <cell r="B9" t="str">
            <v>CNE1037</v>
          </cell>
          <cell r="C9" t="str">
            <v>Neeraj Traders</v>
          </cell>
        </row>
        <row r="10">
          <cell r="B10" t="str">
            <v>CRA0677</v>
          </cell>
          <cell r="C10" t="str">
            <v>Radiant Hardware</v>
          </cell>
        </row>
        <row r="11">
          <cell r="B11" t="str">
            <v>CUN0042</v>
          </cell>
          <cell r="C11" t="str">
            <v>Universal Electricals</v>
          </cell>
        </row>
        <row r="12">
          <cell r="B12" t="str">
            <v>CMM0025</v>
          </cell>
          <cell r="C12" t="str">
            <v>M.M Traders</v>
          </cell>
        </row>
        <row r="13">
          <cell r="B13" t="str">
            <v>CLI0300</v>
          </cell>
          <cell r="C13" t="str">
            <v>Live Wire Tech Services Llp</v>
          </cell>
        </row>
        <row r="14">
          <cell r="B14" t="str">
            <v xml:space="preserve">CKR0436 </v>
          </cell>
          <cell r="C14" t="str">
            <v>Krish Enterprisess</v>
          </cell>
        </row>
        <row r="15">
          <cell r="B15" t="str">
            <v>CJI0245</v>
          </cell>
          <cell r="C15" t="str">
            <v>JIBIN ELECTRICALS &amp; HOME APPLIANCES</v>
          </cell>
        </row>
        <row r="16">
          <cell r="B16" t="str">
            <v>CEM0125</v>
          </cell>
          <cell r="C16" t="str">
            <v>EMAC AUTOMATION SOLUTIONS INDIA PRI</v>
          </cell>
        </row>
        <row r="17">
          <cell r="B17" t="str">
            <v>CSH3891</v>
          </cell>
          <cell r="C17" t="str">
            <v>Shree Ganesh Traders</v>
          </cell>
        </row>
        <row r="18">
          <cell r="B18" t="str">
            <v>CSH0701</v>
          </cell>
          <cell r="C18" t="str">
            <v>Shivam Electricals</v>
          </cell>
        </row>
        <row r="19">
          <cell r="B19" t="str">
            <v>CSU0821</v>
          </cell>
          <cell r="C19" t="str">
            <v>Success Enterprises</v>
          </cell>
        </row>
        <row r="20">
          <cell r="B20" t="str">
            <v>CPI0176</v>
          </cell>
          <cell r="C20" t="str">
            <v>Pipeco</v>
          </cell>
        </row>
        <row r="21">
          <cell r="B21" t="str">
            <v>CSP0007</v>
          </cell>
          <cell r="C21" t="str">
            <v>S P Electrical Industries</v>
          </cell>
        </row>
        <row r="22">
          <cell r="B22" t="str">
            <v>CEL0179</v>
          </cell>
          <cell r="C22" t="str">
            <v>Elmec</v>
          </cell>
        </row>
        <row r="23">
          <cell r="B23" t="str">
            <v>CNE0588</v>
          </cell>
          <cell r="C23" t="str">
            <v>New Kable Point</v>
          </cell>
        </row>
        <row r="24">
          <cell r="B24" t="str">
            <v>CPA0760</v>
          </cell>
          <cell r="C24" t="str">
            <v>Patna Machinery Stores</v>
          </cell>
        </row>
        <row r="25">
          <cell r="B25" t="str">
            <v>CIM0048</v>
          </cell>
          <cell r="C25" t="str">
            <v>Impex Distribution Llp</v>
          </cell>
        </row>
        <row r="26">
          <cell r="B26" t="str">
            <v>CLI0035</v>
          </cell>
          <cell r="C26" t="str">
            <v>Light Centre</v>
          </cell>
        </row>
        <row r="27">
          <cell r="B27" t="str">
            <v>CGA0584</v>
          </cell>
          <cell r="C27" t="str">
            <v>Gandhi Electric Stores</v>
          </cell>
        </row>
        <row r="28">
          <cell r="B28" t="str">
            <v>CNA1282</v>
          </cell>
          <cell r="C28" t="str">
            <v>NANKIA ELECTRICALS</v>
          </cell>
        </row>
        <row r="29">
          <cell r="B29" t="str">
            <v>CKO0212</v>
          </cell>
          <cell r="C29" t="str">
            <v>KOHLI TRADERS</v>
          </cell>
        </row>
        <row r="30">
          <cell r="B30" t="str">
            <v>CBH0019</v>
          </cell>
          <cell r="C30" t="str">
            <v>Bhutani Electric Store</v>
          </cell>
        </row>
        <row r="31">
          <cell r="B31" t="str">
            <v>CGA0837</v>
          </cell>
          <cell r="C31" t="str">
            <v>GAYATRI SALES AND SERVICE PRIVATE L</v>
          </cell>
        </row>
        <row r="32">
          <cell r="B32" t="str">
            <v>CBH1045</v>
          </cell>
          <cell r="C32" t="str">
            <v>Bhagwati Integrated Solutions Pvt L</v>
          </cell>
        </row>
        <row r="33">
          <cell r="B33" t="str">
            <v>CES0095</v>
          </cell>
          <cell r="C33" t="str">
            <v>Eskay Agencies</v>
          </cell>
        </row>
        <row r="34">
          <cell r="B34" t="str">
            <v>CNA1208</v>
          </cell>
          <cell r="C34" t="str">
            <v>Naina Infotech</v>
          </cell>
        </row>
        <row r="35">
          <cell r="B35" t="str">
            <v>CJA0292</v>
          </cell>
          <cell r="C35" t="str">
            <v>Jain Trading Company</v>
          </cell>
        </row>
        <row r="36">
          <cell r="B36" t="str">
            <v>CIM0007</v>
          </cell>
          <cell r="C36" t="str">
            <v>Imperial Shah Store</v>
          </cell>
        </row>
        <row r="37">
          <cell r="B37" t="str">
            <v xml:space="preserve">CTH0482 </v>
          </cell>
          <cell r="C37" t="str">
            <v>Thirupathy Electricals Sanitaryware</v>
          </cell>
        </row>
        <row r="38">
          <cell r="B38" t="str">
            <v>CVE0497</v>
          </cell>
          <cell r="C38" t="str">
            <v>Venu Electrical Center</v>
          </cell>
        </row>
        <row r="39">
          <cell r="B39" t="str">
            <v>CCH0485</v>
          </cell>
          <cell r="C39" t="str">
            <v>Chandana Appliances</v>
          </cell>
        </row>
        <row r="40">
          <cell r="B40" t="str">
            <v>CRA0822</v>
          </cell>
          <cell r="C40" t="str">
            <v>Rameshwaram Electricals</v>
          </cell>
        </row>
        <row r="41">
          <cell r="B41" t="str">
            <v>CMA3026</v>
          </cell>
          <cell r="C41" t="str">
            <v>Marissa Connect</v>
          </cell>
        </row>
        <row r="42">
          <cell r="B42" t="str">
            <v>CKI0001</v>
          </cell>
          <cell r="C42" t="str">
            <v>Kiran Electrical</v>
          </cell>
        </row>
        <row r="43">
          <cell r="B43" t="str">
            <v>CSR0840</v>
          </cell>
          <cell r="C43" t="str">
            <v>Sri Nagneswari Industries</v>
          </cell>
        </row>
        <row r="44">
          <cell r="B44" t="str">
            <v>CJA1462</v>
          </cell>
          <cell r="C44" t="str">
            <v>Jay Ambey Associate</v>
          </cell>
        </row>
        <row r="45">
          <cell r="B45" t="str">
            <v>CMA1694</v>
          </cell>
          <cell r="C45" t="str">
            <v>Manichanda Marketing</v>
          </cell>
        </row>
        <row r="46">
          <cell r="B46" t="str">
            <v>COM0121</v>
          </cell>
          <cell r="C46" t="str">
            <v>Omkar Electricals</v>
          </cell>
        </row>
        <row r="47">
          <cell r="B47" t="str">
            <v>CDI1094</v>
          </cell>
          <cell r="C47" t="str">
            <v>Diya Communications</v>
          </cell>
        </row>
        <row r="48">
          <cell r="B48" t="str">
            <v>CVA0782</v>
          </cell>
          <cell r="C48" t="str">
            <v>Varkey &amp; Sons Communication</v>
          </cell>
        </row>
        <row r="49">
          <cell r="B49" t="str">
            <v>CGA0289</v>
          </cell>
          <cell r="C49" t="str">
            <v>Ganpati Enterprises</v>
          </cell>
        </row>
        <row r="50">
          <cell r="B50" t="str">
            <v xml:space="preserve">CGE0033 </v>
          </cell>
          <cell r="C50" t="str">
            <v>Geeta Stores</v>
          </cell>
        </row>
        <row r="51">
          <cell r="B51" t="str">
            <v>CKH0189</v>
          </cell>
          <cell r="C51" t="str">
            <v>Khushi Electronics And Home Applian</v>
          </cell>
        </row>
        <row r="52">
          <cell r="B52" t="str">
            <v>CJS0074</v>
          </cell>
          <cell r="C52" t="str">
            <v>Js Electromate</v>
          </cell>
        </row>
        <row r="53">
          <cell r="B53" t="str">
            <v>CRA0861</v>
          </cell>
          <cell r="C53" t="str">
            <v xml:space="preserve">Ratwan Light House </v>
          </cell>
        </row>
        <row r="54">
          <cell r="B54" t="str">
            <v>CLE0060</v>
          </cell>
          <cell r="C54" t="str">
            <v>ELECTRO TRADERS</v>
          </cell>
        </row>
        <row r="55">
          <cell r="B55" t="str">
            <v>CSP0869</v>
          </cell>
          <cell r="C55" t="str">
            <v>SPARK ELECTRICALS</v>
          </cell>
        </row>
        <row r="56">
          <cell r="B56" t="str">
            <v>CCI0091</v>
          </cell>
          <cell r="C56" t="str">
            <v>City Lights</v>
          </cell>
        </row>
        <row r="57">
          <cell r="B57" t="str">
            <v>CSS6055</v>
          </cell>
          <cell r="C57" t="str">
            <v>S.s. Enterprises</v>
          </cell>
        </row>
        <row r="58">
          <cell r="B58" t="str">
            <v>CSH3959</v>
          </cell>
          <cell r="C58" t="str">
            <v>Shreeji Electricals</v>
          </cell>
        </row>
        <row r="59">
          <cell r="B59" t="str">
            <v>CDE0720</v>
          </cell>
          <cell r="C59" t="str">
            <v>Deepam Electricals</v>
          </cell>
        </row>
        <row r="60">
          <cell r="B60" t="str">
            <v>CPR1088</v>
          </cell>
          <cell r="C60" t="str">
            <v xml:space="preserve">Prakash Enterprises </v>
          </cell>
        </row>
        <row r="61">
          <cell r="B61" t="str">
            <v>CME0012</v>
          </cell>
          <cell r="C61" t="str">
            <v>Mercury Agencies</v>
          </cell>
        </row>
        <row r="62">
          <cell r="B62" t="str">
            <v>CAG0220</v>
          </cell>
          <cell r="C62" t="str">
            <v>Aggarwal Electrical Store</v>
          </cell>
        </row>
        <row r="63">
          <cell r="B63" t="str">
            <v>CAC0158</v>
          </cell>
          <cell r="C63" t="str">
            <v>Ace Marketing</v>
          </cell>
        </row>
        <row r="64">
          <cell r="B64" t="str">
            <v>CGE0252</v>
          </cell>
          <cell r="C64" t="str">
            <v>Genisys Engineers And Contractors</v>
          </cell>
        </row>
        <row r="65">
          <cell r="B65" t="str">
            <v>CVE0223</v>
          </cell>
          <cell r="C65" t="str">
            <v>Venus Marketing</v>
          </cell>
        </row>
        <row r="66">
          <cell r="B66" t="str">
            <v>CAM2769</v>
          </cell>
          <cell r="C66" t="str">
            <v>A M S ELECTRICALS</v>
          </cell>
        </row>
        <row r="67">
          <cell r="B67" t="str">
            <v>CNE1200</v>
          </cell>
          <cell r="C67" t="str">
            <v>New Umiya Electric Company</v>
          </cell>
        </row>
        <row r="68">
          <cell r="B68" t="str">
            <v>CSR5849</v>
          </cell>
          <cell r="C68" t="str">
            <v>Sri Shiava Agencies- Galaxy-Khammam</v>
          </cell>
        </row>
        <row r="69">
          <cell r="B69" t="str">
            <v>CMV0022</v>
          </cell>
          <cell r="C69" t="str">
            <v>Mv Raj Sales Private Limited</v>
          </cell>
        </row>
        <row r="70">
          <cell r="B70" t="str">
            <v>Cga0487</v>
          </cell>
          <cell r="C70" t="str">
            <v>G And G Agencies</v>
          </cell>
        </row>
        <row r="71">
          <cell r="B71" t="str">
            <v>CSR1011</v>
          </cell>
          <cell r="C71" t="str">
            <v>Sree Krishna Associates</v>
          </cell>
        </row>
        <row r="72">
          <cell r="B72" t="str">
            <v>CRS0032</v>
          </cell>
          <cell r="C72" t="str">
            <v>R.S. Electricals</v>
          </cell>
        </row>
        <row r="73">
          <cell r="B73" t="str">
            <v>CSR0299</v>
          </cell>
          <cell r="C73" t="str">
            <v>Sri Krishna Electricals</v>
          </cell>
        </row>
        <row r="74">
          <cell r="B74" t="str">
            <v>CME0919</v>
          </cell>
          <cell r="C74" t="str">
            <v>Medistar Agencies</v>
          </cell>
        </row>
        <row r="75">
          <cell r="B75" t="str">
            <v>CAM0050</v>
          </cell>
          <cell r="C75" t="str">
            <v>Ambe Electrical And Hardware Stores</v>
          </cell>
        </row>
        <row r="76">
          <cell r="B76" t="str">
            <v>CSH0022</v>
          </cell>
          <cell r="C76" t="str">
            <v>Shiv Electric Works</v>
          </cell>
        </row>
        <row r="77">
          <cell r="B77" t="str">
            <v>CUT0099</v>
          </cell>
          <cell r="C77" t="str">
            <v>Utkarsh Enterprises</v>
          </cell>
        </row>
        <row r="78">
          <cell r="B78" t="str">
            <v>CSE1006</v>
          </cell>
          <cell r="C78" t="str">
            <v>Sethi Electricals</v>
          </cell>
        </row>
        <row r="79">
          <cell r="B79" t="str">
            <v>CSK0101</v>
          </cell>
          <cell r="C79" t="str">
            <v>S.K. Electric</v>
          </cell>
        </row>
        <row r="80">
          <cell r="B80" t="str">
            <v>CUK0016</v>
          </cell>
          <cell r="C80" t="str">
            <v>UK ENTERPRISES</v>
          </cell>
        </row>
        <row r="81">
          <cell r="B81" t="str">
            <v>CHI0139</v>
          </cell>
          <cell r="C81" t="str">
            <v>Hi Light Enteprises</v>
          </cell>
        </row>
        <row r="82">
          <cell r="B82" t="str">
            <v>CGS0050</v>
          </cell>
          <cell r="C82" t="str">
            <v>G S Traders</v>
          </cell>
        </row>
        <row r="83">
          <cell r="B83" t="str">
            <v>CKR0043</v>
          </cell>
          <cell r="C83" t="str">
            <v>Krishna Electric And General Store</v>
          </cell>
        </row>
        <row r="84">
          <cell r="B84" t="str">
            <v>CMA0357</v>
          </cell>
          <cell r="C84" t="str">
            <v>Mamta Sales Corporation</v>
          </cell>
        </row>
        <row r="85">
          <cell r="B85" t="str">
            <v>CGO0033</v>
          </cell>
          <cell r="C85" t="str">
            <v>Govind Electric Co.</v>
          </cell>
        </row>
        <row r="86">
          <cell r="B86" t="str">
            <v>CHI0096</v>
          </cell>
          <cell r="C86" t="str">
            <v>Hira Electric Company</v>
          </cell>
        </row>
        <row r="87">
          <cell r="B87" t="str">
            <v>CVA0738</v>
          </cell>
          <cell r="C87" t="str">
            <v>Vaibhav electric inc</v>
          </cell>
        </row>
        <row r="88">
          <cell r="B88" t="str">
            <v>CME1158</v>
          </cell>
          <cell r="C88" t="str">
            <v xml:space="preserve">Mentor Water Experts Private Limited </v>
          </cell>
        </row>
        <row r="89">
          <cell r="B89" t="str">
            <v>CMA1579</v>
          </cell>
          <cell r="C89" t="str">
            <v>Mayur Electric Company</v>
          </cell>
        </row>
        <row r="90">
          <cell r="B90" t="str">
            <v>CDA0363</v>
          </cell>
          <cell r="C90" t="str">
            <v>DASHMESH ELECTRICAL</v>
          </cell>
        </row>
        <row r="91">
          <cell r="B91" t="str">
            <v>CAV0150</v>
          </cell>
          <cell r="C91" t="str">
            <v>AVR Electricials &amp; Snantary</v>
          </cell>
        </row>
        <row r="92">
          <cell r="B92" t="str">
            <v>CSA0664</v>
          </cell>
          <cell r="C92" t="str">
            <v>Sai Teja Electricals</v>
          </cell>
        </row>
        <row r="93">
          <cell r="B93" t="str">
            <v>CDH0040</v>
          </cell>
          <cell r="C93" t="str">
            <v>Darshan Electricals</v>
          </cell>
        </row>
        <row r="94">
          <cell r="B94" t="str">
            <v>CSA0177</v>
          </cell>
          <cell r="C94" t="str">
            <v>Samu Electricals</v>
          </cell>
        </row>
        <row r="95">
          <cell r="B95" t="str">
            <v>CGA0621</v>
          </cell>
          <cell r="C95" t="str">
            <v>Ganesh Electricals And Hardares</v>
          </cell>
        </row>
        <row r="96">
          <cell r="B96" t="str">
            <v>CWH0031</v>
          </cell>
          <cell r="C96" t="str">
            <v>WHITE HOUSE MARKETING</v>
          </cell>
        </row>
        <row r="97">
          <cell r="B97" t="str">
            <v>CRA0001</v>
          </cell>
          <cell r="C97" t="str">
            <v>Radio Electric Emporium</v>
          </cell>
        </row>
        <row r="98">
          <cell r="B98" t="str">
            <v>CKH0054</v>
          </cell>
          <cell r="C98" t="str">
            <v>Khalsa electric Co</v>
          </cell>
        </row>
        <row r="99">
          <cell r="B99" t="str">
            <v>CGO0580</v>
          </cell>
          <cell r="C99" t="str">
            <v>Gopal Enterprises</v>
          </cell>
        </row>
        <row r="100">
          <cell r="B100" t="str">
            <v>CAL1169</v>
          </cell>
          <cell r="C100" t="str">
            <v xml:space="preserve">Alsafa Trading Company </v>
          </cell>
        </row>
        <row r="101">
          <cell r="B101" t="str">
            <v>CVE0722</v>
          </cell>
          <cell r="C101" t="str">
            <v>VERMA ELECTRIC STORE</v>
          </cell>
        </row>
        <row r="102">
          <cell r="B102" t="str">
            <v>CRS0107</v>
          </cell>
          <cell r="C102" t="str">
            <v>RS Battery</v>
          </cell>
        </row>
        <row r="103">
          <cell r="B103" t="str">
            <v>CSH2836</v>
          </cell>
          <cell r="C103" t="str">
            <v xml:space="preserve">Sharma Communication </v>
          </cell>
        </row>
        <row r="104">
          <cell r="B104" t="str">
            <v>CIL0020</v>
          </cell>
          <cell r="C104" t="str">
            <v>Illumina Controls</v>
          </cell>
        </row>
        <row r="105">
          <cell r="B105" t="str">
            <v>CAK0164</v>
          </cell>
          <cell r="C105" t="str">
            <v>Akshar Sales Corporation</v>
          </cell>
        </row>
        <row r="106">
          <cell r="B106" t="str">
            <v>CAD0553</v>
          </cell>
          <cell r="C106" t="str">
            <v>Adhithyan Solar Power Solutions</v>
          </cell>
        </row>
        <row r="107">
          <cell r="B107" t="str">
            <v>CMK0027</v>
          </cell>
          <cell r="C107" t="str">
            <v>MK DISTRIBUTOR GALAXY</v>
          </cell>
        </row>
        <row r="108">
          <cell r="B108" t="str">
            <v>CKV0016</v>
          </cell>
          <cell r="C108" t="str">
            <v>K V R Enterprises</v>
          </cell>
        </row>
        <row r="109">
          <cell r="B109" t="str">
            <v>CNE0226</v>
          </cell>
          <cell r="C109" t="str">
            <v>New Bright Electrcals</v>
          </cell>
        </row>
        <row r="110">
          <cell r="B110" t="str">
            <v>CTE0394</v>
          </cell>
          <cell r="C110" t="str">
            <v>TERRA LIVE LUXURIOUSLY LLP</v>
          </cell>
        </row>
        <row r="111">
          <cell r="B111" t="str">
            <v>CSA0928</v>
          </cell>
          <cell r="C111" t="str">
            <v>Safiya Build Mart</v>
          </cell>
        </row>
        <row r="112">
          <cell r="B112" t="str">
            <v>CVO0053</v>
          </cell>
          <cell r="C112" t="str">
            <v>Vohra Electricals</v>
          </cell>
        </row>
        <row r="113">
          <cell r="B113" t="str">
            <v>CMI0201</v>
          </cell>
          <cell r="C113" t="str">
            <v>Mittal Electricales</v>
          </cell>
        </row>
        <row r="114">
          <cell r="B114" t="str">
            <v>CSR0587</v>
          </cell>
          <cell r="C114" t="str">
            <v>Sri Raam Marketing</v>
          </cell>
        </row>
        <row r="115">
          <cell r="B115" t="str">
            <v>CAS0367</v>
          </cell>
          <cell r="C115" t="str">
            <v>Ashish Sales</v>
          </cell>
        </row>
        <row r="116">
          <cell r="B116" t="str">
            <v>CRA1969</v>
          </cell>
          <cell r="C116" t="str">
            <v>Rajeev Electricals</v>
          </cell>
        </row>
        <row r="117">
          <cell r="B117" t="str">
            <v>CPA0273</v>
          </cell>
          <cell r="C117" t="str">
            <v>Pawar Electrical Store</v>
          </cell>
        </row>
        <row r="118">
          <cell r="B118" t="str">
            <v>CRE1194</v>
          </cell>
          <cell r="C118" t="str">
            <v>Renergy Systems India Private Limited</v>
          </cell>
        </row>
        <row r="119">
          <cell r="B119" t="str">
            <v>CKU0095</v>
          </cell>
          <cell r="C119" t="str">
            <v>Kumar Electric Store</v>
          </cell>
        </row>
        <row r="120">
          <cell r="B120" t="str">
            <v>CSU1660</v>
          </cell>
          <cell r="C120" t="str">
            <v>SUMI AGENCIES</v>
          </cell>
        </row>
        <row r="121">
          <cell r="B121" t="str">
            <v>CBI0361</v>
          </cell>
          <cell r="C121" t="str">
            <v>BILAL SUPER SHINE</v>
          </cell>
        </row>
        <row r="122">
          <cell r="B122" t="str">
            <v>Csm0075</v>
          </cell>
          <cell r="C122" t="str">
            <v>S. M. Trading Company</v>
          </cell>
        </row>
        <row r="123">
          <cell r="B123" t="str">
            <v>CAS0716</v>
          </cell>
          <cell r="C123" t="str">
            <v>Assam Supply Syndicate</v>
          </cell>
        </row>
        <row r="124">
          <cell r="B124" t="str">
            <v>CJY0074</v>
          </cell>
          <cell r="C124" t="str">
            <v>Jyoti Bijli Ghar</v>
          </cell>
        </row>
        <row r="125">
          <cell r="B125" t="str">
            <v>CPA0759</v>
          </cell>
          <cell r="C125" t="str">
            <v>Parayil Agencies</v>
          </cell>
        </row>
        <row r="126">
          <cell r="B126" t="str">
            <v>CTI0223</v>
          </cell>
          <cell r="C126" t="str">
            <v>Tiwari Machinery Tools</v>
          </cell>
        </row>
        <row r="127">
          <cell r="B127" t="str">
            <v>CEL0311</v>
          </cell>
          <cell r="C127" t="str">
            <v>Electric Ghar</v>
          </cell>
        </row>
        <row r="128">
          <cell r="B128" t="str">
            <v>CCO0139</v>
          </cell>
          <cell r="C128" t="str">
            <v>Coverage Agencies</v>
          </cell>
        </row>
        <row r="129">
          <cell r="B129" t="str">
            <v>CKA1098</v>
          </cell>
          <cell r="C129" t="str">
            <v>Kanha Enterprises</v>
          </cell>
        </row>
        <row r="130">
          <cell r="B130" t="str">
            <v>CSH3125</v>
          </cell>
          <cell r="C130" t="str">
            <v>Shree Gajanan Enterprise</v>
          </cell>
        </row>
        <row r="131">
          <cell r="B131" t="str">
            <v>CMA2410</v>
          </cell>
          <cell r="C131" t="str">
            <v>Mansoor Iron Works</v>
          </cell>
        </row>
        <row r="132">
          <cell r="B132" t="str">
            <v>CSW0109</v>
          </cell>
          <cell r="C132" t="str">
            <v>Swastik Enterprises</v>
          </cell>
        </row>
        <row r="133">
          <cell r="B133" t="str">
            <v>CSR0213</v>
          </cell>
          <cell r="C133" t="str">
            <v>Sree Ganesh Enterprises</v>
          </cell>
        </row>
        <row r="134">
          <cell r="B134" t="str">
            <v>CSR0846</v>
          </cell>
          <cell r="C134" t="str">
            <v>Laxmi Ganesh Distributors</v>
          </cell>
        </row>
        <row r="135">
          <cell r="B135" t="str">
            <v>CPO0525/CPO0151</v>
          </cell>
          <cell r="C135" t="str">
            <v>Pooja Electricals</v>
          </cell>
        </row>
        <row r="136">
          <cell r="B136" t="str">
            <v>CKU0341</v>
          </cell>
          <cell r="C136" t="str">
            <v>Kumaran Home Decors</v>
          </cell>
        </row>
        <row r="137">
          <cell r="B137" t="str">
            <v>CPA0919</v>
          </cell>
          <cell r="C137" t="str">
            <v>Pandian Plastic Traders</v>
          </cell>
        </row>
        <row r="138">
          <cell r="B138" t="str">
            <v>CAN1196</v>
          </cell>
          <cell r="C138" t="str">
            <v>ANNAI MARKETING</v>
          </cell>
        </row>
        <row r="139">
          <cell r="B139" t="str">
            <v>CUN0498</v>
          </cell>
          <cell r="C139" t="str">
            <v>Unity Engineers</v>
          </cell>
        </row>
        <row r="140">
          <cell r="B140" t="str">
            <v>CJA1010</v>
          </cell>
          <cell r="C140" t="str">
            <v>Jay Hind Electricals</v>
          </cell>
        </row>
        <row r="141">
          <cell r="B141" t="str">
            <v>CDU0079</v>
          </cell>
          <cell r="C141" t="str">
            <v xml:space="preserve">Durga Agencis </v>
          </cell>
        </row>
        <row r="142">
          <cell r="B142" t="str">
            <v>CIN0161</v>
          </cell>
          <cell r="C142" t="str">
            <v>INDUSTRIAL SUPPLIERS ENGINEERS</v>
          </cell>
        </row>
        <row r="143">
          <cell r="B143" t="str">
            <v>Cma0013</v>
          </cell>
          <cell r="C143" t="str">
            <v>Mahaveer Electricals</v>
          </cell>
        </row>
        <row r="144">
          <cell r="B144" t="str">
            <v>CRA2177</v>
          </cell>
          <cell r="C144" t="str">
            <v>RAJPUROHIT ELECTRICALS</v>
          </cell>
        </row>
        <row r="145">
          <cell r="B145" t="str">
            <v xml:space="preserve">CBE0056 </v>
          </cell>
          <cell r="C145" t="str">
            <v>Best Marketing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Dealer Code</v>
          </cell>
          <cell r="C1" t="str">
            <v>Firm Name</v>
          </cell>
          <cell r="D1" t="str">
            <v>Dealer/Partner Name</v>
          </cell>
          <cell r="E1" t="str">
            <v>City</v>
          </cell>
          <cell r="F1" t="str">
            <v>State</v>
          </cell>
          <cell r="G1" t="str">
            <v>Dine-Out/Salon/Spa/
Photoshoot/Concert</v>
          </cell>
          <cell r="H1" t="str">
            <v>Hotel/Restaurant/Salon/Photoshoot/Concert Name</v>
          </cell>
          <cell r="I1" t="str">
            <v>Total Pax</v>
          </cell>
          <cell r="J1" t="str">
            <v>Additional Cost</v>
          </cell>
        </row>
        <row r="2">
          <cell r="B2" t="str">
            <v>CIN0207</v>
          </cell>
          <cell r="C2" t="str">
            <v>Indira Enterprisers</v>
          </cell>
          <cell r="D2" t="str">
            <v>Minati (Hassukh)</v>
          </cell>
          <cell r="E2" t="str">
            <v>Bhubaneswar</v>
          </cell>
          <cell r="F2" t="str">
            <v>Odisha</v>
          </cell>
          <cell r="G2" t="str">
            <v>Salon</v>
          </cell>
          <cell r="H2" t="str">
            <v>Looks Salon</v>
          </cell>
          <cell r="I2" t="str">
            <v>2 Adult</v>
          </cell>
          <cell r="J2">
            <v>2600</v>
          </cell>
        </row>
        <row r="3">
          <cell r="B3" t="str">
            <v>CNE0666</v>
          </cell>
          <cell r="C3" t="str">
            <v>Newtec Industries</v>
          </cell>
          <cell r="D3" t="str">
            <v>Pushpa</v>
          </cell>
          <cell r="E3" t="str">
            <v>Haldwani</v>
          </cell>
          <cell r="F3" t="str">
            <v>Uttarakhand</v>
          </cell>
          <cell r="G3" t="str">
            <v>Salon</v>
          </cell>
          <cell r="H3" t="str">
            <v>Relax Unisex Salon Bridal Makeup Studio</v>
          </cell>
          <cell r="I3" t="str">
            <v>2 Adult</v>
          </cell>
          <cell r="J3">
            <v>1000</v>
          </cell>
        </row>
        <row r="4">
          <cell r="B4" t="str">
            <v>CPU0194</v>
          </cell>
          <cell r="C4" t="str">
            <v>Pushpa Sales And Service</v>
          </cell>
          <cell r="D4" t="str">
            <v>Suresh Kumawat</v>
          </cell>
          <cell r="E4" t="str">
            <v>Tiswadi</v>
          </cell>
          <cell r="F4" t="str">
            <v>Goa</v>
          </cell>
          <cell r="G4" t="str">
            <v>Salon</v>
          </cell>
          <cell r="H4" t="str">
            <v>Snip</v>
          </cell>
          <cell r="I4" t="str">
            <v>2 Adult</v>
          </cell>
          <cell r="J4">
            <v>868</v>
          </cell>
        </row>
        <row r="5">
          <cell r="B5" t="str">
            <v>CME0120</v>
          </cell>
          <cell r="C5" t="str">
            <v>Mehul Enterprises</v>
          </cell>
          <cell r="D5" t="str">
            <v>Bhavana Shah</v>
          </cell>
          <cell r="E5" t="str">
            <v>Mumbai</v>
          </cell>
          <cell r="F5" t="str">
            <v>Mumbai</v>
          </cell>
          <cell r="G5" t="str">
            <v>Dine-Out</v>
          </cell>
          <cell r="H5" t="str">
            <v xml:space="preserve">Avtara </v>
          </cell>
          <cell r="I5" t="str">
            <v>2 Adult</v>
          </cell>
          <cell r="J5">
            <v>1493</v>
          </cell>
        </row>
        <row r="6">
          <cell r="B6" t="str">
            <v>CSA0307</v>
          </cell>
          <cell r="C6" t="str">
            <v>Samir Electricals</v>
          </cell>
          <cell r="D6" t="str">
            <v>Samir S. Korgaonkar</v>
          </cell>
          <cell r="E6" t="str">
            <v>Goa</v>
          </cell>
          <cell r="F6" t="str">
            <v>Goa</v>
          </cell>
          <cell r="G6" t="str">
            <v>Spa</v>
          </cell>
          <cell r="H6" t="str">
            <v>Sohum Spa – Grand Hyatt Goa</v>
          </cell>
          <cell r="I6" t="str">
            <v>2 Adult</v>
          </cell>
          <cell r="J6">
            <v>915</v>
          </cell>
        </row>
        <row r="7">
          <cell r="B7" t="str">
            <v>CRA0321</v>
          </cell>
          <cell r="C7" t="str">
            <v>Rahul Cables Pvt. Ltd.</v>
          </cell>
          <cell r="D7" t="str">
            <v>Ashok Kukreja</v>
          </cell>
          <cell r="E7" t="str">
            <v>PUNE</v>
          </cell>
          <cell r="F7" t="str">
            <v>Pune</v>
          </cell>
          <cell r="G7" t="str">
            <v>Dine-Out</v>
          </cell>
          <cell r="H7" t="str">
            <v>The Ritz-Carlton, Pune (Ukiyo - Restaurant)</v>
          </cell>
          <cell r="I7" t="str">
            <v>2 adults + 2 kids (5 and 8yrs)</v>
          </cell>
          <cell r="J7">
            <v>8231</v>
          </cell>
        </row>
        <row r="8">
          <cell r="B8" t="str">
            <v>CSG0015</v>
          </cell>
          <cell r="C8" t="str">
            <v>S.Govindasamy And Sons</v>
          </cell>
          <cell r="D8" t="str">
            <v>RAJADURAI R</v>
          </cell>
          <cell r="E8" t="str">
            <v>Kumbakonam</v>
          </cell>
          <cell r="F8" t="str">
            <v>Tamilnadu</v>
          </cell>
          <cell r="G8" t="str">
            <v>Dine-Out</v>
          </cell>
          <cell r="H8" t="str">
            <v>Radisson Blu Hotel, Chennai</v>
          </cell>
          <cell r="I8" t="str">
            <v>4 adults + 3 kids (12yrs and 2 below 4yrs)</v>
          </cell>
          <cell r="J8">
            <v>217</v>
          </cell>
        </row>
        <row r="9">
          <cell r="B9" t="str">
            <v>CPE0346</v>
          </cell>
          <cell r="C9" t="str">
            <v>Pershad Marketing Private Limited</v>
          </cell>
          <cell r="D9" t="str">
            <v>Ashish Pershad (Reshu Pershad 9818143762)</v>
          </cell>
          <cell r="E9" t="str">
            <v>Delhi</v>
          </cell>
          <cell r="F9" t="str">
            <v>New Delhi</v>
          </cell>
          <cell r="G9" t="str">
            <v>Salon</v>
          </cell>
          <cell r="H9" t="str">
            <v>Looks Salon Chandni Chowk at Omaxe</v>
          </cell>
          <cell r="I9" t="str">
            <v>1 adult</v>
          </cell>
          <cell r="J9">
            <v>500</v>
          </cell>
        </row>
        <row r="10">
          <cell r="B10" t="str">
            <v>CAR0613</v>
          </cell>
          <cell r="C10" t="str">
            <v>A. R Enterprises</v>
          </cell>
          <cell r="D10" t="str">
            <v xml:space="preserve">Rahul </v>
          </cell>
          <cell r="E10" t="str">
            <v>GURUGRAM</v>
          </cell>
          <cell r="F10" t="str">
            <v>Haryana</v>
          </cell>
          <cell r="G10" t="str">
            <v>Salon</v>
          </cell>
          <cell r="H10" t="str">
            <v>Looks Salon</v>
          </cell>
          <cell r="I10" t="str">
            <v>2 pax- Couple</v>
          </cell>
          <cell r="J10">
            <v>778</v>
          </cell>
        </row>
        <row r="11">
          <cell r="B11" t="str">
            <v>CSU1004</v>
          </cell>
          <cell r="C11" t="str">
            <v>SURESH ELECTRIC BOARD WORKS LTD</v>
          </cell>
          <cell r="D11" t="str">
            <v>SAURABH</v>
          </cell>
          <cell r="E11" t="str">
            <v>Jaipur</v>
          </cell>
          <cell r="F11" t="str">
            <v>Rajasthan</v>
          </cell>
          <cell r="G11" t="str">
            <v>Spa</v>
          </cell>
          <cell r="H11" t="str">
            <v>ITC Rajputana Kaya Kalp</v>
          </cell>
          <cell r="I11" t="str">
            <v>2 Adult</v>
          </cell>
          <cell r="J11">
            <v>3230</v>
          </cell>
        </row>
        <row r="12">
          <cell r="B12" t="str">
            <v>CSU1387</v>
          </cell>
          <cell r="C12" t="str">
            <v>Sushil Electricals</v>
          </cell>
          <cell r="D12" t="str">
            <v>Ankith Jain</v>
          </cell>
          <cell r="E12" t="str">
            <v>Bangalore</v>
          </cell>
          <cell r="F12" t="str">
            <v>Bangalore</v>
          </cell>
          <cell r="G12" t="str">
            <v>Spa</v>
          </cell>
          <cell r="H12" t="str">
            <v>The Ritz-Carlton Spa Bangalore</v>
          </cell>
          <cell r="I12" t="str">
            <v>3 Pax</v>
          </cell>
          <cell r="J12">
            <v>113</v>
          </cell>
        </row>
        <row r="13">
          <cell r="B13" t="str">
            <v>CKA0176</v>
          </cell>
          <cell r="C13" t="str">
            <v>Kamlesh Electricals Store</v>
          </cell>
          <cell r="D13" t="str">
            <v xml:space="preserve">Taj Patna </v>
          </cell>
          <cell r="E13" t="str">
            <v>Patna</v>
          </cell>
          <cell r="F13" t="str">
            <v>Patna</v>
          </cell>
          <cell r="G13" t="str">
            <v>Dine-out</v>
          </cell>
          <cell r="H13" t="str">
            <v xml:space="preserve">Taj Patna </v>
          </cell>
          <cell r="I13" t="str">
            <v>7 Pax</v>
          </cell>
          <cell r="J13">
            <v>293.74</v>
          </cell>
        </row>
        <row r="14">
          <cell r="B14" t="str">
            <v>CTA0470</v>
          </cell>
          <cell r="C14" t="str">
            <v>Taj Iron</v>
          </cell>
          <cell r="D14" t="str">
            <v>Showkat Ahanger</v>
          </cell>
          <cell r="E14" t="str">
            <v xml:space="preserve">Srinagar </v>
          </cell>
          <cell r="F14" t="str">
            <v>Jammu</v>
          </cell>
          <cell r="G14" t="str">
            <v>Dine-out</v>
          </cell>
          <cell r="H14" t="str">
            <v>LAZEEZ Dal Lake</v>
          </cell>
          <cell r="I14" t="str">
            <v>5 Adults</v>
          </cell>
          <cell r="J14">
            <v>2852</v>
          </cell>
        </row>
        <row r="15">
          <cell r="B15" t="str">
            <v>CAN0555</v>
          </cell>
          <cell r="C15" t="str">
            <v>Ankit Marketing</v>
          </cell>
          <cell r="D15" t="str">
            <v>Yashwant Agrawal</v>
          </cell>
          <cell r="E15" t="str">
            <v>Raipur</v>
          </cell>
          <cell r="F15" t="str">
            <v>Chhattisgarh</v>
          </cell>
          <cell r="G15" t="str">
            <v>Dine-out</v>
          </cell>
          <cell r="H15" t="str">
            <v>MAYFAIR Lake Resort, Atal Nagar, Raipur</v>
          </cell>
          <cell r="I15" t="str">
            <v>4 adults</v>
          </cell>
          <cell r="J15">
            <v>620</v>
          </cell>
        </row>
        <row r="16">
          <cell r="B16" t="str">
            <v>CGI0041</v>
          </cell>
          <cell r="C16" t="str">
            <v>Gitanjali Traders</v>
          </cell>
          <cell r="D16" t="str">
            <v>Ankit  Nanda</v>
          </cell>
          <cell r="E16" t="str">
            <v>Bhubaneswar</v>
          </cell>
          <cell r="F16" t="str">
            <v>Odisha</v>
          </cell>
          <cell r="G16" t="str">
            <v>Salon</v>
          </cell>
          <cell r="H16" t="str">
            <v>The Look's Unisex Salon</v>
          </cell>
          <cell r="I16" t="str">
            <v>2 Adults</v>
          </cell>
          <cell r="J16">
            <v>233</v>
          </cell>
        </row>
        <row r="17">
          <cell r="B17" t="str">
            <v>CVI1258</v>
          </cell>
          <cell r="C17" t="str">
            <v>ABHA ENTERPRISES</v>
          </cell>
          <cell r="D17" t="str">
            <v>Saiba Shaikh</v>
          </cell>
          <cell r="E17" t="str">
            <v>Tiswadi</v>
          </cell>
          <cell r="F17" t="str">
            <v>Goa</v>
          </cell>
          <cell r="G17" t="str">
            <v>Spa</v>
          </cell>
          <cell r="H17" t="str">
            <v>JW Wellness Taj Faluknuma</v>
          </cell>
          <cell r="I17" t="str">
            <v>2 Adults</v>
          </cell>
          <cell r="J17">
            <v>2285</v>
          </cell>
        </row>
        <row r="18">
          <cell r="B18" t="str">
            <v>CTR0413</v>
          </cell>
          <cell r="C18" t="str">
            <v>Transformers And Equipments Industr</v>
          </cell>
          <cell r="D18" t="str">
            <v>Raphel Kishore</v>
          </cell>
          <cell r="E18" t="str">
            <v>PARAVUR-KL</v>
          </cell>
          <cell r="F18" t="str">
            <v>KERALA</v>
          </cell>
          <cell r="G18" t="str">
            <v>Dine-Out</v>
          </cell>
          <cell r="H18" t="str">
            <v>Grand Hyatt Bologatty,</v>
          </cell>
          <cell r="I18" t="str">
            <v>6 Adults</v>
          </cell>
          <cell r="J18">
            <v>3500</v>
          </cell>
        </row>
        <row r="21">
          <cell r="J21">
            <v>29728.74</v>
          </cell>
        </row>
        <row r="23">
          <cell r="I23" t="str">
            <v>Sambandh Total Closed dealers</v>
          </cell>
          <cell r="J23">
            <v>267</v>
          </cell>
        </row>
        <row r="24">
          <cell r="I24" t="str">
            <v xml:space="preserve">Cost Approval Dealers count </v>
          </cell>
          <cell r="J24">
            <v>15</v>
          </cell>
        </row>
        <row r="25">
          <cell r="I25" t="str">
            <v xml:space="preserve">Cost Approval Dealers Percentage </v>
          </cell>
          <cell r="J25">
            <v>5.6179775280898875E-2</v>
          </cell>
        </row>
        <row r="26">
          <cell r="I26" t="str">
            <v>Rest 2 dealers From PC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ck/a?!&amp;&amp;p=e45994863eb5c29a102de191bd30e67f81b773e231fa32c6f0dfd2fb968f7eeeJmltdHM9MTc3NzY4MDAwMA&amp;ptn=3&amp;ver=2&amp;hsh=4&amp;fclid=300547b2-f4c5-6325-150b-525ef5c3628e&amp;u=a1aHR0cHM6Ly93d3cuYmluZy5jb20vYWxpbmsvbGluaz91cmw9aHR0cHMlM2ElMmYlMmZ3d3cuZmFjZWJvb2suY29tJTJmZjJmaG1yJTJmJnNvdXJjZT1zZXJwLWxvY2FsJmg9aEtyTXpWTmxkdDAzV3dHJTJielptUndrdjFISG5uZkhOZ0FPdFhmQm9ZSHVvJTNkJnA9bHdfbWFnc3R3dCZpZz03NzYwMkUxNjVCNjI0OEI2ODU0MThBRjMxNEM5NUYyMiZ5cGlkPVlONDA3MHgyNTU5ODI4MDY1MDk3Njc5Nzc1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0840-2935-4A30-B510-6D6DADCD8A00}">
  <dimension ref="A1:BE296"/>
  <sheetViews>
    <sheetView tabSelected="1" zoomScale="90" zoomScaleNormal="90" workbookViewId="0">
      <pane ySplit="1" topLeftCell="A2" activePane="bottomLeft" state="frozen"/>
      <selection pane="bottomLeft" activeCell="C2" sqref="C2"/>
    </sheetView>
  </sheetViews>
  <sheetFormatPr defaultColWidth="9.140625" defaultRowHeight="15" x14ac:dyDescent="0.25"/>
  <cols>
    <col min="1" max="1" width="22.7109375" style="1" bestFit="1" customWidth="1"/>
    <col min="2" max="2" width="11.85546875" style="1" bestFit="1" customWidth="1"/>
    <col min="3" max="3" width="13.28515625" style="1" bestFit="1" customWidth="1"/>
    <col min="4" max="4" width="36.7109375" style="1" bestFit="1" customWidth="1"/>
    <col min="5" max="5" width="44.85546875" style="1" bestFit="1" customWidth="1"/>
    <col min="6" max="6" width="19.28515625" style="1" bestFit="1" customWidth="1"/>
    <col min="7" max="7" width="30.5703125" style="1" bestFit="1" customWidth="1"/>
    <col min="8" max="8" width="57" style="1" bestFit="1" customWidth="1"/>
    <col min="9" max="9" width="41.7109375" style="1" bestFit="1" customWidth="1"/>
    <col min="10" max="10" width="11.28515625" style="1" bestFit="1" customWidth="1"/>
    <col min="11" max="11" width="34.140625" style="1" bestFit="1" customWidth="1"/>
    <col min="12" max="12" width="10" style="1" bestFit="1" customWidth="1"/>
    <col min="13" max="13" width="14.85546875" style="1" bestFit="1" customWidth="1"/>
    <col min="14" max="14" width="15.42578125" style="1" bestFit="1" customWidth="1"/>
    <col min="15" max="15" width="13.42578125" style="1" bestFit="1" customWidth="1"/>
    <col min="16" max="16" width="13.85546875" style="1" bestFit="1" customWidth="1"/>
    <col min="17" max="17" width="12.42578125" style="1" bestFit="1" customWidth="1"/>
    <col min="18" max="18" width="13.42578125" style="1" bestFit="1" customWidth="1"/>
    <col min="19" max="19" width="12.42578125" style="1" bestFit="1" customWidth="1"/>
    <col min="20" max="20" width="10.7109375" style="1" bestFit="1" customWidth="1"/>
    <col min="21" max="21" width="14.7109375" style="1" bestFit="1" customWidth="1"/>
    <col min="22" max="22" width="13.5703125" style="2" bestFit="1" customWidth="1"/>
    <col min="23" max="23" width="14.7109375" style="1" bestFit="1" customWidth="1"/>
    <col min="24" max="24" width="23.28515625" style="1" bestFit="1" customWidth="1"/>
    <col min="25" max="26" width="7.42578125" style="1" bestFit="1" customWidth="1"/>
    <col min="27" max="27" width="39.7109375" style="1" bestFit="1" customWidth="1"/>
    <col min="28" max="28" width="8.85546875" style="1" bestFit="1" customWidth="1"/>
    <col min="29" max="29" width="12.28515625" style="1" bestFit="1" customWidth="1"/>
    <col min="30" max="56" width="9.140625" style="1"/>
    <col min="57" max="57" width="10.28515625" style="1" customWidth="1"/>
    <col min="58" max="16384" width="9.140625" style="1"/>
  </cols>
  <sheetData>
    <row r="1" spans="1:30" s="40" customFormat="1" ht="45" x14ac:dyDescent="0.25">
      <c r="A1" s="48" t="s">
        <v>1431</v>
      </c>
      <c r="B1" s="43" t="s">
        <v>1430</v>
      </c>
      <c r="C1" s="63" t="s">
        <v>1482</v>
      </c>
      <c r="D1" s="43" t="s">
        <v>1429</v>
      </c>
      <c r="E1" s="43" t="s">
        <v>1428</v>
      </c>
      <c r="F1" s="50" t="s">
        <v>1427</v>
      </c>
      <c r="G1" s="43" t="s">
        <v>1426</v>
      </c>
      <c r="H1" s="43" t="s">
        <v>1425</v>
      </c>
      <c r="I1" s="43" t="s">
        <v>1424</v>
      </c>
      <c r="J1" s="43" t="s">
        <v>1423</v>
      </c>
      <c r="K1" s="49" t="s">
        <v>1422</v>
      </c>
      <c r="L1" s="48" t="s">
        <v>1421</v>
      </c>
      <c r="M1" s="47" t="s">
        <v>1420</v>
      </c>
      <c r="N1" s="42" t="s">
        <v>1419</v>
      </c>
      <c r="O1" s="42" t="s">
        <v>1418</v>
      </c>
      <c r="P1" s="51" t="s">
        <v>1432</v>
      </c>
      <c r="Q1" s="51" t="s">
        <v>1433</v>
      </c>
      <c r="R1" s="60" t="s">
        <v>1434</v>
      </c>
      <c r="S1" s="60" t="s">
        <v>1435</v>
      </c>
      <c r="T1" s="60" t="s">
        <v>1436</v>
      </c>
      <c r="U1" s="45" t="s">
        <v>1417</v>
      </c>
      <c r="V1" s="46" t="s">
        <v>1416</v>
      </c>
      <c r="W1" s="45" t="s">
        <v>1415</v>
      </c>
      <c r="X1" s="45" t="s">
        <v>1414</v>
      </c>
      <c r="Y1" s="44" t="s">
        <v>1413</v>
      </c>
      <c r="Z1" s="44" t="s">
        <v>1412</v>
      </c>
      <c r="AA1" s="43" t="s">
        <v>1411</v>
      </c>
      <c r="AB1" s="42" t="s">
        <v>1410</v>
      </c>
      <c r="AC1" s="41" t="s">
        <v>1409</v>
      </c>
    </row>
    <row r="2" spans="1:30" x14ac:dyDescent="0.25">
      <c r="A2" s="17" t="s">
        <v>5</v>
      </c>
      <c r="B2" s="10" t="s">
        <v>1408</v>
      </c>
      <c r="C2" s="10" t="e">
        <f>VLOOKUP(B2,'[1]MAY MONTH'!$B:$C,2,0)</f>
        <v>#N/A</v>
      </c>
      <c r="D2" s="10" t="s">
        <v>1407</v>
      </c>
      <c r="E2" s="62" t="s">
        <v>1406</v>
      </c>
      <c r="F2" s="62" t="s">
        <v>82</v>
      </c>
      <c r="G2" s="10" t="s">
        <v>342</v>
      </c>
      <c r="H2" s="10" t="s">
        <v>338</v>
      </c>
      <c r="I2" s="10" t="s">
        <v>1405</v>
      </c>
      <c r="J2" s="22">
        <v>46117</v>
      </c>
      <c r="K2" s="28" t="s">
        <v>82</v>
      </c>
      <c r="L2" s="3" t="s">
        <v>28</v>
      </c>
      <c r="M2" s="3" t="s">
        <v>20</v>
      </c>
      <c r="N2" s="5">
        <v>0</v>
      </c>
      <c r="O2" s="11">
        <v>12600</v>
      </c>
      <c r="P2" s="11">
        <f>O2</f>
        <v>12600</v>
      </c>
      <c r="Q2" s="11">
        <f t="shared" ref="Q2:Q65" si="0">P2-O2</f>
        <v>0</v>
      </c>
      <c r="R2" s="11">
        <v>10000</v>
      </c>
      <c r="S2" s="11">
        <f t="shared" ref="S2:S65" si="1">R2-O2</f>
        <v>-2600</v>
      </c>
      <c r="T2" s="11">
        <f>VLOOKUP(B2,[2]Sheet1!$B:$J,9,0)</f>
        <v>2600</v>
      </c>
      <c r="U2" s="3" t="s">
        <v>1345</v>
      </c>
      <c r="V2" s="18" t="s">
        <v>1404</v>
      </c>
      <c r="W2" s="18"/>
      <c r="X2" s="3"/>
      <c r="Y2" s="3"/>
      <c r="Z2" s="3"/>
      <c r="AA2" s="3"/>
      <c r="AB2" s="3" t="str">
        <f t="shared" ref="AB2:AB65" si="2">IF(O2,"Paid","Unpaid")</f>
        <v>Paid</v>
      </c>
      <c r="AC2" s="3"/>
    </row>
    <row r="3" spans="1:30" x14ac:dyDescent="0.25">
      <c r="A3" s="3" t="s">
        <v>5</v>
      </c>
      <c r="B3" s="7" t="s">
        <v>1403</v>
      </c>
      <c r="C3" s="10" t="e">
        <f>VLOOKUP(B3,'[1]MAY MONTH'!$B:$C,2,0)</f>
        <v>#N/A</v>
      </c>
      <c r="D3" s="7" t="s">
        <v>1402</v>
      </c>
      <c r="E3" s="7" t="s">
        <v>1401</v>
      </c>
      <c r="F3" s="10" t="s">
        <v>82</v>
      </c>
      <c r="G3" s="10" t="s">
        <v>1400</v>
      </c>
      <c r="H3" s="29" t="s">
        <v>1399</v>
      </c>
      <c r="I3" s="12">
        <v>2</v>
      </c>
      <c r="J3" s="22">
        <v>46121</v>
      </c>
      <c r="K3" s="28" t="s">
        <v>82</v>
      </c>
      <c r="L3" s="10" t="s">
        <v>28</v>
      </c>
      <c r="M3" s="11" t="s">
        <v>20</v>
      </c>
      <c r="N3" s="5">
        <v>0</v>
      </c>
      <c r="O3" s="11">
        <v>11000</v>
      </c>
      <c r="P3" s="11">
        <f>O3</f>
        <v>11000</v>
      </c>
      <c r="Q3" s="11">
        <f t="shared" si="0"/>
        <v>0</v>
      </c>
      <c r="R3" s="11">
        <v>10000</v>
      </c>
      <c r="S3" s="11">
        <f t="shared" si="1"/>
        <v>-1000</v>
      </c>
      <c r="T3" s="11">
        <f>VLOOKUP(B3,[2]Sheet1!$B:$J,9,0)</f>
        <v>1000</v>
      </c>
      <c r="U3" s="11" t="s">
        <v>1187</v>
      </c>
      <c r="V3" s="31">
        <v>46269</v>
      </c>
      <c r="W3" s="11"/>
      <c r="X3" s="3"/>
      <c r="Y3" s="11"/>
      <c r="Z3" s="3"/>
      <c r="AA3" s="3"/>
      <c r="AB3" s="3" t="str">
        <f t="shared" si="2"/>
        <v>Paid</v>
      </c>
      <c r="AC3" s="3"/>
    </row>
    <row r="4" spans="1:30" x14ac:dyDescent="0.25">
      <c r="A4" s="3" t="s">
        <v>5</v>
      </c>
      <c r="B4" s="10" t="s">
        <v>1398</v>
      </c>
      <c r="C4" s="10" t="e">
        <f>VLOOKUP(B4,'[1]MAY MONTH'!$B:$C,2,0)</f>
        <v>#N/A</v>
      </c>
      <c r="D4" s="10" t="s">
        <v>1397</v>
      </c>
      <c r="E4" s="10" t="s">
        <v>1396</v>
      </c>
      <c r="F4" s="10" t="s">
        <v>82</v>
      </c>
      <c r="G4" s="10" t="s">
        <v>1395</v>
      </c>
      <c r="H4" s="10" t="s">
        <v>1474</v>
      </c>
      <c r="I4" s="3">
        <v>2</v>
      </c>
      <c r="J4" s="22">
        <v>46123</v>
      </c>
      <c r="K4" s="28" t="s">
        <v>82</v>
      </c>
      <c r="L4" s="3" t="s">
        <v>8</v>
      </c>
      <c r="M4" s="11" t="s">
        <v>963</v>
      </c>
      <c r="N4" s="5">
        <v>0</v>
      </c>
      <c r="O4" s="11">
        <v>9603</v>
      </c>
      <c r="P4" s="11">
        <v>9803</v>
      </c>
      <c r="Q4" s="11">
        <f t="shared" si="0"/>
        <v>200</v>
      </c>
      <c r="R4" s="11">
        <v>10000</v>
      </c>
      <c r="S4" s="11">
        <f t="shared" si="1"/>
        <v>397</v>
      </c>
      <c r="T4" s="11">
        <v>0</v>
      </c>
      <c r="U4" s="11" t="s">
        <v>1345</v>
      </c>
      <c r="V4" s="31">
        <v>46123</v>
      </c>
      <c r="W4" s="3"/>
      <c r="X4" s="3"/>
      <c r="Y4" s="11"/>
      <c r="Z4" s="3"/>
      <c r="AA4" s="3"/>
      <c r="AB4" s="3" t="str">
        <f t="shared" si="2"/>
        <v>Paid</v>
      </c>
      <c r="AC4" s="3"/>
    </row>
    <row r="5" spans="1:30" x14ac:dyDescent="0.25">
      <c r="A5" s="3" t="s">
        <v>5</v>
      </c>
      <c r="B5" s="29" t="s">
        <v>1394</v>
      </c>
      <c r="C5" s="10" t="e">
        <f>VLOOKUP(B5,'[1]MAY MONTH'!$B:$C,2,0)</f>
        <v>#N/A</v>
      </c>
      <c r="D5" s="29" t="s">
        <v>1393</v>
      </c>
      <c r="E5" s="29" t="s">
        <v>1392</v>
      </c>
      <c r="F5" s="10" t="s">
        <v>4</v>
      </c>
      <c r="G5" s="10" t="s">
        <v>281</v>
      </c>
      <c r="H5" s="10" t="s">
        <v>1391</v>
      </c>
      <c r="I5" s="12">
        <v>2</v>
      </c>
      <c r="J5" s="22">
        <v>46127</v>
      </c>
      <c r="K5" s="22" t="s">
        <v>9</v>
      </c>
      <c r="L5" s="10" t="s">
        <v>28</v>
      </c>
      <c r="M5" s="11" t="s">
        <v>20</v>
      </c>
      <c r="N5" s="5">
        <v>0</v>
      </c>
      <c r="O5" s="11">
        <v>4718</v>
      </c>
      <c r="P5" s="11">
        <v>5418</v>
      </c>
      <c r="Q5" s="11">
        <f t="shared" si="0"/>
        <v>700</v>
      </c>
      <c r="R5" s="11">
        <v>10000</v>
      </c>
      <c r="S5" s="11">
        <f t="shared" si="1"/>
        <v>5282</v>
      </c>
      <c r="T5" s="11">
        <v>0</v>
      </c>
      <c r="U5" s="11" t="s">
        <v>1345</v>
      </c>
      <c r="V5" s="31">
        <v>46125</v>
      </c>
      <c r="W5" s="3" t="s">
        <v>1239</v>
      </c>
      <c r="X5" s="3"/>
      <c r="Y5" s="11"/>
      <c r="Z5" s="3"/>
      <c r="AA5" s="3"/>
      <c r="AB5" s="3" t="str">
        <f t="shared" si="2"/>
        <v>Paid</v>
      </c>
      <c r="AC5" s="3"/>
    </row>
    <row r="6" spans="1:30" x14ac:dyDescent="0.25">
      <c r="A6" s="3" t="s">
        <v>5</v>
      </c>
      <c r="B6" s="10" t="s">
        <v>1390</v>
      </c>
      <c r="C6" s="10" t="e">
        <f>VLOOKUP(B6,'[1]MAY MONTH'!$B:$C,2,0)</f>
        <v>#N/A</v>
      </c>
      <c r="D6" s="10" t="s">
        <v>1389</v>
      </c>
      <c r="E6" s="10" t="s">
        <v>1388</v>
      </c>
      <c r="F6" s="10" t="s">
        <v>21</v>
      </c>
      <c r="G6" s="10" t="s">
        <v>1387</v>
      </c>
      <c r="H6" s="10" t="s">
        <v>1386</v>
      </c>
      <c r="I6" s="3">
        <v>2</v>
      </c>
      <c r="J6" s="22">
        <v>46125</v>
      </c>
      <c r="K6" s="22" t="s">
        <v>21</v>
      </c>
      <c r="L6" s="10" t="s">
        <v>28</v>
      </c>
      <c r="M6" s="11" t="s">
        <v>20</v>
      </c>
      <c r="N6" s="5">
        <v>0</v>
      </c>
      <c r="O6" s="11">
        <v>2000</v>
      </c>
      <c r="P6" s="11">
        <v>4000</v>
      </c>
      <c r="Q6" s="11">
        <f t="shared" si="0"/>
        <v>2000</v>
      </c>
      <c r="R6" s="11">
        <v>10000</v>
      </c>
      <c r="S6" s="11">
        <f t="shared" si="1"/>
        <v>8000</v>
      </c>
      <c r="T6" s="11">
        <v>0</v>
      </c>
      <c r="U6" s="11" t="s">
        <v>1345</v>
      </c>
      <c r="V6" s="31">
        <v>46125</v>
      </c>
      <c r="W6" s="3" t="s">
        <v>6</v>
      </c>
      <c r="X6" s="3"/>
      <c r="Y6" s="11"/>
      <c r="Z6" s="3"/>
      <c r="AA6" s="3"/>
      <c r="AB6" s="3" t="str">
        <f t="shared" si="2"/>
        <v>Paid</v>
      </c>
      <c r="AC6" s="3"/>
    </row>
    <row r="7" spans="1:30" x14ac:dyDescent="0.25">
      <c r="A7" s="3" t="s">
        <v>5</v>
      </c>
      <c r="B7" s="29" t="s">
        <v>1385</v>
      </c>
      <c r="C7" s="10" t="e">
        <f>VLOOKUP(B7,'[1]MAY MONTH'!$B:$C,2,0)</f>
        <v>#N/A</v>
      </c>
      <c r="D7" s="29" t="s">
        <v>1384</v>
      </c>
      <c r="E7" s="10" t="s">
        <v>1383</v>
      </c>
      <c r="F7" s="10" t="s">
        <v>4</v>
      </c>
      <c r="G7" s="12" t="s">
        <v>1382</v>
      </c>
      <c r="H7" s="10" t="s">
        <v>1467</v>
      </c>
      <c r="I7" s="3">
        <v>5</v>
      </c>
      <c r="J7" s="22">
        <v>46125</v>
      </c>
      <c r="K7" s="22" t="s">
        <v>9</v>
      </c>
      <c r="L7" s="3" t="s">
        <v>8</v>
      </c>
      <c r="M7" s="3" t="s">
        <v>11</v>
      </c>
      <c r="N7" s="5">
        <v>0</v>
      </c>
      <c r="O7" s="11">
        <v>9558</v>
      </c>
      <c r="P7" s="11">
        <v>9558</v>
      </c>
      <c r="Q7" s="11">
        <f t="shared" si="0"/>
        <v>0</v>
      </c>
      <c r="R7" s="11">
        <v>10000</v>
      </c>
      <c r="S7" s="11">
        <f t="shared" si="1"/>
        <v>442</v>
      </c>
      <c r="T7" s="11">
        <v>0</v>
      </c>
      <c r="U7" s="11" t="s">
        <v>1345</v>
      </c>
      <c r="V7" s="31">
        <v>46125</v>
      </c>
      <c r="W7" s="3"/>
      <c r="X7" s="3"/>
      <c r="Y7" s="11"/>
      <c r="Z7" s="3"/>
      <c r="AA7" s="3"/>
      <c r="AB7" s="3" t="str">
        <f t="shared" si="2"/>
        <v>Paid</v>
      </c>
      <c r="AC7" s="3"/>
    </row>
    <row r="8" spans="1:30" ht="30" x14ac:dyDescent="0.25">
      <c r="A8" s="3" t="s">
        <v>5</v>
      </c>
      <c r="B8" s="12" t="s">
        <v>1381</v>
      </c>
      <c r="C8" s="10" t="e">
        <f>VLOOKUP(B8,'[1]MAY MONTH'!$B:$C,2,0)</f>
        <v>#N/A</v>
      </c>
      <c r="D8" s="12" t="s">
        <v>1380</v>
      </c>
      <c r="E8" s="12" t="s">
        <v>1379</v>
      </c>
      <c r="F8" s="10" t="s">
        <v>4</v>
      </c>
      <c r="G8" s="12" t="s">
        <v>1378</v>
      </c>
      <c r="H8" s="12" t="s">
        <v>1377</v>
      </c>
      <c r="I8" s="12">
        <v>2</v>
      </c>
      <c r="J8" s="22">
        <v>46124</v>
      </c>
      <c r="K8" s="22" t="s">
        <v>9</v>
      </c>
      <c r="L8" s="3" t="s">
        <v>8</v>
      </c>
      <c r="M8" s="3" t="s">
        <v>8</v>
      </c>
      <c r="N8" s="5">
        <v>0</v>
      </c>
      <c r="O8" s="11">
        <v>5192</v>
      </c>
      <c r="P8" s="11">
        <v>7792</v>
      </c>
      <c r="Q8" s="11">
        <f t="shared" si="0"/>
        <v>2600</v>
      </c>
      <c r="R8" s="11">
        <v>10000</v>
      </c>
      <c r="S8" s="11">
        <f t="shared" si="1"/>
        <v>4808</v>
      </c>
      <c r="T8" s="11">
        <v>0</v>
      </c>
      <c r="U8" s="11" t="s">
        <v>1345</v>
      </c>
      <c r="V8" s="31">
        <v>46117</v>
      </c>
      <c r="W8" s="3"/>
      <c r="X8" s="3"/>
      <c r="Y8" s="11"/>
      <c r="Z8" s="3"/>
      <c r="AA8" s="3" t="s">
        <v>1376</v>
      </c>
      <c r="AB8" s="3" t="str">
        <f t="shared" si="2"/>
        <v>Paid</v>
      </c>
      <c r="AC8" s="3"/>
    </row>
    <row r="9" spans="1:30" x14ac:dyDescent="0.25">
      <c r="A9" s="3" t="s">
        <v>5</v>
      </c>
      <c r="B9" s="10" t="s">
        <v>1375</v>
      </c>
      <c r="C9" s="10" t="e">
        <f>VLOOKUP(B9,'[1]MAY MONTH'!$B:$C,2,0)</f>
        <v>#N/A</v>
      </c>
      <c r="D9" s="10" t="s">
        <v>1374</v>
      </c>
      <c r="E9" s="10" t="s">
        <v>1373</v>
      </c>
      <c r="F9" s="10" t="s">
        <v>82</v>
      </c>
      <c r="G9" s="12" t="s">
        <v>1372</v>
      </c>
      <c r="H9" s="12" t="s">
        <v>1371</v>
      </c>
      <c r="I9" s="12">
        <v>2</v>
      </c>
      <c r="J9" s="22">
        <v>46126</v>
      </c>
      <c r="K9" s="28" t="s">
        <v>82</v>
      </c>
      <c r="L9" s="3" t="s">
        <v>8</v>
      </c>
      <c r="M9" s="11" t="s">
        <v>963</v>
      </c>
      <c r="N9" s="5">
        <v>0</v>
      </c>
      <c r="O9" s="11">
        <v>8702</v>
      </c>
      <c r="P9" s="11">
        <v>9745</v>
      </c>
      <c r="Q9" s="11">
        <f t="shared" si="0"/>
        <v>1043</v>
      </c>
      <c r="R9" s="11">
        <v>10000</v>
      </c>
      <c r="S9" s="11">
        <f t="shared" si="1"/>
        <v>1298</v>
      </c>
      <c r="T9" s="11">
        <v>0</v>
      </c>
      <c r="U9" s="11" t="s">
        <v>1187</v>
      </c>
      <c r="V9" s="31" t="s">
        <v>1370</v>
      </c>
      <c r="W9" s="3"/>
      <c r="X9" s="3"/>
      <c r="Y9" s="11"/>
      <c r="Z9" s="3"/>
      <c r="AA9" s="3"/>
      <c r="AB9" s="3" t="str">
        <f t="shared" si="2"/>
        <v>Paid</v>
      </c>
      <c r="AC9" s="3"/>
    </row>
    <row r="10" spans="1:30" x14ac:dyDescent="0.25">
      <c r="A10" s="3" t="s">
        <v>5</v>
      </c>
      <c r="B10" s="10" t="s">
        <v>1369</v>
      </c>
      <c r="C10" s="10" t="e">
        <f>VLOOKUP(B10,'[1]MAY MONTH'!$B:$C,2,0)</f>
        <v>#N/A</v>
      </c>
      <c r="D10" s="10" t="s">
        <v>1368</v>
      </c>
      <c r="E10" s="10" t="s">
        <v>1367</v>
      </c>
      <c r="F10" s="10" t="s">
        <v>4</v>
      </c>
      <c r="G10" s="12" t="s">
        <v>1366</v>
      </c>
      <c r="H10" s="10" t="s">
        <v>1365</v>
      </c>
      <c r="I10" s="10" t="s">
        <v>1364</v>
      </c>
      <c r="J10" s="22">
        <v>46126</v>
      </c>
      <c r="K10" s="22" t="s">
        <v>215</v>
      </c>
      <c r="L10" s="3" t="s">
        <v>8</v>
      </c>
      <c r="M10" s="11" t="s">
        <v>11</v>
      </c>
      <c r="N10" s="5">
        <v>0</v>
      </c>
      <c r="O10" s="11">
        <v>3900</v>
      </c>
      <c r="P10" s="11">
        <v>4900</v>
      </c>
      <c r="Q10" s="11">
        <f t="shared" si="0"/>
        <v>1000</v>
      </c>
      <c r="R10" s="11">
        <v>10000</v>
      </c>
      <c r="S10" s="11">
        <f t="shared" si="1"/>
        <v>6100</v>
      </c>
      <c r="T10" s="11">
        <v>0</v>
      </c>
      <c r="U10" s="11" t="s">
        <v>1345</v>
      </c>
      <c r="V10" s="31">
        <v>46126</v>
      </c>
      <c r="W10" s="3"/>
      <c r="X10" s="3"/>
      <c r="Y10" s="11"/>
      <c r="Z10" s="3"/>
      <c r="AA10" s="3"/>
      <c r="AB10" s="3" t="str">
        <f t="shared" si="2"/>
        <v>Paid</v>
      </c>
      <c r="AC10" s="3"/>
    </row>
    <row r="11" spans="1:30" x14ac:dyDescent="0.25">
      <c r="A11" s="3" t="s">
        <v>5</v>
      </c>
      <c r="B11" s="10" t="s">
        <v>1363</v>
      </c>
      <c r="C11" s="10" t="e">
        <f>VLOOKUP(B11,'[1]MAY MONTH'!$B:$C,2,0)</f>
        <v>#N/A</v>
      </c>
      <c r="D11" s="10" t="s">
        <v>1362</v>
      </c>
      <c r="E11" s="10" t="s">
        <v>1361</v>
      </c>
      <c r="F11" s="10" t="s">
        <v>82</v>
      </c>
      <c r="G11" s="10" t="s">
        <v>1360</v>
      </c>
      <c r="H11" s="10" t="s">
        <v>338</v>
      </c>
      <c r="I11" s="3">
        <v>2</v>
      </c>
      <c r="J11" s="22">
        <v>46127</v>
      </c>
      <c r="K11" s="28" t="s">
        <v>82</v>
      </c>
      <c r="L11" s="3" t="s">
        <v>8</v>
      </c>
      <c r="M11" s="11" t="s">
        <v>963</v>
      </c>
      <c r="N11" s="5">
        <v>0</v>
      </c>
      <c r="O11" s="11">
        <v>10000</v>
      </c>
      <c r="P11" s="11">
        <f>O11</f>
        <v>10000</v>
      </c>
      <c r="Q11" s="11">
        <f t="shared" si="0"/>
        <v>0</v>
      </c>
      <c r="R11" s="11">
        <v>10000</v>
      </c>
      <c r="S11" s="11">
        <f t="shared" si="1"/>
        <v>0</v>
      </c>
      <c r="T11" s="11">
        <v>0</v>
      </c>
      <c r="U11" s="11" t="s">
        <v>1345</v>
      </c>
      <c r="V11" s="31">
        <v>46126</v>
      </c>
      <c r="W11" s="3"/>
      <c r="X11" s="3"/>
      <c r="Y11" s="11"/>
      <c r="Z11" s="3"/>
      <c r="AA11" s="3"/>
      <c r="AB11" s="3" t="str">
        <f t="shared" si="2"/>
        <v>Paid</v>
      </c>
      <c r="AC11" s="3"/>
    </row>
    <row r="12" spans="1:30" x14ac:dyDescent="0.25">
      <c r="A12" s="3" t="s">
        <v>5</v>
      </c>
      <c r="B12" s="10" t="s">
        <v>1359</v>
      </c>
      <c r="C12" s="10" t="e">
        <f>VLOOKUP(B12,'[1]MAY MONTH'!$B:$C,2,0)</f>
        <v>#N/A</v>
      </c>
      <c r="D12" s="10" t="s">
        <v>1358</v>
      </c>
      <c r="E12" s="10" t="s">
        <v>1357</v>
      </c>
      <c r="F12" s="10" t="s">
        <v>4</v>
      </c>
      <c r="G12" s="12" t="s">
        <v>1356</v>
      </c>
      <c r="H12" s="10" t="s">
        <v>1355</v>
      </c>
      <c r="I12" s="3">
        <v>2</v>
      </c>
      <c r="J12" s="22">
        <v>46127</v>
      </c>
      <c r="K12" s="18" t="s">
        <v>9</v>
      </c>
      <c r="L12" s="3" t="s">
        <v>8</v>
      </c>
      <c r="M12" s="11" t="s">
        <v>11</v>
      </c>
      <c r="N12" s="5">
        <v>0</v>
      </c>
      <c r="O12" s="11">
        <v>5535</v>
      </c>
      <c r="P12" s="11">
        <v>5935</v>
      </c>
      <c r="Q12" s="11">
        <f t="shared" si="0"/>
        <v>400</v>
      </c>
      <c r="R12" s="11">
        <v>10000</v>
      </c>
      <c r="S12" s="11">
        <f t="shared" si="1"/>
        <v>4465</v>
      </c>
      <c r="T12" s="11">
        <v>0</v>
      </c>
      <c r="U12" s="11" t="s">
        <v>1345</v>
      </c>
      <c r="V12" s="31">
        <v>46127</v>
      </c>
      <c r="W12" s="3"/>
      <c r="X12" s="3"/>
      <c r="Y12" s="11"/>
      <c r="Z12" s="3"/>
      <c r="AA12" s="3"/>
      <c r="AB12" s="3" t="str">
        <f t="shared" si="2"/>
        <v>Paid</v>
      </c>
      <c r="AC12" s="3"/>
    </row>
    <row r="13" spans="1:30" s="32" customFormat="1" x14ac:dyDescent="0.25">
      <c r="A13" s="3" t="s">
        <v>5</v>
      </c>
      <c r="B13" s="10" t="s">
        <v>1354</v>
      </c>
      <c r="C13" s="10" t="e">
        <f>VLOOKUP(B13,'[1]MAY MONTH'!$B:$C,2,0)</f>
        <v>#N/A</v>
      </c>
      <c r="D13" s="10" t="s">
        <v>1353</v>
      </c>
      <c r="E13" s="10" t="s">
        <v>1352</v>
      </c>
      <c r="F13" s="10" t="s">
        <v>4</v>
      </c>
      <c r="G13" s="12" t="s">
        <v>1351</v>
      </c>
      <c r="H13" s="10" t="s">
        <v>1297</v>
      </c>
      <c r="I13" s="10">
        <v>2</v>
      </c>
      <c r="J13" s="22">
        <v>46127</v>
      </c>
      <c r="K13" s="18" t="s">
        <v>9</v>
      </c>
      <c r="L13" s="3" t="s">
        <v>8</v>
      </c>
      <c r="M13" s="11" t="s">
        <v>11</v>
      </c>
      <c r="N13" s="5">
        <v>0</v>
      </c>
      <c r="O13" s="11">
        <v>6486</v>
      </c>
      <c r="P13" s="11">
        <v>7549</v>
      </c>
      <c r="Q13" s="11">
        <f t="shared" si="0"/>
        <v>1063</v>
      </c>
      <c r="R13" s="11">
        <v>10000</v>
      </c>
      <c r="S13" s="11">
        <f t="shared" si="1"/>
        <v>3514</v>
      </c>
      <c r="T13" s="11">
        <v>0</v>
      </c>
      <c r="U13" s="34" t="s">
        <v>1345</v>
      </c>
      <c r="V13" s="35">
        <v>46127</v>
      </c>
      <c r="W13" s="10"/>
      <c r="X13" s="10"/>
      <c r="Y13" s="34"/>
      <c r="Z13" s="10"/>
      <c r="AA13" s="10"/>
      <c r="AB13" s="3" t="str">
        <f t="shared" si="2"/>
        <v>Paid</v>
      </c>
      <c r="AC13" s="10"/>
      <c r="AD13" s="1"/>
    </row>
    <row r="14" spans="1:30" x14ac:dyDescent="0.25">
      <c r="A14" s="3" t="s">
        <v>5</v>
      </c>
      <c r="B14" s="12" t="s">
        <v>1350</v>
      </c>
      <c r="C14" s="10" t="e">
        <f>VLOOKUP(B14,'[1]MAY MONTH'!$B:$C,2,0)</f>
        <v>#N/A</v>
      </c>
      <c r="D14" s="12" t="s">
        <v>1349</v>
      </c>
      <c r="E14" s="12" t="s">
        <v>1348</v>
      </c>
      <c r="F14" s="10" t="s">
        <v>82</v>
      </c>
      <c r="G14" s="10" t="s">
        <v>1347</v>
      </c>
      <c r="H14" s="10" t="s">
        <v>1346</v>
      </c>
      <c r="I14" s="3" t="s">
        <v>585</v>
      </c>
      <c r="J14" s="22">
        <v>46127</v>
      </c>
      <c r="K14" s="28" t="s">
        <v>82</v>
      </c>
      <c r="L14" s="10" t="s">
        <v>28</v>
      </c>
      <c r="M14" s="10" t="s">
        <v>1165</v>
      </c>
      <c r="N14" s="5">
        <v>0</v>
      </c>
      <c r="O14" s="11">
        <v>10868</v>
      </c>
      <c r="P14" s="11">
        <f>O14</f>
        <v>10868</v>
      </c>
      <c r="Q14" s="11">
        <f t="shared" si="0"/>
        <v>0</v>
      </c>
      <c r="R14" s="11">
        <v>10000</v>
      </c>
      <c r="S14" s="11">
        <f t="shared" si="1"/>
        <v>-868</v>
      </c>
      <c r="T14" s="11">
        <f>VLOOKUP(B14,[2]Sheet1!$B:$J,9,0)</f>
        <v>868</v>
      </c>
      <c r="U14" s="11" t="s">
        <v>1345</v>
      </c>
      <c r="V14" s="31">
        <v>46127</v>
      </c>
      <c r="W14" s="3"/>
      <c r="X14" s="3"/>
      <c r="Y14" s="11"/>
      <c r="Z14" s="3"/>
      <c r="AA14" s="3"/>
      <c r="AB14" s="3" t="str">
        <f t="shared" si="2"/>
        <v>Paid</v>
      </c>
      <c r="AC14" s="3"/>
    </row>
    <row r="15" spans="1:30" ht="30" x14ac:dyDescent="0.25">
      <c r="A15" s="3" t="s">
        <v>5</v>
      </c>
      <c r="B15" s="10" t="s">
        <v>1344</v>
      </c>
      <c r="C15" s="10" t="e">
        <f>VLOOKUP(B15,'[1]MAY MONTH'!$B:$C,2,0)</f>
        <v>#N/A</v>
      </c>
      <c r="D15" s="10" t="s">
        <v>1343</v>
      </c>
      <c r="E15" s="10" t="s">
        <v>1342</v>
      </c>
      <c r="F15" s="10" t="s">
        <v>82</v>
      </c>
      <c r="G15" s="10" t="s">
        <v>1341</v>
      </c>
      <c r="H15" s="10" t="s">
        <v>1340</v>
      </c>
      <c r="I15" s="12">
        <v>2</v>
      </c>
      <c r="J15" s="22">
        <v>46128</v>
      </c>
      <c r="K15" s="28" t="s">
        <v>82</v>
      </c>
      <c r="L15" s="3" t="s">
        <v>8</v>
      </c>
      <c r="M15" s="11" t="s">
        <v>963</v>
      </c>
      <c r="N15" s="5">
        <v>0</v>
      </c>
      <c r="O15" s="11">
        <v>9400</v>
      </c>
      <c r="P15" s="11">
        <v>9800</v>
      </c>
      <c r="Q15" s="11">
        <f t="shared" si="0"/>
        <v>400</v>
      </c>
      <c r="R15" s="11">
        <v>10000</v>
      </c>
      <c r="S15" s="11">
        <f t="shared" si="1"/>
        <v>600</v>
      </c>
      <c r="T15" s="11">
        <v>0</v>
      </c>
      <c r="U15" s="11" t="s">
        <v>1187</v>
      </c>
      <c r="V15" s="31" t="s">
        <v>1330</v>
      </c>
      <c r="W15" s="3"/>
      <c r="X15" s="3"/>
      <c r="Y15" s="11"/>
      <c r="Z15" s="3"/>
      <c r="AA15" s="3"/>
      <c r="AB15" s="3" t="str">
        <f t="shared" si="2"/>
        <v>Paid</v>
      </c>
      <c r="AC15" s="3"/>
    </row>
    <row r="16" spans="1:30" x14ac:dyDescent="0.25">
      <c r="A16" s="3" t="s">
        <v>5</v>
      </c>
      <c r="B16" s="10" t="s">
        <v>1339</v>
      </c>
      <c r="C16" s="10" t="e">
        <f>VLOOKUP(B16,'[1]MAY MONTH'!$B:$C,2,0)</f>
        <v>#N/A</v>
      </c>
      <c r="D16" s="12" t="s">
        <v>1338</v>
      </c>
      <c r="E16" s="10" t="s">
        <v>1337</v>
      </c>
      <c r="F16" s="10" t="s">
        <v>82</v>
      </c>
      <c r="G16" s="12" t="s">
        <v>1336</v>
      </c>
      <c r="H16" s="10" t="s">
        <v>1335</v>
      </c>
      <c r="I16" s="3">
        <v>2</v>
      </c>
      <c r="J16" s="22">
        <v>46129</v>
      </c>
      <c r="K16" s="28" t="s">
        <v>82</v>
      </c>
      <c r="L16" s="3" t="s">
        <v>8</v>
      </c>
      <c r="M16" s="11" t="s">
        <v>963</v>
      </c>
      <c r="N16" s="5">
        <v>0</v>
      </c>
      <c r="O16" s="11">
        <v>10000</v>
      </c>
      <c r="P16" s="11">
        <f>O16</f>
        <v>10000</v>
      </c>
      <c r="Q16" s="11">
        <f t="shared" si="0"/>
        <v>0</v>
      </c>
      <c r="R16" s="11">
        <v>10000</v>
      </c>
      <c r="S16" s="11">
        <f t="shared" si="1"/>
        <v>0</v>
      </c>
      <c r="T16" s="11">
        <v>0</v>
      </c>
      <c r="U16" s="3" t="s">
        <v>1187</v>
      </c>
      <c r="V16" s="11" t="s">
        <v>1330</v>
      </c>
      <c r="W16" s="3"/>
      <c r="X16" s="3"/>
      <c r="Y16" s="11"/>
      <c r="Z16" s="3"/>
      <c r="AA16" s="3"/>
      <c r="AB16" s="3" t="str">
        <f t="shared" si="2"/>
        <v>Paid</v>
      </c>
      <c r="AC16" s="3"/>
    </row>
    <row r="17" spans="1:30" ht="30" x14ac:dyDescent="0.25">
      <c r="A17" s="3" t="s">
        <v>5</v>
      </c>
      <c r="B17" s="12" t="s">
        <v>1334</v>
      </c>
      <c r="C17" s="10" t="e">
        <f>VLOOKUP(B17,'[1]MAY MONTH'!$B:$C,2,0)</f>
        <v>#N/A</v>
      </c>
      <c r="D17" s="12" t="s">
        <v>17</v>
      </c>
      <c r="E17" s="12" t="s">
        <v>1333</v>
      </c>
      <c r="F17" s="10" t="s">
        <v>4</v>
      </c>
      <c r="G17" s="10" t="s">
        <v>470</v>
      </c>
      <c r="H17" s="10" t="s">
        <v>1332</v>
      </c>
      <c r="I17" s="10" t="s">
        <v>1331</v>
      </c>
      <c r="J17" s="22">
        <v>46128</v>
      </c>
      <c r="K17" s="26" t="s">
        <v>9</v>
      </c>
      <c r="L17" s="3" t="s">
        <v>28</v>
      </c>
      <c r="M17" s="11" t="s">
        <v>1165</v>
      </c>
      <c r="N17" s="5">
        <v>0</v>
      </c>
      <c r="O17" s="11">
        <v>8256</v>
      </c>
      <c r="P17" s="11">
        <v>8256</v>
      </c>
      <c r="Q17" s="11">
        <f t="shared" si="0"/>
        <v>0</v>
      </c>
      <c r="R17" s="11">
        <v>10000</v>
      </c>
      <c r="S17" s="11">
        <f t="shared" si="1"/>
        <v>1744</v>
      </c>
      <c r="T17" s="11">
        <v>0</v>
      </c>
      <c r="U17" s="11" t="s">
        <v>1187</v>
      </c>
      <c r="V17" s="31" t="s">
        <v>1330</v>
      </c>
      <c r="W17" s="3"/>
      <c r="X17" s="3"/>
      <c r="Y17" s="11"/>
      <c r="Z17" s="3"/>
      <c r="AA17" s="3"/>
      <c r="AB17" s="3" t="str">
        <f t="shared" si="2"/>
        <v>Paid</v>
      </c>
      <c r="AC17" s="3"/>
    </row>
    <row r="18" spans="1:30" x14ac:dyDescent="0.25">
      <c r="A18" s="3" t="s">
        <v>5</v>
      </c>
      <c r="B18" s="12" t="s">
        <v>1329</v>
      </c>
      <c r="C18" s="10" t="e">
        <f>VLOOKUP(B18,'[1]MAY MONTH'!$B:$C,2,0)</f>
        <v>#N/A</v>
      </c>
      <c r="D18" s="29" t="s">
        <v>1328</v>
      </c>
      <c r="E18" s="10" t="s">
        <v>1327</v>
      </c>
      <c r="F18" s="10" t="s">
        <v>4</v>
      </c>
      <c r="G18" s="10" t="s">
        <v>831</v>
      </c>
      <c r="H18" s="10" t="s">
        <v>1326</v>
      </c>
      <c r="I18" s="12" t="s">
        <v>204</v>
      </c>
      <c r="J18" s="22">
        <v>46129</v>
      </c>
      <c r="K18" s="22" t="s">
        <v>215</v>
      </c>
      <c r="L18" s="3" t="s">
        <v>35</v>
      </c>
      <c r="M18" s="11" t="s">
        <v>963</v>
      </c>
      <c r="N18" s="5">
        <v>0</v>
      </c>
      <c r="O18" s="11">
        <v>4648</v>
      </c>
      <c r="P18" s="11">
        <v>6148</v>
      </c>
      <c r="Q18" s="11">
        <f t="shared" si="0"/>
        <v>1500</v>
      </c>
      <c r="R18" s="11">
        <v>10000</v>
      </c>
      <c r="S18" s="11">
        <f t="shared" si="1"/>
        <v>5352</v>
      </c>
      <c r="T18" s="11">
        <v>0</v>
      </c>
      <c r="U18" s="11" t="s">
        <v>1187</v>
      </c>
      <c r="V18" s="31" t="s">
        <v>1312</v>
      </c>
      <c r="W18" s="3"/>
      <c r="X18" s="3"/>
      <c r="Y18" s="11"/>
      <c r="Z18" s="3"/>
      <c r="AA18" s="3"/>
      <c r="AB18" s="3" t="str">
        <f t="shared" si="2"/>
        <v>Paid</v>
      </c>
      <c r="AC18" s="3"/>
    </row>
    <row r="19" spans="1:30" ht="30" x14ac:dyDescent="0.25">
      <c r="A19" s="3" t="s">
        <v>5</v>
      </c>
      <c r="B19" s="10" t="s">
        <v>1325</v>
      </c>
      <c r="C19" s="10" t="e">
        <f>VLOOKUP(B19,'[1]MAY MONTH'!$B:$C,2,0)</f>
        <v>#N/A</v>
      </c>
      <c r="D19" s="10" t="s">
        <v>1324</v>
      </c>
      <c r="E19" s="10" t="s">
        <v>1323</v>
      </c>
      <c r="F19" s="10" t="s">
        <v>4</v>
      </c>
      <c r="G19" s="10" t="s">
        <v>1322</v>
      </c>
      <c r="H19" s="10" t="s">
        <v>1321</v>
      </c>
      <c r="I19" s="10" t="s">
        <v>303</v>
      </c>
      <c r="J19" s="22">
        <v>46128</v>
      </c>
      <c r="K19" s="22" t="s">
        <v>215</v>
      </c>
      <c r="L19" s="3" t="s">
        <v>1</v>
      </c>
      <c r="M19" s="11" t="s">
        <v>20</v>
      </c>
      <c r="N19" s="5">
        <v>0</v>
      </c>
      <c r="O19" s="11">
        <v>3107</v>
      </c>
      <c r="P19" s="11">
        <v>4607</v>
      </c>
      <c r="Q19" s="11">
        <f t="shared" si="0"/>
        <v>1500</v>
      </c>
      <c r="R19" s="11">
        <v>10000</v>
      </c>
      <c r="S19" s="11">
        <f t="shared" si="1"/>
        <v>6893</v>
      </c>
      <c r="T19" s="11">
        <v>0</v>
      </c>
      <c r="U19" s="11" t="s">
        <v>1164</v>
      </c>
      <c r="V19" s="31">
        <v>46132</v>
      </c>
      <c r="W19" s="3" t="s">
        <v>6</v>
      </c>
      <c r="X19" s="3"/>
      <c r="Y19" s="11"/>
      <c r="Z19" s="3"/>
      <c r="AA19" s="3"/>
      <c r="AB19" s="3" t="str">
        <f t="shared" si="2"/>
        <v>Paid</v>
      </c>
      <c r="AC19" s="3"/>
    </row>
    <row r="20" spans="1:30" x14ac:dyDescent="0.25">
      <c r="A20" s="3" t="s">
        <v>5</v>
      </c>
      <c r="B20" s="12" t="s">
        <v>1320</v>
      </c>
      <c r="C20" s="10" t="e">
        <f>VLOOKUP(B20,'[1]MAY MONTH'!$B:$C,2,0)</f>
        <v>#N/A</v>
      </c>
      <c r="D20" s="12" t="s">
        <v>1319</v>
      </c>
      <c r="E20" s="12" t="s">
        <v>1318</v>
      </c>
      <c r="F20" s="10" t="s">
        <v>4</v>
      </c>
      <c r="G20" s="10" t="s">
        <v>49</v>
      </c>
      <c r="H20" s="10" t="s">
        <v>1317</v>
      </c>
      <c r="I20" s="10" t="s">
        <v>29</v>
      </c>
      <c r="J20" s="22">
        <v>46129</v>
      </c>
      <c r="K20" s="26" t="s">
        <v>9</v>
      </c>
      <c r="L20" s="3" t="s">
        <v>28</v>
      </c>
      <c r="M20" s="12" t="s">
        <v>20</v>
      </c>
      <c r="N20" s="5">
        <v>0</v>
      </c>
      <c r="O20" s="11">
        <v>7316</v>
      </c>
      <c r="P20" s="11">
        <v>7816</v>
      </c>
      <c r="Q20" s="11">
        <f t="shared" si="0"/>
        <v>500</v>
      </c>
      <c r="R20" s="11">
        <v>10000</v>
      </c>
      <c r="S20" s="11">
        <f t="shared" si="1"/>
        <v>2684</v>
      </c>
      <c r="T20" s="11">
        <v>0</v>
      </c>
      <c r="U20" s="11" t="s">
        <v>1187</v>
      </c>
      <c r="V20" s="31" t="s">
        <v>1312</v>
      </c>
      <c r="W20" s="3"/>
      <c r="X20" s="3"/>
      <c r="Y20" s="11"/>
      <c r="Z20" s="3"/>
      <c r="AA20" s="3"/>
      <c r="AB20" s="3" t="str">
        <f t="shared" si="2"/>
        <v>Paid</v>
      </c>
      <c r="AC20" s="3"/>
    </row>
    <row r="21" spans="1:30" x14ac:dyDescent="0.25">
      <c r="A21" s="3" t="s">
        <v>5</v>
      </c>
      <c r="B21" s="12" t="s">
        <v>1316</v>
      </c>
      <c r="C21" s="10" t="e">
        <f>VLOOKUP(B21,'[1]MAY MONTH'!$B:$C,2,0)</f>
        <v>#N/A</v>
      </c>
      <c r="D21" s="12" t="s">
        <v>1315</v>
      </c>
      <c r="E21" s="12" t="s">
        <v>1314</v>
      </c>
      <c r="F21" s="10" t="s">
        <v>4</v>
      </c>
      <c r="G21" s="12" t="s">
        <v>62</v>
      </c>
      <c r="H21" s="12" t="s">
        <v>1313</v>
      </c>
      <c r="I21" s="12" t="s">
        <v>2</v>
      </c>
      <c r="J21" s="22">
        <v>46131</v>
      </c>
      <c r="K21" s="26" t="s">
        <v>9</v>
      </c>
      <c r="L21" s="3" t="s">
        <v>1</v>
      </c>
      <c r="M21" s="11" t="s">
        <v>20</v>
      </c>
      <c r="N21" s="5">
        <v>0</v>
      </c>
      <c r="O21" s="11">
        <v>8968</v>
      </c>
      <c r="P21" s="11">
        <v>8968</v>
      </c>
      <c r="Q21" s="11">
        <f t="shared" si="0"/>
        <v>0</v>
      </c>
      <c r="R21" s="11">
        <v>10000</v>
      </c>
      <c r="S21" s="11">
        <f t="shared" si="1"/>
        <v>1032</v>
      </c>
      <c r="T21" s="11">
        <v>0</v>
      </c>
      <c r="U21" s="11" t="s">
        <v>1187</v>
      </c>
      <c r="V21" s="31" t="s">
        <v>1312</v>
      </c>
      <c r="W21" s="3"/>
      <c r="X21" s="3"/>
      <c r="Y21" s="11"/>
      <c r="Z21" s="3"/>
      <c r="AA21" s="3"/>
      <c r="AB21" s="3" t="str">
        <f t="shared" si="2"/>
        <v>Paid</v>
      </c>
      <c r="AC21" s="3"/>
    </row>
    <row r="22" spans="1:30" ht="30" x14ac:dyDescent="0.25">
      <c r="A22" s="3" t="s">
        <v>5</v>
      </c>
      <c r="B22" s="10" t="s">
        <v>1311</v>
      </c>
      <c r="C22" s="10" t="e">
        <f>VLOOKUP(B22,'[1]MAY MONTH'!$B:$C,2,0)</f>
        <v>#N/A</v>
      </c>
      <c r="D22" s="10" t="s">
        <v>1310</v>
      </c>
      <c r="E22" s="10" t="s">
        <v>1309</v>
      </c>
      <c r="F22" s="10" t="s">
        <v>4</v>
      </c>
      <c r="G22" s="10" t="s">
        <v>1308</v>
      </c>
      <c r="H22" s="10" t="s">
        <v>1307</v>
      </c>
      <c r="I22" s="12">
        <v>2</v>
      </c>
      <c r="J22" s="22">
        <v>46130</v>
      </c>
      <c r="K22" s="22" t="s">
        <v>215</v>
      </c>
      <c r="L22" s="3" t="s">
        <v>35</v>
      </c>
      <c r="M22" s="11" t="s">
        <v>963</v>
      </c>
      <c r="N22" s="5">
        <v>0</v>
      </c>
      <c r="O22" s="11">
        <v>972</v>
      </c>
      <c r="P22" s="11">
        <v>1972</v>
      </c>
      <c r="Q22" s="11">
        <f t="shared" si="0"/>
        <v>1000</v>
      </c>
      <c r="R22" s="11">
        <v>10000</v>
      </c>
      <c r="S22" s="11">
        <f t="shared" si="1"/>
        <v>9028</v>
      </c>
      <c r="T22" s="11">
        <v>0</v>
      </c>
      <c r="U22" s="11" t="s">
        <v>1164</v>
      </c>
      <c r="V22" s="31" t="s">
        <v>1213</v>
      </c>
      <c r="W22" s="3" t="s">
        <v>6</v>
      </c>
      <c r="X22" s="3"/>
      <c r="Y22" s="11"/>
      <c r="Z22" s="3"/>
      <c r="AA22" s="3"/>
      <c r="AB22" s="3" t="str">
        <f t="shared" si="2"/>
        <v>Paid</v>
      </c>
      <c r="AC22" s="3"/>
    </row>
    <row r="23" spans="1:30" x14ac:dyDescent="0.25">
      <c r="A23" s="3" t="s">
        <v>5</v>
      </c>
      <c r="B23" s="10" t="s">
        <v>1306</v>
      </c>
      <c r="C23" s="10" t="e">
        <f>VLOOKUP(B23,'[1]MAY MONTH'!$B:$C,2,0)</f>
        <v>#N/A</v>
      </c>
      <c r="D23" s="10" t="s">
        <v>1305</v>
      </c>
      <c r="E23" s="10" t="s">
        <v>1304</v>
      </c>
      <c r="F23" s="10" t="s">
        <v>4</v>
      </c>
      <c r="G23" s="12" t="s">
        <v>1303</v>
      </c>
      <c r="H23" s="10" t="s">
        <v>1302</v>
      </c>
      <c r="I23" s="3">
        <v>2</v>
      </c>
      <c r="J23" s="22">
        <v>46130</v>
      </c>
      <c r="K23" s="18" t="s">
        <v>9</v>
      </c>
      <c r="L23" s="3" t="s">
        <v>8</v>
      </c>
      <c r="M23" s="11" t="s">
        <v>963</v>
      </c>
      <c r="N23" s="5">
        <v>0</v>
      </c>
      <c r="O23" s="11">
        <v>3219</v>
      </c>
      <c r="P23" s="11">
        <v>4000</v>
      </c>
      <c r="Q23" s="11">
        <f t="shared" si="0"/>
        <v>781</v>
      </c>
      <c r="R23" s="11">
        <v>10000</v>
      </c>
      <c r="S23" s="11">
        <f t="shared" si="1"/>
        <v>6781</v>
      </c>
      <c r="T23" s="11">
        <v>0</v>
      </c>
      <c r="U23" s="11" t="s">
        <v>1187</v>
      </c>
      <c r="V23" s="31" t="s">
        <v>1213</v>
      </c>
      <c r="W23" s="3"/>
      <c r="X23" s="3"/>
      <c r="Y23" s="11"/>
      <c r="Z23" s="3"/>
      <c r="AA23" s="3"/>
      <c r="AB23" s="3" t="str">
        <f t="shared" si="2"/>
        <v>Paid</v>
      </c>
      <c r="AC23" s="3"/>
    </row>
    <row r="24" spans="1:30" x14ac:dyDescent="0.25">
      <c r="A24" s="3" t="s">
        <v>5</v>
      </c>
      <c r="B24" s="10" t="s">
        <v>1301</v>
      </c>
      <c r="C24" s="10" t="e">
        <f>VLOOKUP(B24,'[1]MAY MONTH'!$B:$C,2,0)</f>
        <v>#N/A</v>
      </c>
      <c r="D24" s="10" t="s">
        <v>1300</v>
      </c>
      <c r="E24" s="10" t="s">
        <v>1299</v>
      </c>
      <c r="F24" s="10" t="s">
        <v>4</v>
      </c>
      <c r="G24" s="10" t="s">
        <v>1298</v>
      </c>
      <c r="H24" s="10" t="s">
        <v>1297</v>
      </c>
      <c r="I24" s="3">
        <v>2</v>
      </c>
      <c r="J24" s="22">
        <v>46130</v>
      </c>
      <c r="K24" s="26" t="s">
        <v>9</v>
      </c>
      <c r="L24" s="3" t="s">
        <v>8</v>
      </c>
      <c r="M24" s="11" t="s">
        <v>963</v>
      </c>
      <c r="N24" s="5">
        <v>0</v>
      </c>
      <c r="O24" s="11">
        <v>7785</v>
      </c>
      <c r="P24" s="11">
        <v>8185</v>
      </c>
      <c r="Q24" s="11">
        <f t="shared" si="0"/>
        <v>400</v>
      </c>
      <c r="R24" s="11">
        <v>10000</v>
      </c>
      <c r="S24" s="11">
        <f t="shared" si="1"/>
        <v>2215</v>
      </c>
      <c r="T24" s="11">
        <v>0</v>
      </c>
      <c r="U24" s="11" t="s">
        <v>1187</v>
      </c>
      <c r="V24" s="31" t="s">
        <v>1213</v>
      </c>
      <c r="W24" s="3"/>
      <c r="X24" s="3"/>
      <c r="Y24" s="11"/>
      <c r="Z24" s="3"/>
      <c r="AA24" s="3"/>
      <c r="AB24" s="3" t="str">
        <f t="shared" si="2"/>
        <v>Paid</v>
      </c>
      <c r="AC24" s="3"/>
    </row>
    <row r="25" spans="1:30" ht="30" x14ac:dyDescent="0.25">
      <c r="A25" s="3" t="s">
        <v>5</v>
      </c>
      <c r="B25" s="10" t="s">
        <v>1296</v>
      </c>
      <c r="C25" s="10" t="e">
        <f>VLOOKUP(B25,'[1]MAY MONTH'!$B:$C,2,0)</f>
        <v>#N/A</v>
      </c>
      <c r="D25" s="10" t="s">
        <v>1295</v>
      </c>
      <c r="E25" s="10" t="s">
        <v>1294</v>
      </c>
      <c r="F25" s="10" t="s">
        <v>4</v>
      </c>
      <c r="G25" s="10" t="s">
        <v>1293</v>
      </c>
      <c r="H25" s="10" t="s">
        <v>1292</v>
      </c>
      <c r="I25" s="10" t="s">
        <v>1291</v>
      </c>
      <c r="J25" s="22">
        <v>46131</v>
      </c>
      <c r="K25" s="26" t="s">
        <v>9</v>
      </c>
      <c r="L25" s="3" t="s">
        <v>28</v>
      </c>
      <c r="M25" s="11" t="s">
        <v>1165</v>
      </c>
      <c r="N25" s="5">
        <v>0</v>
      </c>
      <c r="O25" s="11">
        <v>1498</v>
      </c>
      <c r="P25" s="11">
        <v>2998</v>
      </c>
      <c r="Q25" s="11">
        <f t="shared" si="0"/>
        <v>1500</v>
      </c>
      <c r="R25" s="11">
        <v>10000</v>
      </c>
      <c r="S25" s="11">
        <f t="shared" si="1"/>
        <v>8502</v>
      </c>
      <c r="T25" s="11">
        <v>0</v>
      </c>
      <c r="U25" s="11" t="s">
        <v>1164</v>
      </c>
      <c r="V25" s="31" t="s">
        <v>1213</v>
      </c>
      <c r="W25" s="3" t="s">
        <v>6</v>
      </c>
      <c r="X25" s="3"/>
      <c r="Y25" s="11"/>
      <c r="Z25" s="3"/>
      <c r="AA25" s="3"/>
      <c r="AB25" s="3" t="str">
        <f t="shared" si="2"/>
        <v>Paid</v>
      </c>
      <c r="AC25" s="3"/>
    </row>
    <row r="26" spans="1:30" ht="30" x14ac:dyDescent="0.25">
      <c r="A26" s="3" t="s">
        <v>5</v>
      </c>
      <c r="B26" s="12" t="s">
        <v>1290</v>
      </c>
      <c r="C26" s="10" t="e">
        <f>VLOOKUP(B26,'[1]MAY MONTH'!$B:$C,2,0)</f>
        <v>#N/A</v>
      </c>
      <c r="D26" s="12" t="s">
        <v>1289</v>
      </c>
      <c r="E26" s="12" t="s">
        <v>1288</v>
      </c>
      <c r="F26" s="10" t="s">
        <v>4</v>
      </c>
      <c r="G26" s="29" t="s">
        <v>1054</v>
      </c>
      <c r="H26" s="10" t="s">
        <v>1287</v>
      </c>
      <c r="I26" s="29" t="s">
        <v>29</v>
      </c>
      <c r="J26" s="22">
        <v>46131</v>
      </c>
      <c r="K26" s="26" t="s">
        <v>9</v>
      </c>
      <c r="L26" s="3" t="s">
        <v>28</v>
      </c>
      <c r="M26" s="11" t="s">
        <v>1165</v>
      </c>
      <c r="N26" s="5">
        <v>0</v>
      </c>
      <c r="O26" s="11">
        <v>3467</v>
      </c>
      <c r="P26" s="11">
        <v>3900</v>
      </c>
      <c r="Q26" s="11">
        <f t="shared" si="0"/>
        <v>433</v>
      </c>
      <c r="R26" s="11">
        <v>10000</v>
      </c>
      <c r="S26" s="11">
        <f t="shared" si="1"/>
        <v>6533</v>
      </c>
      <c r="T26" s="11">
        <v>0</v>
      </c>
      <c r="U26" s="11" t="s">
        <v>1164</v>
      </c>
      <c r="V26" s="31" t="s">
        <v>1213</v>
      </c>
      <c r="W26" s="3" t="s">
        <v>6</v>
      </c>
      <c r="X26" s="3"/>
      <c r="Y26" s="11"/>
      <c r="Z26" s="3"/>
      <c r="AA26" s="3"/>
      <c r="AB26" s="3" t="str">
        <f t="shared" si="2"/>
        <v>Paid</v>
      </c>
      <c r="AC26" s="3"/>
    </row>
    <row r="27" spans="1:30" s="32" customFormat="1" x14ac:dyDescent="0.25">
      <c r="A27" s="3" t="s">
        <v>5</v>
      </c>
      <c r="B27" s="10" t="s">
        <v>1286</v>
      </c>
      <c r="C27" s="10" t="e">
        <f>VLOOKUP(B27,'[1]MAY MONTH'!$B:$C,2,0)</f>
        <v>#N/A</v>
      </c>
      <c r="D27" s="10" t="s">
        <v>1285</v>
      </c>
      <c r="E27" s="10" t="s">
        <v>1284</v>
      </c>
      <c r="F27" s="10" t="s">
        <v>21</v>
      </c>
      <c r="G27" s="12" t="s">
        <v>281</v>
      </c>
      <c r="H27" s="10" t="s">
        <v>1280</v>
      </c>
      <c r="I27" s="10" t="s">
        <v>29</v>
      </c>
      <c r="J27" s="22">
        <v>46131</v>
      </c>
      <c r="K27" s="22" t="s">
        <v>21</v>
      </c>
      <c r="L27" s="3" t="s">
        <v>28</v>
      </c>
      <c r="M27" s="34" t="s">
        <v>20</v>
      </c>
      <c r="N27" s="5">
        <v>0</v>
      </c>
      <c r="O27" s="11">
        <v>8820</v>
      </c>
      <c r="P27" s="11">
        <v>9500</v>
      </c>
      <c r="Q27" s="11">
        <f t="shared" si="0"/>
        <v>680</v>
      </c>
      <c r="R27" s="11">
        <v>10000</v>
      </c>
      <c r="S27" s="11">
        <f t="shared" si="1"/>
        <v>1180</v>
      </c>
      <c r="T27" s="11">
        <v>0</v>
      </c>
      <c r="U27" s="11" t="s">
        <v>1187</v>
      </c>
      <c r="V27" s="31" t="s">
        <v>1213</v>
      </c>
      <c r="W27" s="3"/>
      <c r="X27" s="10"/>
      <c r="Y27" s="34"/>
      <c r="Z27" s="10"/>
      <c r="AA27" s="10"/>
      <c r="AB27" s="3" t="str">
        <f t="shared" si="2"/>
        <v>Paid</v>
      </c>
      <c r="AC27" s="10"/>
      <c r="AD27" s="1"/>
    </row>
    <row r="28" spans="1:30" x14ac:dyDescent="0.25">
      <c r="A28" s="3" t="s">
        <v>5</v>
      </c>
      <c r="B28" s="10" t="s">
        <v>1283</v>
      </c>
      <c r="C28" s="10" t="e">
        <f>VLOOKUP(B28,'[1]MAY MONTH'!$B:$C,2,0)</f>
        <v>#N/A</v>
      </c>
      <c r="D28" s="10" t="s">
        <v>1282</v>
      </c>
      <c r="E28" s="10" t="s">
        <v>1281</v>
      </c>
      <c r="F28" s="10" t="s">
        <v>21</v>
      </c>
      <c r="G28" s="12" t="s">
        <v>281</v>
      </c>
      <c r="H28" s="10" t="s">
        <v>1280</v>
      </c>
      <c r="I28" s="10" t="s">
        <v>29</v>
      </c>
      <c r="J28" s="22">
        <v>46130</v>
      </c>
      <c r="K28" s="22" t="s">
        <v>21</v>
      </c>
      <c r="L28" s="3" t="s">
        <v>28</v>
      </c>
      <c r="M28" s="34" t="s">
        <v>20</v>
      </c>
      <c r="N28" s="5">
        <v>0</v>
      </c>
      <c r="O28" s="11">
        <v>8820</v>
      </c>
      <c r="P28" s="11">
        <v>9500</v>
      </c>
      <c r="Q28" s="11">
        <f t="shared" si="0"/>
        <v>680</v>
      </c>
      <c r="R28" s="11">
        <v>10000</v>
      </c>
      <c r="S28" s="11">
        <f t="shared" si="1"/>
        <v>1180</v>
      </c>
      <c r="T28" s="11">
        <v>0</v>
      </c>
      <c r="U28" s="11" t="s">
        <v>1187</v>
      </c>
      <c r="V28" s="31" t="s">
        <v>1213</v>
      </c>
      <c r="W28" s="3"/>
      <c r="X28" s="3"/>
      <c r="Y28" s="11"/>
      <c r="Z28" s="3"/>
      <c r="AA28" s="3"/>
      <c r="AB28" s="3" t="str">
        <f t="shared" si="2"/>
        <v>Paid</v>
      </c>
      <c r="AC28" s="3"/>
    </row>
    <row r="29" spans="1:30" x14ac:dyDescent="0.25">
      <c r="A29" s="3" t="s">
        <v>5</v>
      </c>
      <c r="B29" s="10" t="s">
        <v>1279</v>
      </c>
      <c r="C29" s="10" t="e">
        <f>VLOOKUP(B29,'[1]MAY MONTH'!$B:$C,2,0)</f>
        <v>#N/A</v>
      </c>
      <c r="D29" s="10" t="s">
        <v>1278</v>
      </c>
      <c r="E29" s="10" t="s">
        <v>1277</v>
      </c>
      <c r="F29" s="10" t="s">
        <v>4</v>
      </c>
      <c r="G29" s="10" t="s">
        <v>1276</v>
      </c>
      <c r="H29" s="10" t="s">
        <v>1275</v>
      </c>
      <c r="I29" s="10" t="s">
        <v>10</v>
      </c>
      <c r="J29" s="22">
        <v>46130</v>
      </c>
      <c r="K29" s="10" t="s">
        <v>9</v>
      </c>
      <c r="L29" s="10" t="s">
        <v>8</v>
      </c>
      <c r="M29" s="10" t="s">
        <v>11</v>
      </c>
      <c r="N29" s="5">
        <v>0</v>
      </c>
      <c r="O29" s="11">
        <v>5192</v>
      </c>
      <c r="P29" s="11">
        <v>5192</v>
      </c>
      <c r="Q29" s="11">
        <f t="shared" si="0"/>
        <v>0</v>
      </c>
      <c r="R29" s="11">
        <v>10000</v>
      </c>
      <c r="S29" s="11">
        <f t="shared" si="1"/>
        <v>4808</v>
      </c>
      <c r="T29" s="11">
        <v>0</v>
      </c>
      <c r="U29" s="11" t="s">
        <v>1187</v>
      </c>
      <c r="V29" s="31" t="s">
        <v>1213</v>
      </c>
      <c r="W29" s="3"/>
      <c r="X29" s="3"/>
      <c r="Y29" s="11"/>
      <c r="Z29" s="3"/>
      <c r="AA29" s="3"/>
      <c r="AB29" s="3" t="str">
        <f t="shared" si="2"/>
        <v>Paid</v>
      </c>
      <c r="AC29" s="3"/>
    </row>
    <row r="30" spans="1:30" s="32" customFormat="1" x14ac:dyDescent="0.25">
      <c r="A30" s="3" t="s">
        <v>5</v>
      </c>
      <c r="B30" s="29" t="s">
        <v>1274</v>
      </c>
      <c r="C30" s="10" t="e">
        <f>VLOOKUP(B30,'[1]MAY MONTH'!$B:$C,2,0)</f>
        <v>#N/A</v>
      </c>
      <c r="D30" s="3" t="s">
        <v>1273</v>
      </c>
      <c r="E30" s="29" t="s">
        <v>1272</v>
      </c>
      <c r="F30" s="10" t="s">
        <v>4</v>
      </c>
      <c r="G30" s="10" t="s">
        <v>334</v>
      </c>
      <c r="H30" s="10" t="s">
        <v>1271</v>
      </c>
      <c r="I30" s="10" t="s">
        <v>1270</v>
      </c>
      <c r="J30" s="22">
        <v>46130</v>
      </c>
      <c r="K30" s="10" t="s">
        <v>9</v>
      </c>
      <c r="L30" s="10" t="s">
        <v>35</v>
      </c>
      <c r="M30" s="10" t="s">
        <v>11</v>
      </c>
      <c r="N30" s="5">
        <v>0</v>
      </c>
      <c r="O30" s="11">
        <v>6782</v>
      </c>
      <c r="P30" s="11">
        <v>7282</v>
      </c>
      <c r="Q30" s="11">
        <f t="shared" si="0"/>
        <v>500</v>
      </c>
      <c r="R30" s="11">
        <v>10000</v>
      </c>
      <c r="S30" s="11">
        <f t="shared" si="1"/>
        <v>3218</v>
      </c>
      <c r="T30" s="11">
        <v>0</v>
      </c>
      <c r="U30" s="27" t="s">
        <v>1187</v>
      </c>
      <c r="V30" s="35" t="s">
        <v>1213</v>
      </c>
      <c r="W30" s="3"/>
      <c r="X30" s="10"/>
      <c r="Y30" s="34"/>
      <c r="Z30" s="10"/>
      <c r="AA30" s="10"/>
      <c r="AB30" s="3" t="str">
        <f t="shared" si="2"/>
        <v>Paid</v>
      </c>
      <c r="AC30" s="10"/>
      <c r="AD30" s="1"/>
    </row>
    <row r="31" spans="1:30" s="32" customFormat="1" x14ac:dyDescent="0.25">
      <c r="A31" s="3" t="s">
        <v>5</v>
      </c>
      <c r="B31" s="10" t="s">
        <v>1269</v>
      </c>
      <c r="C31" s="10" t="e">
        <f>VLOOKUP(B31,'[1]MAY MONTH'!$B:$C,2,0)</f>
        <v>#N/A</v>
      </c>
      <c r="D31" s="10" t="s">
        <v>1268</v>
      </c>
      <c r="E31" s="10" t="s">
        <v>1267</v>
      </c>
      <c r="F31" s="10" t="s">
        <v>4</v>
      </c>
      <c r="G31" s="10" t="s">
        <v>24</v>
      </c>
      <c r="H31" s="10" t="s">
        <v>1263</v>
      </c>
      <c r="I31" s="10" t="s">
        <v>10</v>
      </c>
      <c r="J31" s="22">
        <v>46130</v>
      </c>
      <c r="K31" s="10" t="s">
        <v>9</v>
      </c>
      <c r="L31" s="10" t="s">
        <v>8</v>
      </c>
      <c r="M31" s="10" t="s">
        <v>11</v>
      </c>
      <c r="N31" s="5">
        <v>0</v>
      </c>
      <c r="O31" s="11">
        <v>5192</v>
      </c>
      <c r="P31" s="11">
        <v>5692</v>
      </c>
      <c r="Q31" s="11">
        <f t="shared" si="0"/>
        <v>500</v>
      </c>
      <c r="R31" s="11">
        <v>10000</v>
      </c>
      <c r="S31" s="11">
        <f t="shared" si="1"/>
        <v>4808</v>
      </c>
      <c r="T31" s="11">
        <v>0</v>
      </c>
      <c r="U31" s="27" t="s">
        <v>1187</v>
      </c>
      <c r="V31" s="35" t="s">
        <v>1213</v>
      </c>
      <c r="W31" s="10"/>
      <c r="X31" s="10"/>
      <c r="Y31" s="34"/>
      <c r="Z31" s="10"/>
      <c r="AA31" s="10"/>
      <c r="AB31" s="3" t="str">
        <f t="shared" si="2"/>
        <v>Paid</v>
      </c>
      <c r="AC31" s="10"/>
      <c r="AD31" s="1"/>
    </row>
    <row r="32" spans="1:30" ht="30" x14ac:dyDescent="0.25">
      <c r="A32" s="3" t="s">
        <v>5</v>
      </c>
      <c r="B32" s="10" t="s">
        <v>1266</v>
      </c>
      <c r="C32" s="10" t="e">
        <f>VLOOKUP(B32,'[1]MAY MONTH'!$B:$C,2,0)</f>
        <v>#N/A</v>
      </c>
      <c r="D32" s="10" t="s">
        <v>1265</v>
      </c>
      <c r="E32" s="10" t="s">
        <v>1264</v>
      </c>
      <c r="F32" s="10" t="s">
        <v>4</v>
      </c>
      <c r="G32" s="10" t="s">
        <v>24</v>
      </c>
      <c r="H32" s="10" t="s">
        <v>1263</v>
      </c>
      <c r="I32" s="10" t="s">
        <v>1262</v>
      </c>
      <c r="J32" s="22">
        <v>46131</v>
      </c>
      <c r="K32" s="10" t="s">
        <v>9</v>
      </c>
      <c r="L32" s="10" t="s">
        <v>8</v>
      </c>
      <c r="M32" s="10" t="s">
        <v>11</v>
      </c>
      <c r="N32" s="5">
        <v>0</v>
      </c>
      <c r="O32" s="11">
        <v>7269</v>
      </c>
      <c r="P32" s="11">
        <v>7769</v>
      </c>
      <c r="Q32" s="11">
        <f t="shared" si="0"/>
        <v>500</v>
      </c>
      <c r="R32" s="11">
        <v>10000</v>
      </c>
      <c r="S32" s="11">
        <f t="shared" si="1"/>
        <v>2731</v>
      </c>
      <c r="T32" s="11">
        <v>0</v>
      </c>
      <c r="U32" s="11" t="s">
        <v>1164</v>
      </c>
      <c r="V32" s="31">
        <v>46132</v>
      </c>
      <c r="W32" s="3" t="s">
        <v>6</v>
      </c>
      <c r="X32" s="3"/>
      <c r="Y32" s="11"/>
      <c r="Z32" s="3"/>
      <c r="AA32" s="3"/>
      <c r="AB32" s="3" t="str">
        <f t="shared" si="2"/>
        <v>Paid</v>
      </c>
      <c r="AC32" s="3"/>
    </row>
    <row r="33" spans="1:30" x14ac:dyDescent="0.25">
      <c r="A33" s="3" t="s">
        <v>5</v>
      </c>
      <c r="B33" s="29" t="s">
        <v>1261</v>
      </c>
      <c r="C33" s="10" t="e">
        <f>VLOOKUP(B33,'[1]MAY MONTH'!$B:$C,2,0)</f>
        <v>#N/A</v>
      </c>
      <c r="D33" s="29" t="s">
        <v>1260</v>
      </c>
      <c r="E33" s="29" t="s">
        <v>534</v>
      </c>
      <c r="F33" s="10" t="s">
        <v>4</v>
      </c>
      <c r="G33" s="29" t="s">
        <v>899</v>
      </c>
      <c r="H33" s="10" t="s">
        <v>1259</v>
      </c>
      <c r="I33" s="10" t="s">
        <v>10</v>
      </c>
      <c r="J33" s="22">
        <v>46130</v>
      </c>
      <c r="K33" s="10" t="s">
        <v>9</v>
      </c>
      <c r="L33" s="10" t="s">
        <v>8</v>
      </c>
      <c r="M33" s="10" t="s">
        <v>11</v>
      </c>
      <c r="N33" s="5">
        <v>0</v>
      </c>
      <c r="O33" s="11">
        <v>7785</v>
      </c>
      <c r="P33" s="11">
        <v>8185</v>
      </c>
      <c r="Q33" s="11">
        <f t="shared" si="0"/>
        <v>400</v>
      </c>
      <c r="R33" s="11">
        <v>10000</v>
      </c>
      <c r="S33" s="11">
        <f t="shared" si="1"/>
        <v>2215</v>
      </c>
      <c r="T33" s="11">
        <v>0</v>
      </c>
      <c r="U33" s="11" t="s">
        <v>1187</v>
      </c>
      <c r="V33" s="31" t="s">
        <v>1213</v>
      </c>
      <c r="W33" s="3"/>
      <c r="X33" s="3"/>
      <c r="Y33" s="11"/>
      <c r="Z33" s="3"/>
      <c r="AA33" s="3"/>
      <c r="AB33" s="3" t="str">
        <f t="shared" si="2"/>
        <v>Paid</v>
      </c>
      <c r="AC33" s="3"/>
    </row>
    <row r="34" spans="1:30" x14ac:dyDescent="0.25">
      <c r="A34" s="3" t="s">
        <v>5</v>
      </c>
      <c r="B34" s="29" t="s">
        <v>1258</v>
      </c>
      <c r="C34" s="10" t="e">
        <f>VLOOKUP(B34,'[1]MAY MONTH'!$B:$C,2,0)</f>
        <v>#N/A</v>
      </c>
      <c r="D34" s="29" t="s">
        <v>1257</v>
      </c>
      <c r="E34" s="29" t="s">
        <v>1256</v>
      </c>
      <c r="F34" s="10" t="s">
        <v>4</v>
      </c>
      <c r="G34" s="10" t="s">
        <v>851</v>
      </c>
      <c r="H34" s="10" t="s">
        <v>537</v>
      </c>
      <c r="I34" s="10" t="s">
        <v>10</v>
      </c>
      <c r="J34" s="22">
        <v>46131</v>
      </c>
      <c r="K34" s="10" t="s">
        <v>9</v>
      </c>
      <c r="L34" s="10" t="s">
        <v>8</v>
      </c>
      <c r="M34" s="10" t="s">
        <v>11</v>
      </c>
      <c r="N34" s="5">
        <v>0</v>
      </c>
      <c r="O34" s="11">
        <v>5535</v>
      </c>
      <c r="P34" s="11">
        <v>5935</v>
      </c>
      <c r="Q34" s="11">
        <f t="shared" si="0"/>
        <v>400</v>
      </c>
      <c r="R34" s="11">
        <v>10000</v>
      </c>
      <c r="S34" s="11">
        <f t="shared" si="1"/>
        <v>4465</v>
      </c>
      <c r="T34" s="11">
        <v>0</v>
      </c>
      <c r="U34" s="11" t="s">
        <v>1187</v>
      </c>
      <c r="V34" s="31" t="s">
        <v>1213</v>
      </c>
      <c r="W34" s="3"/>
      <c r="X34" s="3"/>
      <c r="Y34" s="11"/>
      <c r="Z34" s="3"/>
      <c r="AA34" s="3"/>
      <c r="AB34" s="3" t="str">
        <f t="shared" si="2"/>
        <v>Paid</v>
      </c>
      <c r="AC34" s="3"/>
    </row>
    <row r="35" spans="1:30" ht="30" x14ac:dyDescent="0.25">
      <c r="A35" s="3" t="s">
        <v>5</v>
      </c>
      <c r="B35" s="29" t="s">
        <v>1255</v>
      </c>
      <c r="C35" s="10" t="e">
        <f>VLOOKUP(B35,'[1]MAY MONTH'!$B:$C,2,0)</f>
        <v>#N/A</v>
      </c>
      <c r="D35" s="29" t="s">
        <v>1254</v>
      </c>
      <c r="E35" s="37" t="s">
        <v>1253</v>
      </c>
      <c r="F35" s="10" t="s">
        <v>21</v>
      </c>
      <c r="G35" s="29" t="s">
        <v>1036</v>
      </c>
      <c r="H35" s="29" t="s">
        <v>1252</v>
      </c>
      <c r="I35" s="3" t="s">
        <v>89</v>
      </c>
      <c r="J35" s="22">
        <v>46131</v>
      </c>
      <c r="K35" s="22" t="s">
        <v>21</v>
      </c>
      <c r="L35" s="3" t="s">
        <v>35</v>
      </c>
      <c r="M35" s="11" t="s">
        <v>963</v>
      </c>
      <c r="N35" s="5">
        <v>0</v>
      </c>
      <c r="O35" s="11">
        <v>5000</v>
      </c>
      <c r="P35" s="11">
        <v>6500</v>
      </c>
      <c r="Q35" s="11">
        <f t="shared" si="0"/>
        <v>1500</v>
      </c>
      <c r="R35" s="11">
        <v>10000</v>
      </c>
      <c r="S35" s="11">
        <f t="shared" si="1"/>
        <v>5000</v>
      </c>
      <c r="T35" s="11">
        <v>0</v>
      </c>
      <c r="U35" s="11" t="s">
        <v>1164</v>
      </c>
      <c r="V35" s="31" t="s">
        <v>1213</v>
      </c>
      <c r="W35" s="3" t="s">
        <v>6</v>
      </c>
      <c r="X35" s="3"/>
      <c r="Y35" s="11"/>
      <c r="Z35" s="3"/>
      <c r="AA35" s="3"/>
      <c r="AB35" s="3" t="str">
        <f t="shared" si="2"/>
        <v>Paid</v>
      </c>
      <c r="AC35" s="3"/>
    </row>
    <row r="36" spans="1:30" ht="30" x14ac:dyDescent="0.25">
      <c r="A36" s="3" t="s">
        <v>5</v>
      </c>
      <c r="B36" s="29" t="s">
        <v>1251</v>
      </c>
      <c r="C36" s="10" t="e">
        <f>VLOOKUP(B36,'[1]MAY MONTH'!$B:$C,2,0)</f>
        <v>#N/A</v>
      </c>
      <c r="D36" s="10" t="s">
        <v>1250</v>
      </c>
      <c r="E36" s="39" t="s">
        <v>1249</v>
      </c>
      <c r="F36" s="10" t="s">
        <v>4</v>
      </c>
      <c r="G36" s="10" t="s">
        <v>831</v>
      </c>
      <c r="H36" s="10" t="s">
        <v>1248</v>
      </c>
      <c r="I36" s="12" t="s">
        <v>36</v>
      </c>
      <c r="J36" s="22">
        <v>46131</v>
      </c>
      <c r="K36" s="22" t="s">
        <v>215</v>
      </c>
      <c r="L36" s="3" t="s">
        <v>35</v>
      </c>
      <c r="M36" s="11" t="s">
        <v>963</v>
      </c>
      <c r="N36" s="5">
        <v>0</v>
      </c>
      <c r="O36" s="11">
        <v>2079</v>
      </c>
      <c r="P36" s="11">
        <v>3079</v>
      </c>
      <c r="Q36" s="11">
        <f t="shared" si="0"/>
        <v>1000</v>
      </c>
      <c r="R36" s="11">
        <v>10000</v>
      </c>
      <c r="S36" s="11">
        <f t="shared" si="1"/>
        <v>7921</v>
      </c>
      <c r="T36" s="11">
        <v>0</v>
      </c>
      <c r="U36" s="11" t="s">
        <v>1164</v>
      </c>
      <c r="V36" s="31">
        <v>46131</v>
      </c>
      <c r="W36" s="3" t="s">
        <v>6</v>
      </c>
      <c r="X36" s="3"/>
      <c r="Y36" s="11"/>
      <c r="Z36" s="3"/>
      <c r="AA36" s="3"/>
      <c r="AB36" s="3" t="str">
        <f t="shared" si="2"/>
        <v>Paid</v>
      </c>
      <c r="AC36" s="3"/>
    </row>
    <row r="37" spans="1:30" s="32" customFormat="1" x14ac:dyDescent="0.25">
      <c r="A37" s="3" t="s">
        <v>5</v>
      </c>
      <c r="B37" s="10" t="s">
        <v>1247</v>
      </c>
      <c r="C37" s="10" t="e">
        <f>VLOOKUP(B37,'[1]MAY MONTH'!$B:$C,2,0)</f>
        <v>#N/A</v>
      </c>
      <c r="D37" s="10" t="s">
        <v>1246</v>
      </c>
      <c r="E37" s="10" t="s">
        <v>1245</v>
      </c>
      <c r="F37" s="10" t="s">
        <v>82</v>
      </c>
      <c r="G37" s="10" t="s">
        <v>1083</v>
      </c>
      <c r="H37" s="10" t="s">
        <v>1244</v>
      </c>
      <c r="I37" s="10" t="s">
        <v>36</v>
      </c>
      <c r="J37" s="22">
        <v>46131</v>
      </c>
      <c r="K37" s="28" t="s">
        <v>82</v>
      </c>
      <c r="L37" s="3" t="s">
        <v>8</v>
      </c>
      <c r="M37" s="34" t="s">
        <v>963</v>
      </c>
      <c r="N37" s="5">
        <v>0</v>
      </c>
      <c r="O37" s="11">
        <v>9500</v>
      </c>
      <c r="P37" s="11">
        <v>9750</v>
      </c>
      <c r="Q37" s="11">
        <f t="shared" si="0"/>
        <v>250</v>
      </c>
      <c r="R37" s="11">
        <v>10000</v>
      </c>
      <c r="S37" s="11">
        <f t="shared" si="1"/>
        <v>500</v>
      </c>
      <c r="T37" s="11">
        <v>0</v>
      </c>
      <c r="U37" s="27" t="s">
        <v>1187</v>
      </c>
      <c r="V37" s="35" t="s">
        <v>1213</v>
      </c>
      <c r="W37" s="3"/>
      <c r="X37" s="10"/>
      <c r="Y37" s="34"/>
      <c r="Z37" s="10"/>
      <c r="AA37" s="10"/>
      <c r="AB37" s="3" t="str">
        <f t="shared" si="2"/>
        <v>Paid</v>
      </c>
      <c r="AC37" s="10"/>
      <c r="AD37" s="1"/>
    </row>
    <row r="38" spans="1:30" ht="30" x14ac:dyDescent="0.25">
      <c r="A38" s="3" t="s">
        <v>5</v>
      </c>
      <c r="B38" s="25" t="s">
        <v>1243</v>
      </c>
      <c r="C38" s="10" t="e">
        <f>VLOOKUP(B38,'[1]MAY MONTH'!$B:$C,2,0)</f>
        <v>#N/A</v>
      </c>
      <c r="D38" s="10" t="s">
        <v>1242</v>
      </c>
      <c r="E38" s="37" t="s">
        <v>1241</v>
      </c>
      <c r="F38" s="10" t="s">
        <v>21</v>
      </c>
      <c r="G38" s="12" t="s">
        <v>802</v>
      </c>
      <c r="H38" s="12" t="s">
        <v>1240</v>
      </c>
      <c r="I38" s="12" t="s">
        <v>36</v>
      </c>
      <c r="J38" s="22">
        <v>46131</v>
      </c>
      <c r="K38" s="22" t="s">
        <v>21</v>
      </c>
      <c r="L38" s="3" t="s">
        <v>35</v>
      </c>
      <c r="M38" s="11" t="s">
        <v>963</v>
      </c>
      <c r="N38" s="5">
        <v>0</v>
      </c>
      <c r="O38" s="11">
        <v>9282</v>
      </c>
      <c r="P38" s="11">
        <v>9682</v>
      </c>
      <c r="Q38" s="11">
        <f t="shared" si="0"/>
        <v>400</v>
      </c>
      <c r="R38" s="11">
        <v>10000</v>
      </c>
      <c r="S38" s="11">
        <f t="shared" si="1"/>
        <v>718</v>
      </c>
      <c r="T38" s="11">
        <v>0</v>
      </c>
      <c r="U38" s="11" t="s">
        <v>1164</v>
      </c>
      <c r="V38" s="31">
        <v>46131</v>
      </c>
      <c r="W38" s="3" t="s">
        <v>1239</v>
      </c>
      <c r="X38" s="3"/>
      <c r="Y38" s="11"/>
      <c r="Z38" s="3"/>
      <c r="AA38" s="3"/>
      <c r="AB38" s="3" t="str">
        <f t="shared" si="2"/>
        <v>Paid</v>
      </c>
      <c r="AC38" s="3"/>
    </row>
    <row r="39" spans="1:30" s="32" customFormat="1" x14ac:dyDescent="0.25">
      <c r="A39" s="3" t="s">
        <v>5</v>
      </c>
      <c r="B39" s="10" t="s">
        <v>1238</v>
      </c>
      <c r="C39" s="10" t="e">
        <f>VLOOKUP(B39,'[1]MAY MONTH'!$B:$C,2,0)</f>
        <v>#N/A</v>
      </c>
      <c r="D39" s="10" t="s">
        <v>1237</v>
      </c>
      <c r="E39" s="10" t="s">
        <v>1236</v>
      </c>
      <c r="F39" s="10" t="s">
        <v>82</v>
      </c>
      <c r="G39" s="10" t="s">
        <v>904</v>
      </c>
      <c r="H39" s="10" t="s">
        <v>1235</v>
      </c>
      <c r="I39" s="10" t="s">
        <v>36</v>
      </c>
      <c r="J39" s="22">
        <v>46131</v>
      </c>
      <c r="K39" s="28" t="s">
        <v>82</v>
      </c>
      <c r="L39" s="3" t="s">
        <v>8</v>
      </c>
      <c r="M39" s="34" t="s">
        <v>963</v>
      </c>
      <c r="N39" s="5">
        <v>0</v>
      </c>
      <c r="O39" s="11">
        <v>10000</v>
      </c>
      <c r="P39" s="11">
        <f>O39</f>
        <v>10000</v>
      </c>
      <c r="Q39" s="11">
        <f t="shared" si="0"/>
        <v>0</v>
      </c>
      <c r="R39" s="11">
        <v>10000</v>
      </c>
      <c r="S39" s="11">
        <f t="shared" si="1"/>
        <v>0</v>
      </c>
      <c r="T39" s="11">
        <v>0</v>
      </c>
      <c r="U39" s="27" t="s">
        <v>1187</v>
      </c>
      <c r="V39" s="35" t="s">
        <v>1213</v>
      </c>
      <c r="W39" s="10"/>
      <c r="X39" s="10"/>
      <c r="Y39" s="34"/>
      <c r="Z39" s="10"/>
      <c r="AA39" s="10"/>
      <c r="AB39" s="3" t="str">
        <f t="shared" si="2"/>
        <v>Paid</v>
      </c>
      <c r="AC39" s="10"/>
      <c r="AD39" s="1"/>
    </row>
    <row r="40" spans="1:30" ht="30" x14ac:dyDescent="0.25">
      <c r="A40" s="10" t="s">
        <v>5</v>
      </c>
      <c r="B40" s="10" t="s">
        <v>1234</v>
      </c>
      <c r="C40" s="10" t="e">
        <f>VLOOKUP(B40,'[1]MAY MONTH'!$B:$C,2,0)</f>
        <v>#N/A</v>
      </c>
      <c r="D40" s="10" t="s">
        <v>1233</v>
      </c>
      <c r="E40" s="10" t="s">
        <v>1232</v>
      </c>
      <c r="F40" s="10" t="s">
        <v>82</v>
      </c>
      <c r="G40" s="10" t="s">
        <v>755</v>
      </c>
      <c r="H40" s="10" t="s">
        <v>338</v>
      </c>
      <c r="I40" s="12" t="s">
        <v>36</v>
      </c>
      <c r="J40" s="22">
        <v>46131</v>
      </c>
      <c r="K40" s="28" t="s">
        <v>82</v>
      </c>
      <c r="L40" s="3" t="s">
        <v>8</v>
      </c>
      <c r="M40" s="11" t="s">
        <v>963</v>
      </c>
      <c r="N40" s="5">
        <v>0</v>
      </c>
      <c r="O40" s="11">
        <v>10000</v>
      </c>
      <c r="P40" s="11">
        <f>O40</f>
        <v>10000</v>
      </c>
      <c r="Q40" s="11">
        <f t="shared" si="0"/>
        <v>0</v>
      </c>
      <c r="R40" s="11">
        <v>10000</v>
      </c>
      <c r="S40" s="11">
        <f t="shared" si="1"/>
        <v>0</v>
      </c>
      <c r="T40" s="11">
        <v>0</v>
      </c>
      <c r="U40" s="11" t="s">
        <v>1164</v>
      </c>
      <c r="V40" s="31" t="s">
        <v>1213</v>
      </c>
      <c r="W40" s="3" t="s">
        <v>6</v>
      </c>
      <c r="X40" s="3"/>
      <c r="Y40" s="11"/>
      <c r="Z40" s="3"/>
      <c r="AA40" s="3"/>
      <c r="AB40" s="3" t="str">
        <f t="shared" si="2"/>
        <v>Paid</v>
      </c>
      <c r="AC40" s="3"/>
    </row>
    <row r="41" spans="1:30" ht="30" x14ac:dyDescent="0.25">
      <c r="A41" s="3" t="s">
        <v>5</v>
      </c>
      <c r="B41" s="29" t="s">
        <v>1231</v>
      </c>
      <c r="C41" s="10" t="e">
        <f>VLOOKUP(B41,'[1]MAY MONTH'!$B:$C,2,0)</f>
        <v>#N/A</v>
      </c>
      <c r="D41" s="29" t="s">
        <v>1230</v>
      </c>
      <c r="E41" s="29" t="s">
        <v>1229</v>
      </c>
      <c r="F41" s="10" t="s">
        <v>4</v>
      </c>
      <c r="G41" s="10" t="s">
        <v>691</v>
      </c>
      <c r="H41" s="10" t="s">
        <v>969</v>
      </c>
      <c r="I41" s="3" t="s">
        <v>36</v>
      </c>
      <c r="J41" s="22">
        <v>46131</v>
      </c>
      <c r="K41" s="22" t="s">
        <v>215</v>
      </c>
      <c r="L41" s="3" t="s">
        <v>8</v>
      </c>
      <c r="M41" s="11" t="s">
        <v>963</v>
      </c>
      <c r="N41" s="5">
        <v>0</v>
      </c>
      <c r="O41" s="11">
        <v>2513</v>
      </c>
      <c r="P41" s="11">
        <v>3513</v>
      </c>
      <c r="Q41" s="11">
        <f t="shared" si="0"/>
        <v>1000</v>
      </c>
      <c r="R41" s="11">
        <v>10000</v>
      </c>
      <c r="S41" s="11">
        <f t="shared" si="1"/>
        <v>7487</v>
      </c>
      <c r="T41" s="11">
        <v>0</v>
      </c>
      <c r="U41" s="11" t="s">
        <v>1164</v>
      </c>
      <c r="V41" s="31">
        <v>46131</v>
      </c>
      <c r="W41" s="3" t="s">
        <v>6</v>
      </c>
      <c r="X41" s="3"/>
      <c r="Y41" s="11"/>
      <c r="Z41" s="3"/>
      <c r="AA41" s="3"/>
      <c r="AB41" s="3" t="str">
        <f t="shared" si="2"/>
        <v>Paid</v>
      </c>
      <c r="AC41" s="3"/>
    </row>
    <row r="42" spans="1:30" ht="30" x14ac:dyDescent="0.25">
      <c r="A42" s="3" t="s">
        <v>5</v>
      </c>
      <c r="B42" s="29" t="s">
        <v>1228</v>
      </c>
      <c r="C42" s="10" t="e">
        <f>VLOOKUP(B42,'[1]MAY MONTH'!$B:$C,2,0)</f>
        <v>#N/A</v>
      </c>
      <c r="D42" s="29" t="s">
        <v>1227</v>
      </c>
      <c r="E42" s="29" t="s">
        <v>1226</v>
      </c>
      <c r="F42" s="10" t="s">
        <v>4</v>
      </c>
      <c r="G42" s="10" t="s">
        <v>276</v>
      </c>
      <c r="H42" s="10" t="s">
        <v>1225</v>
      </c>
      <c r="I42" s="3" t="s">
        <v>36</v>
      </c>
      <c r="J42" s="22">
        <v>46131</v>
      </c>
      <c r="K42" s="26" t="s">
        <v>9</v>
      </c>
      <c r="L42" s="3" t="s">
        <v>8</v>
      </c>
      <c r="M42" s="11" t="s">
        <v>963</v>
      </c>
      <c r="N42" s="5">
        <v>0</v>
      </c>
      <c r="O42" s="11">
        <v>4720</v>
      </c>
      <c r="P42" s="11">
        <v>6220</v>
      </c>
      <c r="Q42" s="11">
        <f t="shared" si="0"/>
        <v>1500</v>
      </c>
      <c r="R42" s="11">
        <v>10000</v>
      </c>
      <c r="S42" s="11">
        <f t="shared" si="1"/>
        <v>5280</v>
      </c>
      <c r="T42" s="11">
        <v>0</v>
      </c>
      <c r="U42" s="11" t="s">
        <v>1164</v>
      </c>
      <c r="V42" s="31" t="s">
        <v>1213</v>
      </c>
      <c r="W42" s="3" t="s">
        <v>6</v>
      </c>
      <c r="X42" s="3"/>
      <c r="Y42" s="11"/>
      <c r="Z42" s="3"/>
      <c r="AA42" s="3"/>
      <c r="AB42" s="3" t="str">
        <f t="shared" si="2"/>
        <v>Paid</v>
      </c>
      <c r="AC42" s="3"/>
    </row>
    <row r="43" spans="1:30" s="32" customFormat="1" ht="30" x14ac:dyDescent="0.25">
      <c r="A43" s="3" t="s">
        <v>5</v>
      </c>
      <c r="B43" s="10" t="s">
        <v>1224</v>
      </c>
      <c r="C43" s="10" t="e">
        <f>VLOOKUP(B43,'[1]MAY MONTH'!$B:$C,2,0)</f>
        <v>#N/A</v>
      </c>
      <c r="D43" s="12" t="s">
        <v>1223</v>
      </c>
      <c r="E43" s="39" t="s">
        <v>1222</v>
      </c>
      <c r="F43" s="10" t="s">
        <v>4</v>
      </c>
      <c r="G43" s="10" t="s">
        <v>1036</v>
      </c>
      <c r="H43" s="10" t="s">
        <v>1221</v>
      </c>
      <c r="I43" s="10" t="s">
        <v>169</v>
      </c>
      <c r="J43" s="22">
        <v>46131</v>
      </c>
      <c r="K43" s="19" t="s">
        <v>9</v>
      </c>
      <c r="L43" s="3" t="s">
        <v>35</v>
      </c>
      <c r="M43" s="34" t="s">
        <v>963</v>
      </c>
      <c r="N43" s="5">
        <v>0</v>
      </c>
      <c r="O43" s="11">
        <v>7811</v>
      </c>
      <c r="P43" s="11">
        <v>8411</v>
      </c>
      <c r="Q43" s="11">
        <f t="shared" si="0"/>
        <v>600</v>
      </c>
      <c r="R43" s="11">
        <v>10000</v>
      </c>
      <c r="S43" s="11">
        <f t="shared" si="1"/>
        <v>2189</v>
      </c>
      <c r="T43" s="11">
        <v>0</v>
      </c>
      <c r="U43" s="5" t="s">
        <v>1164</v>
      </c>
      <c r="V43" s="31">
        <v>46131</v>
      </c>
      <c r="W43" s="3" t="s">
        <v>6</v>
      </c>
      <c r="X43" s="3"/>
      <c r="Y43" s="34"/>
      <c r="Z43" s="10"/>
      <c r="AA43" s="10"/>
      <c r="AB43" s="3" t="str">
        <f t="shared" si="2"/>
        <v>Paid</v>
      </c>
      <c r="AC43" s="10"/>
      <c r="AD43" s="1"/>
    </row>
    <row r="44" spans="1:30" ht="30" x14ac:dyDescent="0.25">
      <c r="A44" s="3" t="s">
        <v>5</v>
      </c>
      <c r="B44" s="10" t="s">
        <v>1220</v>
      </c>
      <c r="C44" s="10" t="e">
        <f>VLOOKUP(B44,'[1]MAY MONTH'!$B:$C,2,0)</f>
        <v>#N/A</v>
      </c>
      <c r="D44" s="12" t="s">
        <v>678</v>
      </c>
      <c r="E44" s="10" t="s">
        <v>1219</v>
      </c>
      <c r="F44" s="10" t="s">
        <v>4</v>
      </c>
      <c r="G44" s="10" t="s">
        <v>557</v>
      </c>
      <c r="H44" s="10" t="s">
        <v>556</v>
      </c>
      <c r="I44" s="12" t="s">
        <v>36</v>
      </c>
      <c r="J44" s="22">
        <v>46131</v>
      </c>
      <c r="K44" s="26" t="s">
        <v>9</v>
      </c>
      <c r="L44" s="3" t="s">
        <v>8</v>
      </c>
      <c r="M44" s="11" t="s">
        <v>963</v>
      </c>
      <c r="N44" s="5">
        <v>0</v>
      </c>
      <c r="O44" s="11">
        <v>3656</v>
      </c>
      <c r="P44" s="11">
        <v>4656</v>
      </c>
      <c r="Q44" s="11">
        <f t="shared" si="0"/>
        <v>1000</v>
      </c>
      <c r="R44" s="11">
        <v>10000</v>
      </c>
      <c r="S44" s="11">
        <f t="shared" si="1"/>
        <v>6344</v>
      </c>
      <c r="T44" s="11">
        <v>0</v>
      </c>
      <c r="U44" s="5" t="s">
        <v>1164</v>
      </c>
      <c r="V44" s="31" t="s">
        <v>1213</v>
      </c>
      <c r="W44" s="3" t="s">
        <v>6</v>
      </c>
      <c r="X44" s="3"/>
      <c r="Y44" s="11"/>
      <c r="Z44" s="3"/>
      <c r="AA44" s="3"/>
      <c r="AB44" s="3" t="str">
        <f t="shared" si="2"/>
        <v>Paid</v>
      </c>
      <c r="AC44" s="3"/>
    </row>
    <row r="45" spans="1:30" s="32" customFormat="1" ht="30" x14ac:dyDescent="0.25">
      <c r="A45" s="3" t="s">
        <v>5</v>
      </c>
      <c r="B45" s="10" t="s">
        <v>1218</v>
      </c>
      <c r="C45" s="10" t="e">
        <f>VLOOKUP(B45,'[1]MAY MONTH'!$B:$C,2,0)</f>
        <v>#N/A</v>
      </c>
      <c r="D45" s="10" t="s">
        <v>1217</v>
      </c>
      <c r="E45" s="10" t="s">
        <v>1216</v>
      </c>
      <c r="F45" s="10" t="s">
        <v>4</v>
      </c>
      <c r="G45" s="10" t="s">
        <v>1215</v>
      </c>
      <c r="H45" s="10" t="s">
        <v>1460</v>
      </c>
      <c r="I45" s="10" t="s">
        <v>1214</v>
      </c>
      <c r="J45" s="22">
        <v>46130</v>
      </c>
      <c r="K45" s="22" t="s">
        <v>215</v>
      </c>
      <c r="L45" s="10" t="s">
        <v>1</v>
      </c>
      <c r="M45" s="34" t="s">
        <v>20</v>
      </c>
      <c r="N45" s="5">
        <v>0</v>
      </c>
      <c r="O45" s="11">
        <v>7217</v>
      </c>
      <c r="P45" s="11">
        <v>8217</v>
      </c>
      <c r="Q45" s="11">
        <f t="shared" si="0"/>
        <v>1000</v>
      </c>
      <c r="R45" s="11">
        <v>10000</v>
      </c>
      <c r="S45" s="11">
        <f t="shared" si="1"/>
        <v>2783</v>
      </c>
      <c r="T45" s="11">
        <v>0</v>
      </c>
      <c r="U45" s="5" t="s">
        <v>1164</v>
      </c>
      <c r="V45" s="31" t="s">
        <v>1213</v>
      </c>
      <c r="W45" s="3" t="s">
        <v>6</v>
      </c>
      <c r="X45" s="3"/>
      <c r="Y45" s="34"/>
      <c r="Z45" s="10"/>
      <c r="AA45" s="10"/>
      <c r="AB45" s="3" t="str">
        <f t="shared" si="2"/>
        <v>Paid</v>
      </c>
      <c r="AC45" s="10"/>
      <c r="AD45" s="1"/>
    </row>
    <row r="46" spans="1:30" x14ac:dyDescent="0.25">
      <c r="A46" s="3" t="s">
        <v>5</v>
      </c>
      <c r="B46" s="29" t="s">
        <v>1212</v>
      </c>
      <c r="C46" s="10" t="e">
        <f>VLOOKUP(B46,'[1]MAY MONTH'!$B:$C,2,0)</f>
        <v>#N/A</v>
      </c>
      <c r="D46" s="29" t="s">
        <v>1211</v>
      </c>
      <c r="E46" s="10" t="s">
        <v>1210</v>
      </c>
      <c r="F46" s="10" t="s">
        <v>82</v>
      </c>
      <c r="G46" s="10" t="s">
        <v>1209</v>
      </c>
      <c r="H46" s="10" t="s">
        <v>244</v>
      </c>
      <c r="I46" s="3" t="s">
        <v>36</v>
      </c>
      <c r="J46" s="22">
        <v>46132</v>
      </c>
      <c r="K46" s="28" t="s">
        <v>82</v>
      </c>
      <c r="L46" s="3" t="s">
        <v>8</v>
      </c>
      <c r="M46" s="11" t="s">
        <v>963</v>
      </c>
      <c r="N46" s="5">
        <v>0</v>
      </c>
      <c r="O46" s="11">
        <v>10000</v>
      </c>
      <c r="P46" s="11">
        <f>O46</f>
        <v>10000</v>
      </c>
      <c r="Q46" s="11">
        <f t="shared" si="0"/>
        <v>0</v>
      </c>
      <c r="R46" s="11">
        <v>10000</v>
      </c>
      <c r="S46" s="11">
        <f t="shared" si="1"/>
        <v>0</v>
      </c>
      <c r="T46" s="11">
        <v>0</v>
      </c>
      <c r="U46" s="11" t="s">
        <v>1187</v>
      </c>
      <c r="V46" s="26" t="s">
        <v>1192</v>
      </c>
      <c r="W46" s="3"/>
      <c r="X46" s="3"/>
      <c r="Y46" s="11"/>
      <c r="Z46" s="3"/>
      <c r="AA46" s="3"/>
      <c r="AB46" s="3" t="str">
        <f t="shared" si="2"/>
        <v>Paid</v>
      </c>
      <c r="AC46" s="3"/>
    </row>
    <row r="47" spans="1:30" ht="30" x14ac:dyDescent="0.25">
      <c r="A47" s="3" t="s">
        <v>5</v>
      </c>
      <c r="B47" s="12" t="s">
        <v>1208</v>
      </c>
      <c r="C47" s="10" t="e">
        <f>VLOOKUP(B47,'[1]MAY MONTH'!$B:$C,2,0)</f>
        <v>#N/A</v>
      </c>
      <c r="D47" s="12" t="s">
        <v>1207</v>
      </c>
      <c r="E47" s="12" t="s">
        <v>1206</v>
      </c>
      <c r="F47" s="10" t="s">
        <v>4</v>
      </c>
      <c r="G47" s="10" t="s">
        <v>1205</v>
      </c>
      <c r="H47" s="10" t="s">
        <v>1204</v>
      </c>
      <c r="I47" s="3" t="s">
        <v>1203</v>
      </c>
      <c r="J47" s="22">
        <v>46131</v>
      </c>
      <c r="K47" s="22" t="s">
        <v>215</v>
      </c>
      <c r="L47" s="3" t="s">
        <v>28</v>
      </c>
      <c r="M47" s="11" t="s">
        <v>28</v>
      </c>
      <c r="N47" s="5">
        <v>0</v>
      </c>
      <c r="O47" s="11">
        <v>7737</v>
      </c>
      <c r="P47" s="11">
        <v>8737</v>
      </c>
      <c r="Q47" s="11">
        <f t="shared" si="0"/>
        <v>1000</v>
      </c>
      <c r="R47" s="11">
        <v>10000</v>
      </c>
      <c r="S47" s="11">
        <f t="shared" si="1"/>
        <v>2263</v>
      </c>
      <c r="T47" s="11">
        <v>0</v>
      </c>
      <c r="U47" s="11" t="s">
        <v>1164</v>
      </c>
      <c r="V47" s="31">
        <v>46131</v>
      </c>
      <c r="W47" s="3" t="s">
        <v>6</v>
      </c>
      <c r="X47" s="3"/>
      <c r="Y47" s="11"/>
      <c r="Z47" s="3"/>
      <c r="AA47" s="3"/>
      <c r="AB47" s="3" t="str">
        <f t="shared" si="2"/>
        <v>Paid</v>
      </c>
      <c r="AC47" s="3"/>
    </row>
    <row r="48" spans="1:30" ht="30" x14ac:dyDescent="0.25">
      <c r="A48" s="3" t="s">
        <v>5</v>
      </c>
      <c r="B48" s="12" t="s">
        <v>1202</v>
      </c>
      <c r="C48" s="10" t="e">
        <f>VLOOKUP(B48,'[1]MAY MONTH'!$B:$C,2,0)</f>
        <v>#N/A</v>
      </c>
      <c r="D48" s="12" t="s">
        <v>1201</v>
      </c>
      <c r="E48" s="12" t="s">
        <v>1200</v>
      </c>
      <c r="F48" s="10" t="s">
        <v>4</v>
      </c>
      <c r="G48" s="3" t="s">
        <v>1199</v>
      </c>
      <c r="H48" s="38" t="s">
        <v>1459</v>
      </c>
      <c r="I48" s="3" t="s">
        <v>1198</v>
      </c>
      <c r="J48" s="22">
        <v>46131</v>
      </c>
      <c r="K48" s="22" t="s">
        <v>215</v>
      </c>
      <c r="L48" s="3" t="s">
        <v>28</v>
      </c>
      <c r="M48" s="11" t="s">
        <v>28</v>
      </c>
      <c r="N48" s="5">
        <v>9139</v>
      </c>
      <c r="O48" s="11">
        <v>4870</v>
      </c>
      <c r="P48" s="11">
        <v>9240</v>
      </c>
      <c r="Q48" s="11">
        <f t="shared" si="0"/>
        <v>4370</v>
      </c>
      <c r="R48" s="11">
        <v>10000</v>
      </c>
      <c r="S48" s="11">
        <f t="shared" si="1"/>
        <v>5130</v>
      </c>
      <c r="T48" s="11">
        <v>0</v>
      </c>
      <c r="U48" s="11" t="s">
        <v>1164</v>
      </c>
      <c r="V48" s="31">
        <v>46131</v>
      </c>
      <c r="W48" s="3" t="s">
        <v>6</v>
      </c>
      <c r="X48" s="3"/>
      <c r="Y48" s="11"/>
      <c r="Z48" s="3"/>
      <c r="AA48" s="3"/>
      <c r="AB48" s="3" t="str">
        <f t="shared" si="2"/>
        <v>Paid</v>
      </c>
      <c r="AC48" s="3"/>
    </row>
    <row r="49" spans="1:30" s="32" customFormat="1" x14ac:dyDescent="0.25">
      <c r="A49" s="3" t="s">
        <v>5</v>
      </c>
      <c r="B49" s="10" t="s">
        <v>1197</v>
      </c>
      <c r="C49" s="10" t="e">
        <f>VLOOKUP(B49,'[1]MAY MONTH'!$B:$C,2,0)</f>
        <v>#N/A</v>
      </c>
      <c r="D49" s="10" t="s">
        <v>1196</v>
      </c>
      <c r="E49" s="10" t="s">
        <v>1195</v>
      </c>
      <c r="F49" s="10" t="s">
        <v>82</v>
      </c>
      <c r="G49" s="10" t="s">
        <v>1194</v>
      </c>
      <c r="H49" s="10" t="s">
        <v>1193</v>
      </c>
      <c r="I49" s="10" t="s">
        <v>36</v>
      </c>
      <c r="J49" s="22">
        <v>46132</v>
      </c>
      <c r="K49" s="28" t="s">
        <v>82</v>
      </c>
      <c r="L49" s="3" t="s">
        <v>8</v>
      </c>
      <c r="M49" s="34" t="s">
        <v>963</v>
      </c>
      <c r="N49" s="5">
        <v>0</v>
      </c>
      <c r="O49" s="11">
        <v>10000</v>
      </c>
      <c r="P49" s="11">
        <f>O49</f>
        <v>10000</v>
      </c>
      <c r="Q49" s="11">
        <f t="shared" si="0"/>
        <v>0</v>
      </c>
      <c r="R49" s="11">
        <v>10000</v>
      </c>
      <c r="S49" s="11">
        <f t="shared" si="1"/>
        <v>0</v>
      </c>
      <c r="T49" s="11">
        <v>0</v>
      </c>
      <c r="U49" s="27" t="s">
        <v>1187</v>
      </c>
      <c r="V49" s="35" t="s">
        <v>1192</v>
      </c>
      <c r="W49" s="10"/>
      <c r="X49" s="10"/>
      <c r="Y49" s="34"/>
      <c r="Z49" s="10"/>
      <c r="AA49" s="10"/>
      <c r="AB49" s="3" t="str">
        <f t="shared" si="2"/>
        <v>Paid</v>
      </c>
      <c r="AC49" s="10"/>
      <c r="AD49" s="1"/>
    </row>
    <row r="50" spans="1:30" s="32" customFormat="1" x14ac:dyDescent="0.25">
      <c r="A50" s="3" t="s">
        <v>5</v>
      </c>
      <c r="B50" s="12" t="s">
        <v>1191</v>
      </c>
      <c r="C50" s="10" t="e">
        <f>VLOOKUP(B50,'[1]MAY MONTH'!$B:$C,2,0)</f>
        <v>#N/A</v>
      </c>
      <c r="D50" s="12" t="s">
        <v>1190</v>
      </c>
      <c r="E50" s="12" t="s">
        <v>1189</v>
      </c>
      <c r="F50" s="10" t="s">
        <v>4</v>
      </c>
      <c r="G50" s="12" t="s">
        <v>978</v>
      </c>
      <c r="H50" s="10" t="s">
        <v>1188</v>
      </c>
      <c r="I50" s="10" t="s">
        <v>36</v>
      </c>
      <c r="J50" s="22">
        <v>46131</v>
      </c>
      <c r="K50" s="22" t="s">
        <v>215</v>
      </c>
      <c r="L50" s="10" t="s">
        <v>1</v>
      </c>
      <c r="M50" s="27" t="s">
        <v>20</v>
      </c>
      <c r="N50" s="5">
        <v>0</v>
      </c>
      <c r="O50" s="11">
        <v>2399</v>
      </c>
      <c r="P50" s="11">
        <v>3499</v>
      </c>
      <c r="Q50" s="11">
        <f t="shared" si="0"/>
        <v>1100</v>
      </c>
      <c r="R50" s="11">
        <v>10000</v>
      </c>
      <c r="S50" s="11">
        <f t="shared" si="1"/>
        <v>7601</v>
      </c>
      <c r="T50" s="11">
        <v>0</v>
      </c>
      <c r="U50" s="27" t="s">
        <v>1187</v>
      </c>
      <c r="V50" s="31">
        <v>46131</v>
      </c>
      <c r="W50" s="10"/>
      <c r="X50" s="10"/>
      <c r="Y50" s="34"/>
      <c r="Z50" s="10"/>
      <c r="AA50" s="10"/>
      <c r="AB50" s="3" t="str">
        <f t="shared" si="2"/>
        <v>Paid</v>
      </c>
      <c r="AC50" s="10"/>
      <c r="AD50" s="1"/>
    </row>
    <row r="51" spans="1:30" x14ac:dyDescent="0.25">
      <c r="A51" s="3" t="s">
        <v>5</v>
      </c>
      <c r="B51" s="29" t="s">
        <v>1186</v>
      </c>
      <c r="C51" s="10" t="e">
        <f>VLOOKUP(B51,'[1]MAY MONTH'!$B:$C,2,0)</f>
        <v>#N/A</v>
      </c>
      <c r="D51" s="29" t="s">
        <v>1185</v>
      </c>
      <c r="E51" s="29" t="s">
        <v>1184</v>
      </c>
      <c r="F51" s="10" t="s">
        <v>4</v>
      </c>
      <c r="G51" s="12" t="s">
        <v>1183</v>
      </c>
      <c r="H51" s="10" t="s">
        <v>1182</v>
      </c>
      <c r="I51" s="10" t="s">
        <v>1181</v>
      </c>
      <c r="J51" s="22">
        <v>46132</v>
      </c>
      <c r="K51" s="18" t="s">
        <v>9</v>
      </c>
      <c r="L51" s="10" t="s">
        <v>1</v>
      </c>
      <c r="M51" s="27" t="s">
        <v>20</v>
      </c>
      <c r="N51" s="5">
        <v>0</v>
      </c>
      <c r="O51" s="11">
        <v>5988.5</v>
      </c>
      <c r="P51" s="11">
        <v>6388</v>
      </c>
      <c r="Q51" s="11">
        <f t="shared" si="0"/>
        <v>399.5</v>
      </c>
      <c r="R51" s="11">
        <v>10000</v>
      </c>
      <c r="S51" s="11">
        <f t="shared" si="1"/>
        <v>4011.5</v>
      </c>
      <c r="T51" s="11">
        <v>0</v>
      </c>
      <c r="U51" s="11" t="s">
        <v>7</v>
      </c>
      <c r="V51" s="31">
        <v>46132</v>
      </c>
      <c r="W51" s="3" t="s">
        <v>6</v>
      </c>
      <c r="X51" s="3"/>
      <c r="Y51" s="11"/>
      <c r="Z51" s="3"/>
      <c r="AA51" s="3"/>
      <c r="AB51" s="3" t="str">
        <f t="shared" si="2"/>
        <v>Paid</v>
      </c>
      <c r="AC51" s="3"/>
    </row>
    <row r="52" spans="1:30" ht="30" x14ac:dyDescent="0.25">
      <c r="A52" s="3" t="s">
        <v>5</v>
      </c>
      <c r="B52" s="29" t="s">
        <v>1180</v>
      </c>
      <c r="C52" s="10" t="e">
        <f>VLOOKUP(B52,'[1]MAY MONTH'!$B:$C,2,0)</f>
        <v>#N/A</v>
      </c>
      <c r="D52" s="29" t="s">
        <v>1179</v>
      </c>
      <c r="E52" s="29" t="s">
        <v>1178</v>
      </c>
      <c r="F52" s="10" t="s">
        <v>4</v>
      </c>
      <c r="G52" s="10" t="s">
        <v>1177</v>
      </c>
      <c r="H52" s="10" t="s">
        <v>1176</v>
      </c>
      <c r="I52" s="10" t="s">
        <v>1175</v>
      </c>
      <c r="J52" s="22">
        <v>46131</v>
      </c>
      <c r="K52" s="18" t="s">
        <v>9</v>
      </c>
      <c r="L52" s="3" t="s">
        <v>28</v>
      </c>
      <c r="M52" s="11" t="s">
        <v>20</v>
      </c>
      <c r="N52" s="5">
        <v>0</v>
      </c>
      <c r="O52" s="11">
        <v>6000</v>
      </c>
      <c r="P52" s="11">
        <v>6500</v>
      </c>
      <c r="Q52" s="11">
        <f t="shared" si="0"/>
        <v>500</v>
      </c>
      <c r="R52" s="11">
        <v>10000</v>
      </c>
      <c r="S52" s="11">
        <f t="shared" si="1"/>
        <v>4000</v>
      </c>
      <c r="T52" s="11">
        <v>0</v>
      </c>
      <c r="U52" s="11" t="s">
        <v>1164</v>
      </c>
      <c r="V52" s="31">
        <v>46132</v>
      </c>
      <c r="W52" s="3" t="s">
        <v>6</v>
      </c>
      <c r="X52" s="3"/>
      <c r="Y52" s="11"/>
      <c r="Z52" s="3"/>
      <c r="AA52" s="3"/>
      <c r="AB52" s="3" t="str">
        <f t="shared" si="2"/>
        <v>Paid</v>
      </c>
      <c r="AC52" s="3"/>
    </row>
    <row r="53" spans="1:30" ht="30" x14ac:dyDescent="0.25">
      <c r="A53" s="3" t="s">
        <v>5</v>
      </c>
      <c r="B53" s="10" t="s">
        <v>1174</v>
      </c>
      <c r="C53" s="10" t="e">
        <f>VLOOKUP(B53,'[1]MAY MONTH'!$B:$C,2,0)</f>
        <v>#N/A</v>
      </c>
      <c r="D53" s="10" t="s">
        <v>1172</v>
      </c>
      <c r="E53" s="10" t="s">
        <v>1171</v>
      </c>
      <c r="F53" s="10" t="s">
        <v>4</v>
      </c>
      <c r="G53" s="12" t="s">
        <v>593</v>
      </c>
      <c r="H53" s="10" t="s">
        <v>973</v>
      </c>
      <c r="I53" s="3">
        <v>3</v>
      </c>
      <c r="J53" s="22">
        <v>46131</v>
      </c>
      <c r="K53" s="22" t="s">
        <v>215</v>
      </c>
      <c r="L53" s="10" t="s">
        <v>28</v>
      </c>
      <c r="M53" s="10" t="s">
        <v>20</v>
      </c>
      <c r="N53" s="5">
        <v>0</v>
      </c>
      <c r="O53" s="11">
        <v>2425</v>
      </c>
      <c r="P53" s="11">
        <v>3825</v>
      </c>
      <c r="Q53" s="11">
        <f t="shared" si="0"/>
        <v>1400</v>
      </c>
      <c r="R53" s="11">
        <v>10000</v>
      </c>
      <c r="S53" s="11">
        <f t="shared" si="1"/>
        <v>7575</v>
      </c>
      <c r="T53" s="11">
        <v>0</v>
      </c>
      <c r="U53" s="11" t="s">
        <v>1164</v>
      </c>
      <c r="V53" s="31">
        <v>46131</v>
      </c>
      <c r="W53" s="3" t="s">
        <v>6</v>
      </c>
      <c r="X53" s="3"/>
      <c r="Y53" s="11"/>
      <c r="Z53" s="3"/>
      <c r="AA53" s="3"/>
      <c r="AB53" s="3" t="str">
        <f t="shared" si="2"/>
        <v>Paid</v>
      </c>
      <c r="AC53" s="3"/>
    </row>
    <row r="54" spans="1:30" ht="30" x14ac:dyDescent="0.25">
      <c r="A54" s="3" t="s">
        <v>5</v>
      </c>
      <c r="B54" s="10" t="s">
        <v>1173</v>
      </c>
      <c r="C54" s="10" t="e">
        <f>VLOOKUP(B54,'[1]MAY MONTH'!$B:$C,2,0)</f>
        <v>#N/A</v>
      </c>
      <c r="D54" s="10" t="s">
        <v>1172</v>
      </c>
      <c r="E54" s="10" t="s">
        <v>1171</v>
      </c>
      <c r="F54" s="10" t="s">
        <v>4</v>
      </c>
      <c r="G54" s="10" t="s">
        <v>593</v>
      </c>
      <c r="H54" s="10" t="s">
        <v>973</v>
      </c>
      <c r="I54" s="3" t="s">
        <v>83</v>
      </c>
      <c r="J54" s="22">
        <v>46131</v>
      </c>
      <c r="K54" s="22" t="s">
        <v>215</v>
      </c>
      <c r="L54" s="10" t="s">
        <v>28</v>
      </c>
      <c r="M54" s="10" t="s">
        <v>20</v>
      </c>
      <c r="N54" s="5">
        <v>0</v>
      </c>
      <c r="O54" s="5">
        <v>2425</v>
      </c>
      <c r="P54" s="5">
        <v>3120</v>
      </c>
      <c r="Q54" s="11">
        <f t="shared" si="0"/>
        <v>695</v>
      </c>
      <c r="R54" s="11">
        <v>10000</v>
      </c>
      <c r="S54" s="11">
        <f t="shared" si="1"/>
        <v>7575</v>
      </c>
      <c r="T54" s="11">
        <v>0</v>
      </c>
      <c r="U54" s="5" t="s">
        <v>1164</v>
      </c>
      <c r="V54" s="18">
        <v>46131</v>
      </c>
      <c r="W54" s="3" t="s">
        <v>6</v>
      </c>
      <c r="X54" s="3"/>
      <c r="Y54" s="3"/>
      <c r="Z54" s="3"/>
      <c r="AA54" s="3"/>
      <c r="AB54" s="3" t="str">
        <f t="shared" si="2"/>
        <v>Paid</v>
      </c>
      <c r="AC54" s="3"/>
    </row>
    <row r="55" spans="1:30" ht="30" x14ac:dyDescent="0.25">
      <c r="A55" s="3" t="s">
        <v>5</v>
      </c>
      <c r="B55" s="12" t="s">
        <v>1170</v>
      </c>
      <c r="C55" s="10" t="e">
        <f>VLOOKUP(B55,'[1]MAY MONTH'!$B:$C,2,0)</f>
        <v>#N/A</v>
      </c>
      <c r="D55" s="12" t="s">
        <v>1169</v>
      </c>
      <c r="E55" s="12" t="s">
        <v>1168</v>
      </c>
      <c r="F55" s="10" t="s">
        <v>21</v>
      </c>
      <c r="G55" s="10" t="s">
        <v>470</v>
      </c>
      <c r="H55" s="10" t="s">
        <v>1167</v>
      </c>
      <c r="I55" s="10" t="s">
        <v>1166</v>
      </c>
      <c r="J55" s="22">
        <v>46131</v>
      </c>
      <c r="K55" s="18" t="s">
        <v>9</v>
      </c>
      <c r="L55" s="10" t="s">
        <v>28</v>
      </c>
      <c r="M55" s="11" t="s">
        <v>1165</v>
      </c>
      <c r="N55" s="5">
        <v>0</v>
      </c>
      <c r="O55" s="34">
        <v>9450</v>
      </c>
      <c r="P55" s="34">
        <v>9450</v>
      </c>
      <c r="Q55" s="11">
        <f t="shared" si="0"/>
        <v>0</v>
      </c>
      <c r="R55" s="11">
        <v>10000</v>
      </c>
      <c r="S55" s="11">
        <f t="shared" si="1"/>
        <v>550</v>
      </c>
      <c r="T55" s="11">
        <v>0</v>
      </c>
      <c r="U55" s="11" t="s">
        <v>1164</v>
      </c>
      <c r="V55" s="31">
        <v>46131</v>
      </c>
      <c r="W55" s="3" t="s">
        <v>6</v>
      </c>
      <c r="X55" s="3"/>
      <c r="Y55" s="11"/>
      <c r="Z55" s="3"/>
      <c r="AA55" s="3"/>
      <c r="AB55" s="3" t="str">
        <f t="shared" si="2"/>
        <v>Paid</v>
      </c>
      <c r="AC55" s="3"/>
    </row>
    <row r="56" spans="1:30" x14ac:dyDescent="0.25">
      <c r="A56" s="3" t="s">
        <v>5</v>
      </c>
      <c r="B56" s="10" t="s">
        <v>1163</v>
      </c>
      <c r="C56" s="10" t="e">
        <f>VLOOKUP(B56,'[1]MAY MONTH'!$B:$C,2,0)</f>
        <v>#N/A</v>
      </c>
      <c r="D56" s="10" t="s">
        <v>1162</v>
      </c>
      <c r="E56" s="10" t="s">
        <v>1161</v>
      </c>
      <c r="F56" s="10" t="s">
        <v>4</v>
      </c>
      <c r="G56" s="10" t="s">
        <v>1160</v>
      </c>
      <c r="H56" s="10" t="s">
        <v>1159</v>
      </c>
      <c r="I56" s="3" t="s">
        <v>36</v>
      </c>
      <c r="J56" s="22">
        <v>46132</v>
      </c>
      <c r="K56" s="22" t="s">
        <v>215</v>
      </c>
      <c r="L56" s="3" t="s">
        <v>8</v>
      </c>
      <c r="M56" s="11" t="s">
        <v>963</v>
      </c>
      <c r="N56" s="5">
        <v>0</v>
      </c>
      <c r="O56" s="11">
        <v>4007</v>
      </c>
      <c r="P56" s="11">
        <v>4707</v>
      </c>
      <c r="Q56" s="11">
        <f t="shared" si="0"/>
        <v>700</v>
      </c>
      <c r="R56" s="11">
        <v>10000</v>
      </c>
      <c r="S56" s="11">
        <f t="shared" si="1"/>
        <v>5993</v>
      </c>
      <c r="T56" s="11">
        <v>0</v>
      </c>
      <c r="U56" s="11" t="s">
        <v>7</v>
      </c>
      <c r="V56" s="31">
        <v>46132</v>
      </c>
      <c r="W56" s="3" t="s">
        <v>6</v>
      </c>
      <c r="X56" s="3"/>
      <c r="Y56" s="11"/>
      <c r="Z56" s="3"/>
      <c r="AA56" s="3"/>
      <c r="AB56" s="3" t="str">
        <f t="shared" si="2"/>
        <v>Paid</v>
      </c>
      <c r="AC56" s="3"/>
    </row>
    <row r="57" spans="1:30" x14ac:dyDescent="0.25">
      <c r="A57" s="3" t="s">
        <v>5</v>
      </c>
      <c r="B57" s="12" t="s">
        <v>1158</v>
      </c>
      <c r="C57" s="10" t="e">
        <f>VLOOKUP(B57,'[1]MAY MONTH'!$B:$C,2,0)</f>
        <v>#N/A</v>
      </c>
      <c r="D57" s="12" t="s">
        <v>1157</v>
      </c>
      <c r="E57" s="12" t="s">
        <v>1156</v>
      </c>
      <c r="F57" s="10" t="s">
        <v>4</v>
      </c>
      <c r="G57" s="10" t="s">
        <v>1155</v>
      </c>
      <c r="H57" s="10" t="s">
        <v>1154</v>
      </c>
      <c r="I57" s="10" t="s">
        <v>1153</v>
      </c>
      <c r="J57" s="22">
        <v>46132</v>
      </c>
      <c r="K57" s="26" t="s">
        <v>9</v>
      </c>
      <c r="L57" s="3" t="s">
        <v>28</v>
      </c>
      <c r="M57" s="11" t="s">
        <v>20</v>
      </c>
      <c r="N57" s="5">
        <v>0</v>
      </c>
      <c r="O57" s="11">
        <v>6897.1</v>
      </c>
      <c r="P57" s="11">
        <v>7897</v>
      </c>
      <c r="Q57" s="11">
        <f t="shared" si="0"/>
        <v>999.89999999999964</v>
      </c>
      <c r="R57" s="11">
        <v>10000</v>
      </c>
      <c r="S57" s="11">
        <f t="shared" si="1"/>
        <v>3102.8999999999996</v>
      </c>
      <c r="T57" s="11">
        <v>0</v>
      </c>
      <c r="U57" s="11" t="s">
        <v>7</v>
      </c>
      <c r="V57" s="31">
        <v>46132</v>
      </c>
      <c r="W57" s="3" t="s">
        <v>6</v>
      </c>
      <c r="X57" s="3"/>
      <c r="Y57" s="11"/>
      <c r="Z57" s="3"/>
      <c r="AA57" s="3"/>
      <c r="AB57" s="3" t="str">
        <f t="shared" si="2"/>
        <v>Paid</v>
      </c>
      <c r="AC57" s="3"/>
    </row>
    <row r="58" spans="1:30" x14ac:dyDescent="0.25">
      <c r="A58" s="3" t="s">
        <v>5</v>
      </c>
      <c r="B58" s="29" t="s">
        <v>1152</v>
      </c>
      <c r="C58" s="10" t="e">
        <f>VLOOKUP(B58,'[1]MAY MONTH'!$B:$C,2,0)</f>
        <v>#N/A</v>
      </c>
      <c r="D58" s="29" t="s">
        <v>1151</v>
      </c>
      <c r="E58" s="10" t="s">
        <v>1150</v>
      </c>
      <c r="F58" s="10" t="s">
        <v>4</v>
      </c>
      <c r="G58" s="10" t="s">
        <v>1149</v>
      </c>
      <c r="H58" s="10" t="s">
        <v>1148</v>
      </c>
      <c r="I58" s="10" t="s">
        <v>1147</v>
      </c>
      <c r="J58" s="22">
        <v>46133</v>
      </c>
      <c r="K58" s="13" t="s">
        <v>9</v>
      </c>
      <c r="L58" s="10" t="s">
        <v>35</v>
      </c>
      <c r="M58" s="10" t="s">
        <v>11</v>
      </c>
      <c r="N58" s="5">
        <v>0</v>
      </c>
      <c r="O58" s="11">
        <v>4508</v>
      </c>
      <c r="P58" s="11">
        <v>5058</v>
      </c>
      <c r="Q58" s="11">
        <f t="shared" si="0"/>
        <v>550</v>
      </c>
      <c r="R58" s="11">
        <v>10000</v>
      </c>
      <c r="S58" s="11">
        <f t="shared" si="1"/>
        <v>5492</v>
      </c>
      <c r="T58" s="11">
        <v>0</v>
      </c>
      <c r="U58" s="11" t="s">
        <v>7</v>
      </c>
      <c r="V58" s="31">
        <v>46133</v>
      </c>
      <c r="W58" s="3" t="s">
        <v>6</v>
      </c>
      <c r="X58" s="3"/>
      <c r="Y58" s="11"/>
      <c r="Z58" s="3"/>
      <c r="AA58" s="3"/>
      <c r="AB58" s="3" t="str">
        <f t="shared" si="2"/>
        <v>Paid</v>
      </c>
      <c r="AC58" s="3"/>
    </row>
    <row r="59" spans="1:30" x14ac:dyDescent="0.25">
      <c r="A59" s="3" t="s">
        <v>5</v>
      </c>
      <c r="B59" s="29" t="s">
        <v>1146</v>
      </c>
      <c r="C59" s="10" t="e">
        <f>VLOOKUP(B59,'[1]MAY MONTH'!$B:$C,2,0)</f>
        <v>#N/A</v>
      </c>
      <c r="D59" s="29" t="s">
        <v>1145</v>
      </c>
      <c r="E59" s="29" t="s">
        <v>1144</v>
      </c>
      <c r="F59" s="10" t="s">
        <v>4</v>
      </c>
      <c r="G59" s="10" t="s">
        <v>557</v>
      </c>
      <c r="H59" s="10" t="s">
        <v>556</v>
      </c>
      <c r="I59" s="10" t="s">
        <v>1143</v>
      </c>
      <c r="J59" s="22">
        <v>46133</v>
      </c>
      <c r="K59" s="13" t="s">
        <v>9</v>
      </c>
      <c r="L59" s="10" t="s">
        <v>8</v>
      </c>
      <c r="M59" s="10" t="s">
        <v>11</v>
      </c>
      <c r="N59" s="5">
        <v>0</v>
      </c>
      <c r="O59" s="11">
        <v>4540</v>
      </c>
      <c r="P59" s="11">
        <v>5540</v>
      </c>
      <c r="Q59" s="11">
        <f t="shared" si="0"/>
        <v>1000</v>
      </c>
      <c r="R59" s="11">
        <v>10000</v>
      </c>
      <c r="S59" s="11">
        <f t="shared" si="1"/>
        <v>5460</v>
      </c>
      <c r="T59" s="11">
        <v>0</v>
      </c>
      <c r="U59" s="11" t="s">
        <v>7</v>
      </c>
      <c r="V59" s="31">
        <v>46133</v>
      </c>
      <c r="W59" s="3" t="s">
        <v>6</v>
      </c>
      <c r="X59" s="3"/>
      <c r="Y59" s="11"/>
      <c r="Z59" s="3"/>
      <c r="AA59" s="3"/>
      <c r="AB59" s="3" t="str">
        <f t="shared" si="2"/>
        <v>Paid</v>
      </c>
      <c r="AC59" s="3"/>
    </row>
    <row r="60" spans="1:30" x14ac:dyDescent="0.25">
      <c r="A60" s="3" t="s">
        <v>5</v>
      </c>
      <c r="B60" s="12" t="s">
        <v>1142</v>
      </c>
      <c r="C60" s="10" t="e">
        <f>VLOOKUP(B60,'[1]MAY MONTH'!$B:$C,2,0)</f>
        <v>#N/A</v>
      </c>
      <c r="D60" s="10" t="s">
        <v>1141</v>
      </c>
      <c r="E60" s="10" t="s">
        <v>1140</v>
      </c>
      <c r="F60" s="10" t="s">
        <v>4</v>
      </c>
      <c r="G60" s="10" t="s">
        <v>411</v>
      </c>
      <c r="H60" s="10" t="s">
        <v>1139</v>
      </c>
      <c r="I60" s="10" t="s">
        <v>1138</v>
      </c>
      <c r="J60" s="22">
        <v>46133</v>
      </c>
      <c r="K60" s="13" t="s">
        <v>9</v>
      </c>
      <c r="L60" s="10" t="s">
        <v>35</v>
      </c>
      <c r="M60" s="10" t="s">
        <v>11</v>
      </c>
      <c r="N60" s="5">
        <v>0</v>
      </c>
      <c r="O60" s="11">
        <v>7248.15</v>
      </c>
      <c r="P60" s="11">
        <v>7749</v>
      </c>
      <c r="Q60" s="11">
        <f t="shared" si="0"/>
        <v>500.85000000000036</v>
      </c>
      <c r="R60" s="11">
        <v>10000</v>
      </c>
      <c r="S60" s="11">
        <f t="shared" si="1"/>
        <v>2751.8500000000004</v>
      </c>
      <c r="T60" s="11">
        <v>0</v>
      </c>
      <c r="U60" s="11" t="s">
        <v>7</v>
      </c>
      <c r="V60" s="31">
        <v>46133</v>
      </c>
      <c r="W60" s="3" t="s">
        <v>6</v>
      </c>
      <c r="X60" s="3"/>
      <c r="Y60" s="11"/>
      <c r="Z60" s="3"/>
      <c r="AA60" s="3"/>
      <c r="AB60" s="3" t="str">
        <f t="shared" si="2"/>
        <v>Paid</v>
      </c>
      <c r="AC60" s="3"/>
    </row>
    <row r="61" spans="1:30" s="32" customFormat="1" x14ac:dyDescent="0.25">
      <c r="A61" s="3" t="s">
        <v>5</v>
      </c>
      <c r="B61" s="12" t="s">
        <v>1137</v>
      </c>
      <c r="C61" s="10" t="e">
        <f>VLOOKUP(B61,'[1]MAY MONTH'!$B:$C,2,0)</f>
        <v>#N/A</v>
      </c>
      <c r="D61" s="12" t="s">
        <v>1136</v>
      </c>
      <c r="E61" s="12" t="s">
        <v>1135</v>
      </c>
      <c r="F61" s="10" t="s">
        <v>4</v>
      </c>
      <c r="G61" s="10" t="s">
        <v>31</v>
      </c>
      <c r="H61" s="10" t="s">
        <v>1134</v>
      </c>
      <c r="I61" s="10" t="s">
        <v>1133</v>
      </c>
      <c r="J61" s="22">
        <v>46133</v>
      </c>
      <c r="K61" s="13" t="s">
        <v>9</v>
      </c>
      <c r="L61" s="3" t="s">
        <v>28</v>
      </c>
      <c r="M61" s="34" t="s">
        <v>28</v>
      </c>
      <c r="N61" s="5">
        <v>0</v>
      </c>
      <c r="O61" s="11">
        <v>7080</v>
      </c>
      <c r="P61" s="11">
        <v>7480</v>
      </c>
      <c r="Q61" s="11">
        <f t="shared" si="0"/>
        <v>400</v>
      </c>
      <c r="R61" s="11">
        <v>10000</v>
      </c>
      <c r="S61" s="11">
        <f t="shared" si="1"/>
        <v>2920</v>
      </c>
      <c r="T61" s="11">
        <v>0</v>
      </c>
      <c r="U61" s="5" t="s">
        <v>7</v>
      </c>
      <c r="V61" s="4">
        <v>46133</v>
      </c>
      <c r="W61" s="3" t="s">
        <v>6</v>
      </c>
      <c r="X61" s="3"/>
      <c r="Y61" s="34"/>
      <c r="Z61" s="10"/>
      <c r="AA61" s="10"/>
      <c r="AB61" s="3" t="str">
        <f t="shared" si="2"/>
        <v>Paid</v>
      </c>
      <c r="AC61" s="10"/>
      <c r="AD61" s="1"/>
    </row>
    <row r="62" spans="1:30" x14ac:dyDescent="0.25">
      <c r="A62" s="12" t="s">
        <v>5</v>
      </c>
      <c r="B62" s="12" t="s">
        <v>1132</v>
      </c>
      <c r="C62" s="10" t="e">
        <f>VLOOKUP(B62,'[1]MAY MONTH'!$B:$C,2,0)</f>
        <v>#N/A</v>
      </c>
      <c r="D62" s="12" t="s">
        <v>1131</v>
      </c>
      <c r="E62" s="37" t="s">
        <v>1130</v>
      </c>
      <c r="F62" s="10" t="s">
        <v>82</v>
      </c>
      <c r="G62" s="12" t="s">
        <v>1129</v>
      </c>
      <c r="H62" s="12" t="s">
        <v>1128</v>
      </c>
      <c r="I62" s="12" t="s">
        <v>36</v>
      </c>
      <c r="J62" s="22">
        <v>46134</v>
      </c>
      <c r="K62" s="28" t="s">
        <v>82</v>
      </c>
      <c r="L62" s="3" t="s">
        <v>35</v>
      </c>
      <c r="M62" s="11" t="s">
        <v>963</v>
      </c>
      <c r="N62" s="5">
        <v>0</v>
      </c>
      <c r="O62" s="11">
        <v>10000</v>
      </c>
      <c r="P62" s="11">
        <f>O62</f>
        <v>10000</v>
      </c>
      <c r="Q62" s="11">
        <f t="shared" si="0"/>
        <v>0</v>
      </c>
      <c r="R62" s="11">
        <v>10000</v>
      </c>
      <c r="S62" s="11">
        <f t="shared" si="1"/>
        <v>0</v>
      </c>
      <c r="T62" s="11">
        <v>0</v>
      </c>
      <c r="U62" s="5" t="s">
        <v>7</v>
      </c>
      <c r="V62" s="4">
        <v>46134</v>
      </c>
      <c r="W62" s="3" t="s">
        <v>6</v>
      </c>
      <c r="X62" s="3"/>
      <c r="Y62" s="11"/>
      <c r="Z62" s="3"/>
      <c r="AA62" s="3"/>
      <c r="AB62" s="3" t="str">
        <f t="shared" si="2"/>
        <v>Paid</v>
      </c>
      <c r="AC62" s="3"/>
    </row>
    <row r="63" spans="1:30" x14ac:dyDescent="0.25">
      <c r="A63" s="12" t="s">
        <v>5</v>
      </c>
      <c r="B63" s="10" t="s">
        <v>1127</v>
      </c>
      <c r="C63" s="10" t="e">
        <f>VLOOKUP(B63,'[1]MAY MONTH'!$B:$C,2,0)</f>
        <v>#N/A</v>
      </c>
      <c r="D63" s="10" t="s">
        <v>1126</v>
      </c>
      <c r="E63" s="10" t="s">
        <v>1125</v>
      </c>
      <c r="F63" s="10" t="s">
        <v>4</v>
      </c>
      <c r="G63" s="10" t="s">
        <v>1124</v>
      </c>
      <c r="H63" s="10" t="s">
        <v>1123</v>
      </c>
      <c r="I63" s="12" t="s">
        <v>303</v>
      </c>
      <c r="J63" s="22">
        <v>46134</v>
      </c>
      <c r="K63" s="22" t="s">
        <v>215</v>
      </c>
      <c r="L63" s="3" t="s">
        <v>8</v>
      </c>
      <c r="M63" s="11" t="s">
        <v>963</v>
      </c>
      <c r="N63" s="5">
        <v>0</v>
      </c>
      <c r="O63" s="11">
        <v>2900</v>
      </c>
      <c r="P63" s="11">
        <v>3900</v>
      </c>
      <c r="Q63" s="11">
        <f t="shared" si="0"/>
        <v>1000</v>
      </c>
      <c r="R63" s="11">
        <v>10000</v>
      </c>
      <c r="S63" s="11">
        <f t="shared" si="1"/>
        <v>7100</v>
      </c>
      <c r="T63" s="11">
        <v>0</v>
      </c>
      <c r="U63" s="5" t="s">
        <v>7</v>
      </c>
      <c r="V63" s="4">
        <v>46134</v>
      </c>
      <c r="W63" s="3" t="s">
        <v>6</v>
      </c>
      <c r="X63" s="3"/>
      <c r="Y63" s="11"/>
      <c r="Z63" s="3"/>
      <c r="AA63" s="3"/>
      <c r="AB63" s="3" t="str">
        <f t="shared" si="2"/>
        <v>Paid</v>
      </c>
      <c r="AC63" s="3"/>
    </row>
    <row r="64" spans="1:30" x14ac:dyDescent="0.25">
      <c r="A64" s="10" t="s">
        <v>5</v>
      </c>
      <c r="B64" s="10" t="s">
        <v>1122</v>
      </c>
      <c r="C64" s="10" t="e">
        <f>VLOOKUP(B64,'[1]MAY MONTH'!$B:$C,2,0)</f>
        <v>#N/A</v>
      </c>
      <c r="D64" s="29" t="s">
        <v>1121</v>
      </c>
      <c r="E64" s="29" t="s">
        <v>1120</v>
      </c>
      <c r="F64" s="10" t="s">
        <v>4</v>
      </c>
      <c r="G64" s="29" t="s">
        <v>1119</v>
      </c>
      <c r="H64" s="10" t="s">
        <v>1118</v>
      </c>
      <c r="I64" s="10" t="s">
        <v>1117</v>
      </c>
      <c r="J64" s="22">
        <v>46134</v>
      </c>
      <c r="K64" s="22" t="s">
        <v>215</v>
      </c>
      <c r="L64" s="3" t="s">
        <v>8</v>
      </c>
      <c r="M64" s="3" t="s">
        <v>8</v>
      </c>
      <c r="N64" s="5">
        <v>0</v>
      </c>
      <c r="O64" s="11">
        <v>2712</v>
      </c>
      <c r="P64" s="11">
        <v>4411</v>
      </c>
      <c r="Q64" s="11">
        <f t="shared" si="0"/>
        <v>1699</v>
      </c>
      <c r="R64" s="11">
        <v>10000</v>
      </c>
      <c r="S64" s="11">
        <f t="shared" si="1"/>
        <v>7288</v>
      </c>
      <c r="T64" s="11">
        <v>0</v>
      </c>
      <c r="U64" s="5" t="s">
        <v>7</v>
      </c>
      <c r="V64" s="4">
        <v>46134</v>
      </c>
      <c r="W64" s="3" t="s">
        <v>6</v>
      </c>
      <c r="X64" s="3"/>
      <c r="Y64" s="11"/>
      <c r="Z64" s="3"/>
      <c r="AA64" s="3"/>
      <c r="AB64" s="3" t="str">
        <f t="shared" si="2"/>
        <v>Paid</v>
      </c>
      <c r="AC64" s="3"/>
    </row>
    <row r="65" spans="1:30" x14ac:dyDescent="0.25">
      <c r="A65" s="10" t="s">
        <v>5</v>
      </c>
      <c r="B65" s="10" t="s">
        <v>1116</v>
      </c>
      <c r="C65" s="10" t="e">
        <f>VLOOKUP(B65,'[1]MAY MONTH'!$B:$C,2,0)</f>
        <v>#N/A</v>
      </c>
      <c r="D65" s="29" t="s">
        <v>1115</v>
      </c>
      <c r="E65" s="29" t="s">
        <v>1114</v>
      </c>
      <c r="F65" s="10" t="s">
        <v>4</v>
      </c>
      <c r="G65" s="29" t="s">
        <v>755</v>
      </c>
      <c r="H65" s="29" t="s">
        <v>1113</v>
      </c>
      <c r="I65" s="29" t="s">
        <v>10</v>
      </c>
      <c r="J65" s="22">
        <v>46134</v>
      </c>
      <c r="K65" s="22" t="s">
        <v>215</v>
      </c>
      <c r="L65" s="3" t="s">
        <v>8</v>
      </c>
      <c r="M65" s="3" t="s">
        <v>8</v>
      </c>
      <c r="N65" s="5">
        <v>0</v>
      </c>
      <c r="O65" s="11">
        <v>6337</v>
      </c>
      <c r="P65" s="11">
        <v>6837</v>
      </c>
      <c r="Q65" s="11">
        <f t="shared" si="0"/>
        <v>500</v>
      </c>
      <c r="R65" s="11">
        <v>10000</v>
      </c>
      <c r="S65" s="11">
        <f t="shared" si="1"/>
        <v>3663</v>
      </c>
      <c r="T65" s="11">
        <v>0</v>
      </c>
      <c r="U65" s="5" t="s">
        <v>7</v>
      </c>
      <c r="V65" s="4">
        <v>46134</v>
      </c>
      <c r="W65" s="3" t="s">
        <v>6</v>
      </c>
      <c r="X65" s="3"/>
      <c r="Y65" s="11"/>
      <c r="Z65" s="3"/>
      <c r="AA65" s="3"/>
      <c r="AB65" s="3" t="str">
        <f t="shared" si="2"/>
        <v>Paid</v>
      </c>
      <c r="AC65" s="3"/>
    </row>
    <row r="66" spans="1:30" x14ac:dyDescent="0.25">
      <c r="A66" s="10" t="s">
        <v>5</v>
      </c>
      <c r="B66" s="7" t="s">
        <v>1112</v>
      </c>
      <c r="C66" s="10" t="e">
        <f>VLOOKUP(B66,'[1]MAY MONTH'!$B:$C,2,0)</f>
        <v>#N/A</v>
      </c>
      <c r="D66" s="7" t="s">
        <v>1111</v>
      </c>
      <c r="E66" s="7" t="s">
        <v>1110</v>
      </c>
      <c r="F66" s="10" t="s">
        <v>4</v>
      </c>
      <c r="G66" s="7" t="s">
        <v>253</v>
      </c>
      <c r="H66" s="7" t="s">
        <v>1109</v>
      </c>
      <c r="I66" s="7" t="s">
        <v>1108</v>
      </c>
      <c r="J66" s="9">
        <v>46135</v>
      </c>
      <c r="K66" s="13" t="s">
        <v>9</v>
      </c>
      <c r="L66" s="3" t="s">
        <v>1</v>
      </c>
      <c r="M66" s="11" t="s">
        <v>0</v>
      </c>
      <c r="N66" s="5">
        <v>0</v>
      </c>
      <c r="O66" s="11">
        <v>4413.2</v>
      </c>
      <c r="P66" s="11">
        <v>5913</v>
      </c>
      <c r="Q66" s="11">
        <f t="shared" ref="Q66:Q129" si="3">P66-O66</f>
        <v>1499.8000000000002</v>
      </c>
      <c r="R66" s="11">
        <v>10000</v>
      </c>
      <c r="S66" s="11">
        <f t="shared" ref="S66:S129" si="4">R66-O66</f>
        <v>5586.8</v>
      </c>
      <c r="T66" s="11">
        <v>0</v>
      </c>
      <c r="U66" s="5" t="s">
        <v>7</v>
      </c>
      <c r="V66" s="4">
        <v>46135</v>
      </c>
      <c r="W66" s="3" t="s">
        <v>6</v>
      </c>
      <c r="X66" s="3"/>
      <c r="Y66" s="11"/>
      <c r="Z66" s="3"/>
      <c r="AA66" s="3"/>
      <c r="AB66" s="3" t="str">
        <f t="shared" ref="AB66:AB129" si="5">IF(O66,"Paid","Unpaid")</f>
        <v>Paid</v>
      </c>
      <c r="AC66" s="3"/>
    </row>
    <row r="67" spans="1:30" x14ac:dyDescent="0.25">
      <c r="A67" s="10" t="s">
        <v>5</v>
      </c>
      <c r="B67" s="36" t="s">
        <v>1107</v>
      </c>
      <c r="C67" s="10" t="e">
        <f>VLOOKUP(B67,'[1]MAY MONTH'!$B:$C,2,0)</f>
        <v>#N/A</v>
      </c>
      <c r="D67" s="36" t="s">
        <v>1106</v>
      </c>
      <c r="E67" s="10" t="s">
        <v>1105</v>
      </c>
      <c r="F67" s="10" t="s">
        <v>4</v>
      </c>
      <c r="G67" s="10" t="s">
        <v>1104</v>
      </c>
      <c r="H67" s="10" t="s">
        <v>1103</v>
      </c>
      <c r="I67" s="10" t="s">
        <v>10</v>
      </c>
      <c r="J67" s="22">
        <v>46134</v>
      </c>
      <c r="K67" s="13" t="s">
        <v>9</v>
      </c>
      <c r="L67" s="10" t="s">
        <v>8</v>
      </c>
      <c r="M67" s="10" t="s">
        <v>11</v>
      </c>
      <c r="N67" s="5">
        <v>0</v>
      </c>
      <c r="O67" s="11">
        <v>3658</v>
      </c>
      <c r="P67" s="11">
        <v>3958</v>
      </c>
      <c r="Q67" s="11">
        <f t="shared" si="3"/>
        <v>300</v>
      </c>
      <c r="R67" s="11">
        <v>10000</v>
      </c>
      <c r="S67" s="11">
        <f t="shared" si="4"/>
        <v>6342</v>
      </c>
      <c r="T67" s="11">
        <v>0</v>
      </c>
      <c r="U67" s="5" t="s">
        <v>7</v>
      </c>
      <c r="V67" s="4">
        <v>46134</v>
      </c>
      <c r="W67" s="3" t="s">
        <v>6</v>
      </c>
      <c r="X67" s="3"/>
      <c r="Y67" s="11"/>
      <c r="Z67" s="3"/>
      <c r="AA67" s="3"/>
      <c r="AB67" s="3" t="str">
        <f t="shared" si="5"/>
        <v>Paid</v>
      </c>
      <c r="AC67" s="3"/>
    </row>
    <row r="68" spans="1:30" s="32" customFormat="1" x14ac:dyDescent="0.25">
      <c r="A68" s="7" t="s">
        <v>5</v>
      </c>
      <c r="B68" s="10" t="s">
        <v>1102</v>
      </c>
      <c r="C68" s="10" t="e">
        <f>VLOOKUP(B68,'[1]MAY MONTH'!$B:$C,2,0)</f>
        <v>#N/A</v>
      </c>
      <c r="D68" s="10" t="s">
        <v>1101</v>
      </c>
      <c r="E68" s="10" t="s">
        <v>1100</v>
      </c>
      <c r="F68" s="10" t="s">
        <v>4</v>
      </c>
      <c r="G68" s="10" t="s">
        <v>713</v>
      </c>
      <c r="H68" s="10" t="s">
        <v>1099</v>
      </c>
      <c r="I68" s="10" t="s">
        <v>1138</v>
      </c>
      <c r="J68" s="22">
        <v>46134</v>
      </c>
      <c r="K68" s="22" t="s">
        <v>215</v>
      </c>
      <c r="L68" s="3" t="s">
        <v>35</v>
      </c>
      <c r="M68" s="34" t="s">
        <v>35</v>
      </c>
      <c r="N68" s="5">
        <v>0</v>
      </c>
      <c r="O68" s="11">
        <v>2922</v>
      </c>
      <c r="P68" s="11">
        <v>3922</v>
      </c>
      <c r="Q68" s="11">
        <f t="shared" si="3"/>
        <v>1000</v>
      </c>
      <c r="R68" s="11">
        <v>10000</v>
      </c>
      <c r="S68" s="11">
        <f t="shared" si="4"/>
        <v>7078</v>
      </c>
      <c r="T68" s="11">
        <v>0</v>
      </c>
      <c r="U68" s="5" t="s">
        <v>7</v>
      </c>
      <c r="V68" s="4">
        <v>46134</v>
      </c>
      <c r="W68" s="3" t="s">
        <v>6</v>
      </c>
      <c r="X68" s="3"/>
      <c r="Y68" s="34"/>
      <c r="Z68" s="10"/>
      <c r="AA68" s="10"/>
      <c r="AB68" s="3" t="str">
        <f t="shared" si="5"/>
        <v>Paid</v>
      </c>
      <c r="AC68" s="10"/>
      <c r="AD68" s="1"/>
    </row>
    <row r="69" spans="1:30" s="32" customFormat="1" x14ac:dyDescent="0.25">
      <c r="A69" s="7" t="s">
        <v>5</v>
      </c>
      <c r="B69" s="10" t="s">
        <v>1098</v>
      </c>
      <c r="C69" s="10" t="e">
        <f>VLOOKUP(B69,'[1]MAY MONTH'!$B:$C,2,0)</f>
        <v>#N/A</v>
      </c>
      <c r="D69" s="10" t="s">
        <v>1097</v>
      </c>
      <c r="E69" s="10" t="s">
        <v>1096</v>
      </c>
      <c r="F69" s="10" t="s">
        <v>4</v>
      </c>
      <c r="G69" s="10" t="s">
        <v>62</v>
      </c>
      <c r="H69" s="10" t="s">
        <v>1095</v>
      </c>
      <c r="I69" s="10" t="s">
        <v>36</v>
      </c>
      <c r="J69" s="22">
        <v>46137</v>
      </c>
      <c r="K69" s="13" t="s">
        <v>9</v>
      </c>
      <c r="L69" s="3" t="s">
        <v>1</v>
      </c>
      <c r="M69" s="34" t="s">
        <v>1</v>
      </c>
      <c r="N69" s="5">
        <v>0</v>
      </c>
      <c r="O69" s="11">
        <v>11493</v>
      </c>
      <c r="P69" s="11">
        <f>O69</f>
        <v>11493</v>
      </c>
      <c r="Q69" s="11">
        <f t="shared" si="3"/>
        <v>0</v>
      </c>
      <c r="R69" s="11">
        <v>10000</v>
      </c>
      <c r="S69" s="11">
        <f t="shared" si="4"/>
        <v>-1493</v>
      </c>
      <c r="T69" s="11">
        <f>VLOOKUP(B69,[2]Sheet1!$B:$J,9,0)</f>
        <v>1493</v>
      </c>
      <c r="U69" s="34" t="s">
        <v>7</v>
      </c>
      <c r="V69" s="35">
        <v>46136</v>
      </c>
      <c r="W69" s="10" t="s">
        <v>6</v>
      </c>
      <c r="X69" s="10"/>
      <c r="Y69" s="34"/>
      <c r="Z69" s="10"/>
      <c r="AA69" s="10"/>
      <c r="AB69" s="3" t="str">
        <f t="shared" si="5"/>
        <v>Paid</v>
      </c>
      <c r="AC69" s="10"/>
      <c r="AD69" s="1"/>
    </row>
    <row r="70" spans="1:30" x14ac:dyDescent="0.25">
      <c r="A70" s="10" t="s">
        <v>5</v>
      </c>
      <c r="B70" s="10" t="s">
        <v>1094</v>
      </c>
      <c r="C70" s="10" t="e">
        <f>VLOOKUP(B70,'[1]MAY MONTH'!$B:$C,2,0)</f>
        <v>#N/A</v>
      </c>
      <c r="D70" s="10" t="s">
        <v>1093</v>
      </c>
      <c r="E70" s="10" t="s">
        <v>1092</v>
      </c>
      <c r="F70" s="10" t="s">
        <v>82</v>
      </c>
      <c r="G70" s="10" t="s">
        <v>904</v>
      </c>
      <c r="H70" s="10" t="s">
        <v>1091</v>
      </c>
      <c r="I70" s="12" t="s">
        <v>36</v>
      </c>
      <c r="J70" s="22">
        <v>46136</v>
      </c>
      <c r="K70" s="28" t="s">
        <v>82</v>
      </c>
      <c r="L70" s="3" t="s">
        <v>8</v>
      </c>
      <c r="M70" s="11" t="s">
        <v>963</v>
      </c>
      <c r="N70" s="5">
        <v>0</v>
      </c>
      <c r="O70" s="11">
        <v>10000</v>
      </c>
      <c r="P70" s="11">
        <f>O70</f>
        <v>10000</v>
      </c>
      <c r="Q70" s="11">
        <f t="shared" si="3"/>
        <v>0</v>
      </c>
      <c r="R70" s="11">
        <v>10000</v>
      </c>
      <c r="S70" s="11">
        <f t="shared" si="4"/>
        <v>0</v>
      </c>
      <c r="T70" s="11">
        <v>0</v>
      </c>
      <c r="U70" s="5" t="s">
        <v>7</v>
      </c>
      <c r="V70" s="4">
        <v>46135</v>
      </c>
      <c r="W70" s="3" t="s">
        <v>6</v>
      </c>
      <c r="X70" s="3"/>
      <c r="Y70" s="11"/>
      <c r="Z70" s="3"/>
      <c r="AA70" s="3"/>
      <c r="AB70" s="3" t="str">
        <f t="shared" si="5"/>
        <v>Paid</v>
      </c>
      <c r="AC70" s="3"/>
    </row>
    <row r="71" spans="1:30" x14ac:dyDescent="0.25">
      <c r="A71" s="10" t="s">
        <v>5</v>
      </c>
      <c r="B71" s="3" t="s">
        <v>1090</v>
      </c>
      <c r="C71" s="10" t="e">
        <f>VLOOKUP(B71,'[1]MAY MONTH'!$B:$C,2,0)</f>
        <v>#N/A</v>
      </c>
      <c r="D71" s="3" t="s">
        <v>1089</v>
      </c>
      <c r="E71" s="3" t="s">
        <v>1088</v>
      </c>
      <c r="F71" s="10" t="s">
        <v>21</v>
      </c>
      <c r="G71" s="3" t="s">
        <v>342</v>
      </c>
      <c r="H71" s="3" t="s">
        <v>1087</v>
      </c>
      <c r="I71" s="3" t="s">
        <v>36</v>
      </c>
      <c r="J71" s="22">
        <v>46135</v>
      </c>
      <c r="K71" s="22" t="s">
        <v>21</v>
      </c>
      <c r="L71" s="3" t="s">
        <v>1</v>
      </c>
      <c r="M71" s="11" t="s">
        <v>1</v>
      </c>
      <c r="N71" s="5">
        <v>0</v>
      </c>
      <c r="O71" s="11">
        <v>8000</v>
      </c>
      <c r="P71" s="11">
        <v>9599</v>
      </c>
      <c r="Q71" s="11">
        <f t="shared" si="3"/>
        <v>1599</v>
      </c>
      <c r="R71" s="11">
        <v>10000</v>
      </c>
      <c r="S71" s="11">
        <f t="shared" si="4"/>
        <v>2000</v>
      </c>
      <c r="T71" s="11">
        <v>0</v>
      </c>
      <c r="U71" s="5" t="s">
        <v>7</v>
      </c>
      <c r="V71" s="4">
        <v>46135</v>
      </c>
      <c r="W71" s="3" t="s">
        <v>6</v>
      </c>
      <c r="X71" s="3"/>
      <c r="Y71" s="11"/>
      <c r="Z71" s="3"/>
      <c r="AA71" s="3"/>
      <c r="AB71" s="3" t="str">
        <f t="shared" si="5"/>
        <v>Paid</v>
      </c>
      <c r="AC71" s="3"/>
    </row>
    <row r="72" spans="1:30" s="32" customFormat="1" x14ac:dyDescent="0.25">
      <c r="A72" s="10" t="s">
        <v>5</v>
      </c>
      <c r="B72" s="10" t="s">
        <v>1086</v>
      </c>
      <c r="C72" s="10" t="e">
        <f>VLOOKUP(B72,'[1]MAY MONTH'!$B:$C,2,0)</f>
        <v>#N/A</v>
      </c>
      <c r="D72" s="10" t="s">
        <v>1085</v>
      </c>
      <c r="E72" s="10" t="s">
        <v>1084</v>
      </c>
      <c r="F72" s="10" t="s">
        <v>82</v>
      </c>
      <c r="G72" s="10" t="s">
        <v>1083</v>
      </c>
      <c r="H72" s="10" t="s">
        <v>1082</v>
      </c>
      <c r="I72" s="10" t="s">
        <v>10</v>
      </c>
      <c r="J72" s="22">
        <v>46137</v>
      </c>
      <c r="K72" s="28" t="s">
        <v>82</v>
      </c>
      <c r="L72" s="3" t="s">
        <v>8</v>
      </c>
      <c r="M72" s="34" t="s">
        <v>963</v>
      </c>
      <c r="N72" s="5">
        <v>0</v>
      </c>
      <c r="O72" s="11">
        <v>10000</v>
      </c>
      <c r="P72" s="11">
        <f>O72</f>
        <v>10000</v>
      </c>
      <c r="Q72" s="11">
        <f t="shared" si="3"/>
        <v>0</v>
      </c>
      <c r="R72" s="11">
        <v>10000</v>
      </c>
      <c r="S72" s="11">
        <f t="shared" si="4"/>
        <v>0</v>
      </c>
      <c r="T72" s="11">
        <v>0</v>
      </c>
      <c r="U72" s="5" t="s">
        <v>7</v>
      </c>
      <c r="V72" s="4">
        <v>46137</v>
      </c>
      <c r="W72" s="3" t="s">
        <v>6</v>
      </c>
      <c r="X72" s="10"/>
      <c r="Y72" s="34"/>
      <c r="Z72" s="10"/>
      <c r="AA72" s="10"/>
      <c r="AB72" s="3" t="str">
        <f t="shared" si="5"/>
        <v>Paid</v>
      </c>
      <c r="AC72" s="10"/>
      <c r="AD72" s="1"/>
    </row>
    <row r="73" spans="1:30" x14ac:dyDescent="0.25">
      <c r="A73" s="10" t="s">
        <v>5</v>
      </c>
      <c r="B73" s="10" t="s">
        <v>1081</v>
      </c>
      <c r="C73" s="10" t="e">
        <f>VLOOKUP(B73,'[1]MAY MONTH'!$B:$C,2,0)</f>
        <v>#N/A</v>
      </c>
      <c r="D73" s="10" t="s">
        <v>1080</v>
      </c>
      <c r="E73" s="10" t="s">
        <v>1079</v>
      </c>
      <c r="F73" s="10" t="s">
        <v>21</v>
      </c>
      <c r="G73" s="10" t="s">
        <v>1078</v>
      </c>
      <c r="H73" s="10" t="s">
        <v>1077</v>
      </c>
      <c r="I73" s="3" t="s">
        <v>36</v>
      </c>
      <c r="J73" s="22">
        <v>46138</v>
      </c>
      <c r="K73" s="22" t="s">
        <v>21</v>
      </c>
      <c r="L73" s="3" t="s">
        <v>8</v>
      </c>
      <c r="M73" s="11" t="s">
        <v>963</v>
      </c>
      <c r="N73" s="5">
        <v>0</v>
      </c>
      <c r="O73" s="11">
        <v>7000</v>
      </c>
      <c r="P73" s="11">
        <v>7999</v>
      </c>
      <c r="Q73" s="11">
        <f t="shared" si="3"/>
        <v>999</v>
      </c>
      <c r="R73" s="11">
        <v>10000</v>
      </c>
      <c r="S73" s="11">
        <f t="shared" si="4"/>
        <v>3000</v>
      </c>
      <c r="T73" s="11">
        <v>0</v>
      </c>
      <c r="U73" s="5" t="s">
        <v>7</v>
      </c>
      <c r="V73" s="4">
        <v>46138</v>
      </c>
      <c r="W73" s="3" t="s">
        <v>6</v>
      </c>
      <c r="X73" s="3"/>
      <c r="Y73" s="11"/>
      <c r="Z73" s="3"/>
      <c r="AA73" s="3"/>
      <c r="AB73" s="3" t="str">
        <f t="shared" si="5"/>
        <v>Paid</v>
      </c>
      <c r="AC73" s="3"/>
    </row>
    <row r="74" spans="1:30" s="16" customFormat="1" x14ac:dyDescent="0.25">
      <c r="A74" s="8" t="s">
        <v>5</v>
      </c>
      <c r="B74" s="8" t="s">
        <v>1076</v>
      </c>
      <c r="C74" s="10" t="e">
        <f>VLOOKUP(B74,'[1]MAY MONTH'!$B:$C,2,0)</f>
        <v>#N/A</v>
      </c>
      <c r="D74" s="8" t="s">
        <v>1075</v>
      </c>
      <c r="E74" s="8" t="s">
        <v>1074</v>
      </c>
      <c r="F74" s="10" t="s">
        <v>4</v>
      </c>
      <c r="G74" s="7" t="s">
        <v>1073</v>
      </c>
      <c r="H74" s="7" t="s">
        <v>1466</v>
      </c>
      <c r="I74" s="7" t="s">
        <v>110</v>
      </c>
      <c r="J74" s="9">
        <v>46138</v>
      </c>
      <c r="K74" s="22" t="s">
        <v>215</v>
      </c>
      <c r="L74" s="7" t="s">
        <v>28</v>
      </c>
      <c r="M74" s="11" t="s">
        <v>0</v>
      </c>
      <c r="N74" s="6">
        <v>0</v>
      </c>
      <c r="O74" s="6">
        <v>2342</v>
      </c>
      <c r="P74" s="6">
        <v>3962</v>
      </c>
      <c r="Q74" s="11">
        <f t="shared" si="3"/>
        <v>1620</v>
      </c>
      <c r="R74" s="11">
        <v>10000</v>
      </c>
      <c r="S74" s="11">
        <f t="shared" si="4"/>
        <v>7658</v>
      </c>
      <c r="T74" s="11">
        <v>0</v>
      </c>
      <c r="U74" s="6" t="s">
        <v>7</v>
      </c>
      <c r="V74" s="33">
        <v>46138</v>
      </c>
      <c r="W74" s="17" t="s">
        <v>6</v>
      </c>
      <c r="X74" s="17"/>
      <c r="Y74" s="6"/>
      <c r="Z74" s="17"/>
      <c r="AA74" s="17"/>
      <c r="AB74" s="3" t="str">
        <f t="shared" si="5"/>
        <v>Paid</v>
      </c>
      <c r="AC74" s="17"/>
      <c r="AD74" s="1"/>
    </row>
    <row r="75" spans="1:30" s="16" customFormat="1" x14ac:dyDescent="0.25">
      <c r="A75" s="8" t="s">
        <v>5</v>
      </c>
      <c r="B75" s="8" t="s">
        <v>1072</v>
      </c>
      <c r="C75" s="10" t="e">
        <f>VLOOKUP(B75,'[1]MAY MONTH'!$B:$C,2,0)</f>
        <v>#N/A</v>
      </c>
      <c r="D75" s="8" t="s">
        <v>1071</v>
      </c>
      <c r="E75" s="8" t="s">
        <v>1070</v>
      </c>
      <c r="F75" s="10" t="s">
        <v>4</v>
      </c>
      <c r="G75" s="7" t="s">
        <v>281</v>
      </c>
      <c r="H75" s="7" t="s">
        <v>1069</v>
      </c>
      <c r="I75" s="7" t="s">
        <v>132</v>
      </c>
      <c r="J75" s="9">
        <v>46137</v>
      </c>
      <c r="K75" s="7" t="s">
        <v>9</v>
      </c>
      <c r="L75" s="7" t="s">
        <v>28</v>
      </c>
      <c r="M75" s="11" t="s">
        <v>0</v>
      </c>
      <c r="N75" s="6">
        <v>0</v>
      </c>
      <c r="O75" s="6">
        <v>8846</v>
      </c>
      <c r="P75" s="6">
        <v>8846</v>
      </c>
      <c r="Q75" s="11">
        <f t="shared" si="3"/>
        <v>0</v>
      </c>
      <c r="R75" s="11">
        <v>10000</v>
      </c>
      <c r="S75" s="11">
        <f t="shared" si="4"/>
        <v>1154</v>
      </c>
      <c r="T75" s="11">
        <v>0</v>
      </c>
      <c r="U75" s="6" t="s">
        <v>7</v>
      </c>
      <c r="V75" s="4">
        <v>46137</v>
      </c>
      <c r="W75" s="3" t="s">
        <v>6</v>
      </c>
      <c r="X75" s="17"/>
      <c r="Y75" s="6"/>
      <c r="Z75" s="17"/>
      <c r="AA75" s="17"/>
      <c r="AB75" s="3" t="str">
        <f t="shared" si="5"/>
        <v>Paid</v>
      </c>
      <c r="AC75" s="17"/>
      <c r="AD75" s="1"/>
    </row>
    <row r="76" spans="1:30" s="16" customFormat="1" x14ac:dyDescent="0.25">
      <c r="A76" s="8" t="s">
        <v>5</v>
      </c>
      <c r="B76" s="7" t="s">
        <v>1068</v>
      </c>
      <c r="C76" s="10" t="e">
        <f>VLOOKUP(B76,'[1]MAY MONTH'!$B:$C,2,0)</f>
        <v>#N/A</v>
      </c>
      <c r="D76" s="8" t="s">
        <v>1067</v>
      </c>
      <c r="E76" s="8" t="s">
        <v>1066</v>
      </c>
      <c r="F76" s="10" t="s">
        <v>21</v>
      </c>
      <c r="G76" s="7" t="s">
        <v>31</v>
      </c>
      <c r="H76" s="7" t="s">
        <v>1065</v>
      </c>
      <c r="I76" s="7" t="s">
        <v>29</v>
      </c>
      <c r="J76" s="9">
        <v>46138</v>
      </c>
      <c r="K76" s="22" t="s">
        <v>21</v>
      </c>
      <c r="L76" s="7" t="s">
        <v>28</v>
      </c>
      <c r="M76" s="11" t="s">
        <v>0</v>
      </c>
      <c r="N76" s="6">
        <v>0</v>
      </c>
      <c r="O76" s="6">
        <v>10915</v>
      </c>
      <c r="P76" s="11">
        <f>O76</f>
        <v>10915</v>
      </c>
      <c r="Q76" s="11">
        <f t="shared" si="3"/>
        <v>0</v>
      </c>
      <c r="R76" s="11">
        <v>10000</v>
      </c>
      <c r="S76" s="11">
        <f t="shared" si="4"/>
        <v>-915</v>
      </c>
      <c r="T76" s="11">
        <f>VLOOKUP(B76,[2]Sheet1!$B:$J,9,0)</f>
        <v>915</v>
      </c>
      <c r="U76" s="5" t="s">
        <v>7</v>
      </c>
      <c r="V76" s="4">
        <v>46137</v>
      </c>
      <c r="W76" s="3" t="s">
        <v>6</v>
      </c>
      <c r="X76" s="17"/>
      <c r="Y76" s="6"/>
      <c r="Z76" s="17"/>
      <c r="AA76" s="17"/>
      <c r="AB76" s="3" t="str">
        <f t="shared" si="5"/>
        <v>Paid</v>
      </c>
      <c r="AC76" s="17"/>
      <c r="AD76" s="1"/>
    </row>
    <row r="77" spans="1:30" s="16" customFormat="1" x14ac:dyDescent="0.25">
      <c r="A77" s="8" t="s">
        <v>5</v>
      </c>
      <c r="B77" s="8" t="s">
        <v>1064</v>
      </c>
      <c r="C77" s="10" t="e">
        <f>VLOOKUP(B77,'[1]MAY MONTH'!$B:$C,2,0)</f>
        <v>#N/A</v>
      </c>
      <c r="D77" s="8" t="s">
        <v>1063</v>
      </c>
      <c r="E77" s="8" t="s">
        <v>1062</v>
      </c>
      <c r="F77" s="10" t="s">
        <v>4</v>
      </c>
      <c r="G77" s="7" t="s">
        <v>593</v>
      </c>
      <c r="H77" s="7" t="s">
        <v>1061</v>
      </c>
      <c r="I77" s="7" t="s">
        <v>29</v>
      </c>
      <c r="J77" s="9">
        <v>46137</v>
      </c>
      <c r="K77" s="22" t="s">
        <v>215</v>
      </c>
      <c r="L77" s="7" t="s">
        <v>28</v>
      </c>
      <c r="M77" s="11" t="s">
        <v>0</v>
      </c>
      <c r="N77" s="6">
        <v>0</v>
      </c>
      <c r="O77" s="6">
        <v>2115</v>
      </c>
      <c r="P77" s="6">
        <v>4415</v>
      </c>
      <c r="Q77" s="11">
        <f t="shared" si="3"/>
        <v>2300</v>
      </c>
      <c r="R77" s="11">
        <v>10000</v>
      </c>
      <c r="S77" s="11">
        <f t="shared" si="4"/>
        <v>7885</v>
      </c>
      <c r="T77" s="11">
        <v>0</v>
      </c>
      <c r="U77" s="5" t="s">
        <v>7</v>
      </c>
      <c r="V77" s="4">
        <v>46137</v>
      </c>
      <c r="W77" s="3" t="s">
        <v>6</v>
      </c>
      <c r="X77" s="17"/>
      <c r="Y77" s="6"/>
      <c r="Z77" s="17"/>
      <c r="AA77" s="17"/>
      <c r="AB77" s="3" t="str">
        <f t="shared" si="5"/>
        <v>Paid</v>
      </c>
      <c r="AC77" s="17"/>
      <c r="AD77" s="1"/>
    </row>
    <row r="78" spans="1:30" s="16" customFormat="1" x14ac:dyDescent="0.25">
      <c r="A78" s="7" t="s">
        <v>5</v>
      </c>
      <c r="B78" s="7" t="s">
        <v>1060</v>
      </c>
      <c r="C78" s="10" t="e">
        <f>VLOOKUP(B78,'[1]MAY MONTH'!$B:$C,2,0)</f>
        <v>#N/A</v>
      </c>
      <c r="D78" s="7" t="s">
        <v>1059</v>
      </c>
      <c r="E78" s="7" t="s">
        <v>1058</v>
      </c>
      <c r="F78" s="10" t="s">
        <v>4</v>
      </c>
      <c r="G78" s="7" t="s">
        <v>816</v>
      </c>
      <c r="H78" s="7" t="s">
        <v>1441</v>
      </c>
      <c r="I78" s="7" t="s">
        <v>2</v>
      </c>
      <c r="J78" s="9">
        <v>46137</v>
      </c>
      <c r="K78" s="10" t="s">
        <v>9</v>
      </c>
      <c r="L78" s="7" t="s">
        <v>1</v>
      </c>
      <c r="M78" s="11" t="s">
        <v>0</v>
      </c>
      <c r="N78" s="6">
        <v>0</v>
      </c>
      <c r="O78" s="6">
        <v>5546</v>
      </c>
      <c r="P78" s="6">
        <v>5546</v>
      </c>
      <c r="Q78" s="11">
        <f t="shared" si="3"/>
        <v>0</v>
      </c>
      <c r="R78" s="11">
        <v>10000</v>
      </c>
      <c r="S78" s="11">
        <f t="shared" si="4"/>
        <v>4454</v>
      </c>
      <c r="T78" s="11">
        <v>0</v>
      </c>
      <c r="U78" s="5" t="s">
        <v>7</v>
      </c>
      <c r="V78" s="4">
        <v>46138</v>
      </c>
      <c r="W78" s="3" t="s">
        <v>6</v>
      </c>
      <c r="X78" s="17"/>
      <c r="Y78" s="6"/>
      <c r="Z78" s="17"/>
      <c r="AA78" s="17"/>
      <c r="AB78" s="3" t="str">
        <f t="shared" si="5"/>
        <v>Paid</v>
      </c>
      <c r="AC78" s="17"/>
      <c r="AD78" s="1"/>
    </row>
    <row r="79" spans="1:30" s="16" customFormat="1" x14ac:dyDescent="0.25">
      <c r="A79" s="8" t="s">
        <v>5</v>
      </c>
      <c r="B79" s="7" t="s">
        <v>1057</v>
      </c>
      <c r="C79" s="10" t="e">
        <f>VLOOKUP(B79,'[1]MAY MONTH'!$B:$C,2,0)</f>
        <v>#N/A</v>
      </c>
      <c r="D79" s="8" t="s">
        <v>1056</v>
      </c>
      <c r="E79" s="8" t="s">
        <v>1055</v>
      </c>
      <c r="F79" s="10" t="s">
        <v>4</v>
      </c>
      <c r="G79" s="7" t="s">
        <v>1054</v>
      </c>
      <c r="H79" s="7" t="s">
        <v>1442</v>
      </c>
      <c r="I79" s="7" t="s">
        <v>1053</v>
      </c>
      <c r="J79" s="9">
        <v>46136</v>
      </c>
      <c r="K79" s="7" t="s">
        <v>9</v>
      </c>
      <c r="L79" s="7" t="s">
        <v>28</v>
      </c>
      <c r="M79" s="11" t="s">
        <v>0</v>
      </c>
      <c r="N79" s="6">
        <v>0</v>
      </c>
      <c r="O79" s="6">
        <v>7959</v>
      </c>
      <c r="P79" s="6">
        <v>8459</v>
      </c>
      <c r="Q79" s="11">
        <f t="shared" si="3"/>
        <v>500</v>
      </c>
      <c r="R79" s="11">
        <v>10000</v>
      </c>
      <c r="S79" s="11">
        <f t="shared" si="4"/>
        <v>2041</v>
      </c>
      <c r="T79" s="11">
        <v>0</v>
      </c>
      <c r="U79" s="5" t="s">
        <v>7</v>
      </c>
      <c r="V79" s="4">
        <v>46136</v>
      </c>
      <c r="W79" s="3" t="s">
        <v>6</v>
      </c>
      <c r="X79" s="17"/>
      <c r="Y79" s="6"/>
      <c r="Z79" s="17"/>
      <c r="AA79" s="17"/>
      <c r="AB79" s="3" t="str">
        <f t="shared" si="5"/>
        <v>Paid</v>
      </c>
      <c r="AC79" s="17"/>
      <c r="AD79" s="1"/>
    </row>
    <row r="80" spans="1:30" s="16" customFormat="1" x14ac:dyDescent="0.25">
      <c r="A80" s="7" t="s">
        <v>5</v>
      </c>
      <c r="B80" s="8" t="s">
        <v>1052</v>
      </c>
      <c r="C80" s="10" t="e">
        <f>VLOOKUP(B80,'[1]MAY MONTH'!$B:$C,2,0)</f>
        <v>#N/A</v>
      </c>
      <c r="D80" s="8" t="s">
        <v>1051</v>
      </c>
      <c r="E80" s="8" t="s">
        <v>1050</v>
      </c>
      <c r="F80" s="10" t="s">
        <v>4</v>
      </c>
      <c r="G80" s="8" t="s">
        <v>470</v>
      </c>
      <c r="H80" s="8" t="s">
        <v>1443</v>
      </c>
      <c r="I80" s="8" t="s">
        <v>10</v>
      </c>
      <c r="J80" s="30">
        <v>46137</v>
      </c>
      <c r="K80" s="8" t="s">
        <v>9</v>
      </c>
      <c r="L80" s="8" t="s">
        <v>28</v>
      </c>
      <c r="M80" s="11" t="s">
        <v>0</v>
      </c>
      <c r="N80" s="6">
        <v>0</v>
      </c>
      <c r="O80" s="6">
        <v>3537.64</v>
      </c>
      <c r="P80" s="6">
        <v>4538</v>
      </c>
      <c r="Q80" s="11">
        <f t="shared" si="3"/>
        <v>1000.3600000000001</v>
      </c>
      <c r="R80" s="11">
        <v>10000</v>
      </c>
      <c r="S80" s="11">
        <f t="shared" si="4"/>
        <v>6462.3600000000006</v>
      </c>
      <c r="T80" s="11">
        <v>0</v>
      </c>
      <c r="U80" s="5" t="s">
        <v>7</v>
      </c>
      <c r="V80" s="4">
        <v>46137</v>
      </c>
      <c r="W80" s="3" t="s">
        <v>6</v>
      </c>
      <c r="X80" s="17"/>
      <c r="Y80" s="6"/>
      <c r="Z80" s="17"/>
      <c r="AA80" s="17"/>
      <c r="AB80" s="3" t="str">
        <f t="shared" si="5"/>
        <v>Paid</v>
      </c>
      <c r="AC80" s="17"/>
      <c r="AD80" s="1"/>
    </row>
    <row r="81" spans="1:30" s="16" customFormat="1" x14ac:dyDescent="0.25">
      <c r="A81" s="7" t="s">
        <v>5</v>
      </c>
      <c r="B81" s="7" t="s">
        <v>1049</v>
      </c>
      <c r="C81" s="10" t="e">
        <f>VLOOKUP(B81,'[1]MAY MONTH'!$B:$C,2,0)</f>
        <v>#N/A</v>
      </c>
      <c r="D81" s="7" t="s">
        <v>1048</v>
      </c>
      <c r="E81" s="7" t="s">
        <v>1047</v>
      </c>
      <c r="F81" s="10" t="s">
        <v>4</v>
      </c>
      <c r="G81" s="7" t="s">
        <v>1046</v>
      </c>
      <c r="H81" s="7" t="s">
        <v>1444</v>
      </c>
      <c r="I81" s="7" t="s">
        <v>122</v>
      </c>
      <c r="J81" s="9">
        <v>46137</v>
      </c>
      <c r="K81" s="10" t="s">
        <v>9</v>
      </c>
      <c r="L81" s="7" t="s">
        <v>1</v>
      </c>
      <c r="M81" s="11" t="s">
        <v>0</v>
      </c>
      <c r="N81" s="6">
        <v>0</v>
      </c>
      <c r="O81" s="6">
        <v>3774</v>
      </c>
      <c r="P81" s="6">
        <v>3775</v>
      </c>
      <c r="Q81" s="11">
        <f t="shared" si="3"/>
        <v>1</v>
      </c>
      <c r="R81" s="11">
        <v>10000</v>
      </c>
      <c r="S81" s="11">
        <f t="shared" si="4"/>
        <v>6226</v>
      </c>
      <c r="T81" s="11">
        <v>0</v>
      </c>
      <c r="U81" s="5" t="s">
        <v>7</v>
      </c>
      <c r="V81" s="4">
        <v>46137</v>
      </c>
      <c r="W81" s="3" t="s">
        <v>6</v>
      </c>
      <c r="X81" s="17"/>
      <c r="Y81" s="6"/>
      <c r="Z81" s="17"/>
      <c r="AA81" s="17"/>
      <c r="AB81" s="3" t="str">
        <f t="shared" si="5"/>
        <v>Paid</v>
      </c>
      <c r="AC81" s="17"/>
      <c r="AD81" s="1"/>
    </row>
    <row r="82" spans="1:30" x14ac:dyDescent="0.25">
      <c r="A82" s="10" t="s">
        <v>5</v>
      </c>
      <c r="B82" s="10" t="s">
        <v>1045</v>
      </c>
      <c r="C82" s="10" t="e">
        <f>VLOOKUP(B82,'[1]MAY MONTH'!$B:$C,2,0)</f>
        <v>#N/A</v>
      </c>
      <c r="D82" s="29" t="s">
        <v>1044</v>
      </c>
      <c r="E82" s="29" t="s">
        <v>1043</v>
      </c>
      <c r="F82" s="10" t="s">
        <v>82</v>
      </c>
      <c r="G82" s="29" t="s">
        <v>1042</v>
      </c>
      <c r="H82" s="10" t="s">
        <v>1041</v>
      </c>
      <c r="I82" s="29" t="s">
        <v>1040</v>
      </c>
      <c r="J82" s="22">
        <v>46136</v>
      </c>
      <c r="K82" s="28" t="s">
        <v>82</v>
      </c>
      <c r="L82" s="3" t="s">
        <v>1</v>
      </c>
      <c r="M82" s="3" t="s">
        <v>1</v>
      </c>
      <c r="N82" s="5">
        <v>0</v>
      </c>
      <c r="O82" s="11">
        <v>9500</v>
      </c>
      <c r="P82" s="11">
        <v>9825</v>
      </c>
      <c r="Q82" s="11">
        <f t="shared" si="3"/>
        <v>325</v>
      </c>
      <c r="R82" s="11">
        <v>10000</v>
      </c>
      <c r="S82" s="11">
        <f t="shared" si="4"/>
        <v>500</v>
      </c>
      <c r="T82" s="11">
        <v>0</v>
      </c>
      <c r="U82" s="5" t="s">
        <v>7</v>
      </c>
      <c r="V82" s="4">
        <v>46135</v>
      </c>
      <c r="W82" s="3" t="s">
        <v>6</v>
      </c>
      <c r="X82" s="3"/>
      <c r="Y82" s="11"/>
      <c r="Z82" s="3"/>
      <c r="AA82" s="3"/>
      <c r="AB82" s="3" t="str">
        <f t="shared" si="5"/>
        <v>Paid</v>
      </c>
      <c r="AC82" s="3"/>
    </row>
    <row r="83" spans="1:30" x14ac:dyDescent="0.25">
      <c r="A83" s="10" t="s">
        <v>5</v>
      </c>
      <c r="B83" s="10" t="s">
        <v>1039</v>
      </c>
      <c r="C83" s="10" t="e">
        <f>VLOOKUP(B83,'[1]MAY MONTH'!$B:$C,2,0)</f>
        <v>#N/A</v>
      </c>
      <c r="D83" s="3" t="s">
        <v>1038</v>
      </c>
      <c r="E83" s="10" t="s">
        <v>1037</v>
      </c>
      <c r="F83" s="10" t="s">
        <v>4</v>
      </c>
      <c r="G83" s="10" t="s">
        <v>1036</v>
      </c>
      <c r="H83" s="10" t="s">
        <v>1035</v>
      </c>
      <c r="I83" s="10" t="s">
        <v>303</v>
      </c>
      <c r="J83" s="22">
        <v>46135</v>
      </c>
      <c r="K83" s="26" t="s">
        <v>9</v>
      </c>
      <c r="L83" s="10" t="s">
        <v>35</v>
      </c>
      <c r="M83" s="10" t="s">
        <v>11</v>
      </c>
      <c r="N83" s="5">
        <v>0</v>
      </c>
      <c r="O83" s="11">
        <v>7134</v>
      </c>
      <c r="P83" s="11">
        <v>7734</v>
      </c>
      <c r="Q83" s="11">
        <f t="shared" si="3"/>
        <v>600</v>
      </c>
      <c r="R83" s="11">
        <v>10000</v>
      </c>
      <c r="S83" s="11">
        <f t="shared" si="4"/>
        <v>2866</v>
      </c>
      <c r="T83" s="11">
        <v>0</v>
      </c>
      <c r="U83" s="5" t="s">
        <v>7</v>
      </c>
      <c r="V83" s="4">
        <v>46135</v>
      </c>
      <c r="W83" s="3" t="s">
        <v>6</v>
      </c>
      <c r="X83" s="3"/>
      <c r="Y83" s="11"/>
      <c r="Z83" s="3"/>
      <c r="AA83" s="3"/>
      <c r="AB83" s="3" t="str">
        <f t="shared" si="5"/>
        <v>Paid</v>
      </c>
      <c r="AC83" s="3"/>
    </row>
    <row r="84" spans="1:30" x14ac:dyDescent="0.25">
      <c r="A84" s="10" t="s">
        <v>5</v>
      </c>
      <c r="B84" s="10" t="s">
        <v>1034</v>
      </c>
      <c r="C84" s="10" t="e">
        <f>VLOOKUP(B84,'[1]MAY MONTH'!$B:$C,2,0)</f>
        <v>#N/A</v>
      </c>
      <c r="D84" s="10" t="s">
        <v>1033</v>
      </c>
      <c r="E84" s="10" t="s">
        <v>1032</v>
      </c>
      <c r="F84" s="10" t="s">
        <v>4</v>
      </c>
      <c r="G84" s="10" t="s">
        <v>667</v>
      </c>
      <c r="H84" s="10" t="s">
        <v>1031</v>
      </c>
      <c r="I84" s="10" t="s">
        <v>10</v>
      </c>
      <c r="J84" s="22">
        <v>46135</v>
      </c>
      <c r="K84" s="26" t="s">
        <v>9</v>
      </c>
      <c r="L84" s="10" t="s">
        <v>8</v>
      </c>
      <c r="M84" s="10" t="s">
        <v>11</v>
      </c>
      <c r="N84" s="5">
        <v>0</v>
      </c>
      <c r="O84" s="11">
        <v>4720</v>
      </c>
      <c r="P84" s="11">
        <v>5720</v>
      </c>
      <c r="Q84" s="11">
        <f t="shared" si="3"/>
        <v>1000</v>
      </c>
      <c r="R84" s="11">
        <v>10000</v>
      </c>
      <c r="S84" s="11">
        <f t="shared" si="4"/>
        <v>5280</v>
      </c>
      <c r="T84" s="11">
        <v>0</v>
      </c>
      <c r="U84" s="5" t="s">
        <v>7</v>
      </c>
      <c r="V84" s="4">
        <v>46135</v>
      </c>
      <c r="W84" s="3" t="s">
        <v>6</v>
      </c>
      <c r="X84" s="3"/>
      <c r="Y84" s="11"/>
      <c r="Z84" s="3"/>
      <c r="AA84" s="3"/>
      <c r="AB84" s="3" t="str">
        <f t="shared" si="5"/>
        <v>Paid</v>
      </c>
      <c r="AC84" s="3"/>
    </row>
    <row r="85" spans="1:30" x14ac:dyDescent="0.25">
      <c r="A85" s="10" t="s">
        <v>5</v>
      </c>
      <c r="B85" s="3" t="s">
        <v>1030</v>
      </c>
      <c r="C85" s="10" t="e">
        <f>VLOOKUP(B85,'[1]MAY MONTH'!$B:$C,2,0)</f>
        <v>#N/A</v>
      </c>
      <c r="D85" s="3" t="s">
        <v>1029</v>
      </c>
      <c r="E85" s="3" t="s">
        <v>1028</v>
      </c>
      <c r="F85" s="10" t="s">
        <v>4</v>
      </c>
      <c r="G85" s="3" t="s">
        <v>1027</v>
      </c>
      <c r="H85" s="3" t="s">
        <v>1026</v>
      </c>
      <c r="I85" s="3" t="s">
        <v>169</v>
      </c>
      <c r="J85" s="13">
        <v>46135</v>
      </c>
      <c r="K85" s="22" t="s">
        <v>215</v>
      </c>
      <c r="L85" s="3" t="s">
        <v>35</v>
      </c>
      <c r="M85" s="3" t="s">
        <v>35</v>
      </c>
      <c r="N85" s="11">
        <v>0</v>
      </c>
      <c r="O85" s="11">
        <v>2574</v>
      </c>
      <c r="P85" s="11">
        <v>4174</v>
      </c>
      <c r="Q85" s="11">
        <f t="shared" si="3"/>
        <v>1600</v>
      </c>
      <c r="R85" s="11">
        <v>10000</v>
      </c>
      <c r="S85" s="11">
        <f t="shared" si="4"/>
        <v>7426</v>
      </c>
      <c r="T85" s="11">
        <v>0</v>
      </c>
      <c r="U85" s="11" t="s">
        <v>7</v>
      </c>
      <c r="V85" s="31">
        <v>46136</v>
      </c>
      <c r="W85" s="3" t="s">
        <v>6</v>
      </c>
      <c r="X85" s="3"/>
      <c r="Y85" s="11"/>
      <c r="Z85" s="3"/>
      <c r="AA85" s="3"/>
      <c r="AB85" s="3" t="str">
        <f t="shared" si="5"/>
        <v>Paid</v>
      </c>
      <c r="AC85" s="3"/>
    </row>
    <row r="86" spans="1:30" x14ac:dyDescent="0.25">
      <c r="A86" s="10" t="s">
        <v>5</v>
      </c>
      <c r="B86" s="10" t="s">
        <v>1025</v>
      </c>
      <c r="C86" s="10" t="e">
        <f>VLOOKUP(B86,'[1]MAY MONTH'!$B:$C,2,0)</f>
        <v>#N/A</v>
      </c>
      <c r="D86" s="10" t="s">
        <v>1024</v>
      </c>
      <c r="E86" s="10" t="s">
        <v>1023</v>
      </c>
      <c r="F86" s="10" t="s">
        <v>21</v>
      </c>
      <c r="G86" s="10" t="s">
        <v>334</v>
      </c>
      <c r="H86" s="10" t="s">
        <v>1022</v>
      </c>
      <c r="I86" s="3" t="s">
        <v>36</v>
      </c>
      <c r="J86" s="22">
        <v>46138</v>
      </c>
      <c r="K86" s="22" t="s">
        <v>21</v>
      </c>
      <c r="L86" s="3" t="s">
        <v>35</v>
      </c>
      <c r="M86" s="11" t="s">
        <v>963</v>
      </c>
      <c r="N86" s="5">
        <v>0</v>
      </c>
      <c r="O86" s="11">
        <v>9360</v>
      </c>
      <c r="P86" s="11">
        <v>9660</v>
      </c>
      <c r="Q86" s="11">
        <f t="shared" si="3"/>
        <v>300</v>
      </c>
      <c r="R86" s="11">
        <v>10000</v>
      </c>
      <c r="S86" s="11">
        <f t="shared" si="4"/>
        <v>640</v>
      </c>
      <c r="T86" s="11">
        <v>0</v>
      </c>
      <c r="U86" s="5" t="s">
        <v>7</v>
      </c>
      <c r="V86" s="4">
        <v>46137</v>
      </c>
      <c r="W86" s="3" t="s">
        <v>6</v>
      </c>
      <c r="X86" s="3"/>
      <c r="Y86" s="11"/>
      <c r="Z86" s="3"/>
      <c r="AA86" s="3"/>
      <c r="AB86" s="3" t="str">
        <f t="shared" si="5"/>
        <v>Paid</v>
      </c>
      <c r="AC86" s="3"/>
    </row>
    <row r="87" spans="1:30" x14ac:dyDescent="0.25">
      <c r="A87" s="10" t="s">
        <v>5</v>
      </c>
      <c r="B87" s="10" t="s">
        <v>1021</v>
      </c>
      <c r="C87" s="10" t="e">
        <f>VLOOKUP(B87,'[1]MAY MONTH'!$B:$C,2,0)</f>
        <v>#N/A</v>
      </c>
      <c r="D87" s="10" t="s">
        <v>1020</v>
      </c>
      <c r="E87" s="10" t="s">
        <v>1019</v>
      </c>
      <c r="F87" s="10" t="s">
        <v>82</v>
      </c>
      <c r="G87" s="10" t="s">
        <v>1018</v>
      </c>
      <c r="H87" s="10" t="s">
        <v>1017</v>
      </c>
      <c r="I87" s="3" t="s">
        <v>36</v>
      </c>
      <c r="J87" s="22">
        <v>46138</v>
      </c>
      <c r="K87" s="28" t="s">
        <v>82</v>
      </c>
      <c r="L87" s="3" t="s">
        <v>8</v>
      </c>
      <c r="M87" s="11" t="s">
        <v>963</v>
      </c>
      <c r="N87" s="5">
        <v>0</v>
      </c>
      <c r="O87" s="11">
        <v>10000</v>
      </c>
      <c r="P87" s="11">
        <f>O87</f>
        <v>10000</v>
      </c>
      <c r="Q87" s="11">
        <f t="shared" si="3"/>
        <v>0</v>
      </c>
      <c r="R87" s="11">
        <v>10000</v>
      </c>
      <c r="S87" s="11">
        <f t="shared" si="4"/>
        <v>0</v>
      </c>
      <c r="T87" s="11">
        <v>0</v>
      </c>
      <c r="U87" s="11" t="s">
        <v>7</v>
      </c>
      <c r="V87" s="31">
        <v>46138</v>
      </c>
      <c r="W87" s="3" t="s">
        <v>6</v>
      </c>
      <c r="X87" s="3"/>
      <c r="Y87" s="11"/>
      <c r="Z87" s="3"/>
      <c r="AA87" s="3"/>
      <c r="AB87" s="3" t="str">
        <f t="shared" si="5"/>
        <v>Paid</v>
      </c>
      <c r="AC87" s="3"/>
    </row>
    <row r="88" spans="1:30" x14ac:dyDescent="0.25">
      <c r="A88" s="10" t="s">
        <v>5</v>
      </c>
      <c r="B88" s="10" t="s">
        <v>1016</v>
      </c>
      <c r="C88" s="10" t="e">
        <f>VLOOKUP(B88,'[1]MAY MONTH'!$B:$C,2,0)</f>
        <v>#N/A</v>
      </c>
      <c r="D88" s="10" t="s">
        <v>1015</v>
      </c>
      <c r="E88" s="10" t="s">
        <v>1014</v>
      </c>
      <c r="F88" s="10" t="s">
        <v>4</v>
      </c>
      <c r="G88" s="10" t="s">
        <v>523</v>
      </c>
      <c r="H88" s="10" t="s">
        <v>1013</v>
      </c>
      <c r="I88" s="3" t="s">
        <v>489</v>
      </c>
      <c r="J88" s="22">
        <v>46138</v>
      </c>
      <c r="K88" s="26" t="s">
        <v>9</v>
      </c>
      <c r="L88" s="3" t="s">
        <v>8</v>
      </c>
      <c r="M88" s="11" t="s">
        <v>963</v>
      </c>
      <c r="N88" s="5">
        <v>0</v>
      </c>
      <c r="O88" s="11">
        <v>8437</v>
      </c>
      <c r="P88" s="11">
        <v>8437</v>
      </c>
      <c r="Q88" s="11">
        <f t="shared" si="3"/>
        <v>0</v>
      </c>
      <c r="R88" s="11">
        <v>10000</v>
      </c>
      <c r="S88" s="11">
        <f t="shared" si="4"/>
        <v>1563</v>
      </c>
      <c r="T88" s="11">
        <v>0</v>
      </c>
      <c r="U88" s="11" t="s">
        <v>7</v>
      </c>
      <c r="V88" s="31">
        <v>46138</v>
      </c>
      <c r="W88" s="3" t="s">
        <v>6</v>
      </c>
      <c r="X88" s="3"/>
      <c r="Y88" s="11"/>
      <c r="Z88" s="3"/>
      <c r="AA88" s="3"/>
      <c r="AB88" s="3" t="str">
        <f t="shared" si="5"/>
        <v>Paid</v>
      </c>
      <c r="AC88" s="3"/>
    </row>
    <row r="89" spans="1:30" x14ac:dyDescent="0.25">
      <c r="A89" s="7" t="s">
        <v>5</v>
      </c>
      <c r="B89" s="8" t="s">
        <v>1012</v>
      </c>
      <c r="C89" s="10" t="e">
        <f>VLOOKUP(B89,'[1]MAY MONTH'!$B:$C,2,0)</f>
        <v>#N/A</v>
      </c>
      <c r="D89" s="8" t="s">
        <v>1011</v>
      </c>
      <c r="E89" s="8" t="s">
        <v>1010</v>
      </c>
      <c r="F89" s="10" t="s">
        <v>4</v>
      </c>
      <c r="G89" s="8" t="s">
        <v>816</v>
      </c>
      <c r="H89" s="7" t="s">
        <v>797</v>
      </c>
      <c r="I89" s="8" t="s">
        <v>36</v>
      </c>
      <c r="J89" s="30">
        <v>46138</v>
      </c>
      <c r="K89" s="26" t="s">
        <v>9</v>
      </c>
      <c r="L89" s="8" t="s">
        <v>1</v>
      </c>
      <c r="M89" s="11" t="s">
        <v>0</v>
      </c>
      <c r="N89" s="5">
        <v>0</v>
      </c>
      <c r="O89" s="11">
        <v>6723.64</v>
      </c>
      <c r="P89" s="11">
        <v>7823</v>
      </c>
      <c r="Q89" s="11">
        <f t="shared" si="3"/>
        <v>1099.3599999999997</v>
      </c>
      <c r="R89" s="11">
        <v>10000</v>
      </c>
      <c r="S89" s="11">
        <f t="shared" si="4"/>
        <v>3276.3599999999997</v>
      </c>
      <c r="T89" s="11">
        <v>0</v>
      </c>
      <c r="U89" s="11" t="s">
        <v>7</v>
      </c>
      <c r="V89" s="31">
        <v>46138</v>
      </c>
      <c r="W89" s="3" t="s">
        <v>6</v>
      </c>
      <c r="X89" s="3"/>
      <c r="Y89" s="11"/>
      <c r="Z89" s="3"/>
      <c r="AA89" s="3"/>
      <c r="AB89" s="3" t="str">
        <f t="shared" si="5"/>
        <v>Paid</v>
      </c>
      <c r="AC89" s="3"/>
    </row>
    <row r="90" spans="1:30" x14ac:dyDescent="0.25">
      <c r="A90" s="7" t="s">
        <v>5</v>
      </c>
      <c r="B90" s="8" t="s">
        <v>1009</v>
      </c>
      <c r="C90" s="10" t="e">
        <f>VLOOKUP(B90,'[1]MAY MONTH'!$B:$C,2,0)</f>
        <v>#N/A</v>
      </c>
      <c r="D90" s="8" t="s">
        <v>1008</v>
      </c>
      <c r="E90" s="8" t="s">
        <v>1007</v>
      </c>
      <c r="F90" s="10" t="s">
        <v>82</v>
      </c>
      <c r="G90" s="8" t="s">
        <v>38</v>
      </c>
      <c r="H90" s="8" t="s">
        <v>1006</v>
      </c>
      <c r="I90" s="8" t="s">
        <v>1005</v>
      </c>
      <c r="J90" s="30">
        <v>46137</v>
      </c>
      <c r="K90" s="10" t="s">
        <v>9</v>
      </c>
      <c r="L90" s="8" t="s">
        <v>35</v>
      </c>
      <c r="M90" s="11" t="s">
        <v>0</v>
      </c>
      <c r="N90" s="5">
        <v>0</v>
      </c>
      <c r="O90" s="11">
        <v>7549.64</v>
      </c>
      <c r="P90" s="11">
        <v>8550</v>
      </c>
      <c r="Q90" s="11">
        <f t="shared" si="3"/>
        <v>1000.3599999999997</v>
      </c>
      <c r="R90" s="11">
        <v>10000</v>
      </c>
      <c r="S90" s="11">
        <f t="shared" si="4"/>
        <v>2450.3599999999997</v>
      </c>
      <c r="T90" s="11">
        <v>0</v>
      </c>
      <c r="U90" s="5" t="s">
        <v>7</v>
      </c>
      <c r="V90" s="4">
        <v>46137</v>
      </c>
      <c r="W90" s="3" t="s">
        <v>6</v>
      </c>
      <c r="X90" s="3"/>
      <c r="Y90" s="11"/>
      <c r="Z90" s="3"/>
      <c r="AA90" s="3"/>
      <c r="AB90" s="3" t="str">
        <f t="shared" si="5"/>
        <v>Paid</v>
      </c>
      <c r="AC90" s="3"/>
    </row>
    <row r="91" spans="1:30" x14ac:dyDescent="0.25">
      <c r="A91" s="7" t="s">
        <v>5</v>
      </c>
      <c r="B91" s="8" t="s">
        <v>1004</v>
      </c>
      <c r="C91" s="10" t="e">
        <f>VLOOKUP(B91,'[1]MAY MONTH'!$B:$C,2,0)</f>
        <v>#N/A</v>
      </c>
      <c r="D91" s="8" t="s">
        <v>1003</v>
      </c>
      <c r="E91" s="8" t="s">
        <v>1002</v>
      </c>
      <c r="F91" s="10" t="s">
        <v>4</v>
      </c>
      <c r="G91" s="8" t="s">
        <v>12</v>
      </c>
      <c r="H91" s="8" t="s">
        <v>1468</v>
      </c>
      <c r="I91" s="8" t="s">
        <v>1001</v>
      </c>
      <c r="J91" s="30">
        <v>46138</v>
      </c>
      <c r="K91" s="22" t="s">
        <v>215</v>
      </c>
      <c r="L91" s="8" t="s">
        <v>8</v>
      </c>
      <c r="M91" s="11" t="s">
        <v>0</v>
      </c>
      <c r="N91" s="5">
        <v>0</v>
      </c>
      <c r="O91" s="11">
        <v>18231</v>
      </c>
      <c r="P91" s="11">
        <f>O91</f>
        <v>18231</v>
      </c>
      <c r="Q91" s="11">
        <f t="shared" si="3"/>
        <v>0</v>
      </c>
      <c r="R91" s="11">
        <v>10000</v>
      </c>
      <c r="S91" s="11">
        <f t="shared" si="4"/>
        <v>-8231</v>
      </c>
      <c r="T91" s="11">
        <f>VLOOKUP(B91,[2]Sheet1!$B:$J,9,0)</f>
        <v>8231</v>
      </c>
      <c r="U91" s="5" t="s">
        <v>7</v>
      </c>
      <c r="V91" s="4">
        <v>46138</v>
      </c>
      <c r="W91" s="3" t="s">
        <v>6</v>
      </c>
      <c r="X91" s="3"/>
      <c r="Y91" s="11"/>
      <c r="Z91" s="3"/>
      <c r="AA91" s="3"/>
      <c r="AB91" s="3" t="str">
        <f t="shared" si="5"/>
        <v>Paid</v>
      </c>
      <c r="AC91" s="3"/>
    </row>
    <row r="92" spans="1:30" s="16" customFormat="1" x14ac:dyDescent="0.25">
      <c r="A92" s="7" t="s">
        <v>5</v>
      </c>
      <c r="B92" s="8" t="s">
        <v>1000</v>
      </c>
      <c r="C92" s="10" t="e">
        <f>VLOOKUP(B92,'[1]MAY MONTH'!$B:$C,2,0)</f>
        <v>#N/A</v>
      </c>
      <c r="D92" s="8" t="s">
        <v>999</v>
      </c>
      <c r="E92" s="8" t="s">
        <v>998</v>
      </c>
      <c r="F92" s="10" t="s">
        <v>82</v>
      </c>
      <c r="G92" s="8" t="s">
        <v>997</v>
      </c>
      <c r="H92" s="8" t="s">
        <v>996</v>
      </c>
      <c r="I92" s="8" t="s">
        <v>2</v>
      </c>
      <c r="J92" s="30">
        <v>46136</v>
      </c>
      <c r="K92" s="28" t="s">
        <v>82</v>
      </c>
      <c r="L92" s="17" t="s">
        <v>28</v>
      </c>
      <c r="M92" s="11" t="s">
        <v>0</v>
      </c>
      <c r="N92" s="6">
        <v>0</v>
      </c>
      <c r="O92" s="6">
        <v>8505</v>
      </c>
      <c r="P92" s="6">
        <v>8955</v>
      </c>
      <c r="Q92" s="11">
        <f t="shared" si="3"/>
        <v>450</v>
      </c>
      <c r="R92" s="11">
        <v>10000</v>
      </c>
      <c r="S92" s="11">
        <f t="shared" si="4"/>
        <v>1495</v>
      </c>
      <c r="T92" s="11">
        <v>0</v>
      </c>
      <c r="U92" s="5" t="s">
        <v>7</v>
      </c>
      <c r="V92" s="4">
        <v>46136</v>
      </c>
      <c r="W92" s="3" t="s">
        <v>6</v>
      </c>
      <c r="X92" s="17"/>
      <c r="Y92" s="6"/>
      <c r="Z92" s="17"/>
      <c r="AA92" s="17"/>
      <c r="AB92" s="3" t="str">
        <f t="shared" si="5"/>
        <v>Paid</v>
      </c>
      <c r="AC92" s="17"/>
      <c r="AD92" s="1"/>
    </row>
    <row r="93" spans="1:30" x14ac:dyDescent="0.25">
      <c r="A93" s="7" t="s">
        <v>5</v>
      </c>
      <c r="B93" s="10" t="s">
        <v>995</v>
      </c>
      <c r="C93" s="10" t="e">
        <f>VLOOKUP(B93,'[1]MAY MONTH'!$B:$C,2,0)</f>
        <v>#N/A</v>
      </c>
      <c r="D93" s="10" t="s">
        <v>994</v>
      </c>
      <c r="E93" s="10" t="s">
        <v>993</v>
      </c>
      <c r="F93" s="10" t="s">
        <v>4</v>
      </c>
      <c r="G93" s="10" t="s">
        <v>992</v>
      </c>
      <c r="H93" s="10" t="s">
        <v>991</v>
      </c>
      <c r="I93" s="12" t="s">
        <v>489</v>
      </c>
      <c r="J93" s="22">
        <v>46138</v>
      </c>
      <c r="K93" s="22" t="s">
        <v>215</v>
      </c>
      <c r="L93" s="3" t="s">
        <v>35</v>
      </c>
      <c r="M93" s="11" t="s">
        <v>35</v>
      </c>
      <c r="N93" s="5">
        <v>0</v>
      </c>
      <c r="O93" s="11">
        <v>3176</v>
      </c>
      <c r="P93" s="11">
        <v>4676</v>
      </c>
      <c r="Q93" s="11">
        <f t="shared" si="3"/>
        <v>1500</v>
      </c>
      <c r="R93" s="11">
        <v>10000</v>
      </c>
      <c r="S93" s="11">
        <f t="shared" si="4"/>
        <v>6824</v>
      </c>
      <c r="T93" s="11">
        <v>0</v>
      </c>
      <c r="U93" s="5" t="s">
        <v>7</v>
      </c>
      <c r="V93" s="4">
        <v>46138</v>
      </c>
      <c r="W93" s="3" t="s">
        <v>6</v>
      </c>
      <c r="X93" s="3"/>
      <c r="Y93" s="11"/>
      <c r="Z93" s="3"/>
      <c r="AA93" s="3"/>
      <c r="AB93" s="3" t="str">
        <f t="shared" si="5"/>
        <v>Paid</v>
      </c>
      <c r="AC93" s="3"/>
    </row>
    <row r="94" spans="1:30" x14ac:dyDescent="0.25">
      <c r="A94" s="7" t="s">
        <v>5</v>
      </c>
      <c r="B94" s="10" t="s">
        <v>990</v>
      </c>
      <c r="C94" s="10" t="e">
        <f>VLOOKUP(B94,'[1]MAY MONTH'!$B:$C,2,0)</f>
        <v>#N/A</v>
      </c>
      <c r="D94" s="10" t="s">
        <v>989</v>
      </c>
      <c r="E94" s="10" t="s">
        <v>492</v>
      </c>
      <c r="F94" s="10" t="s">
        <v>4</v>
      </c>
      <c r="G94" s="10" t="s">
        <v>988</v>
      </c>
      <c r="H94" s="10" t="s">
        <v>987</v>
      </c>
      <c r="I94" s="12" t="s">
        <v>778</v>
      </c>
      <c r="J94" s="22">
        <v>46138</v>
      </c>
      <c r="K94" s="22" t="s">
        <v>215</v>
      </c>
      <c r="L94" s="3" t="s">
        <v>35</v>
      </c>
      <c r="M94" s="11" t="s">
        <v>35</v>
      </c>
      <c r="N94" s="5">
        <v>0</v>
      </c>
      <c r="O94" s="11">
        <v>4292</v>
      </c>
      <c r="P94" s="11">
        <v>6292</v>
      </c>
      <c r="Q94" s="11">
        <f t="shared" si="3"/>
        <v>2000</v>
      </c>
      <c r="R94" s="11">
        <v>10000</v>
      </c>
      <c r="S94" s="11">
        <f t="shared" si="4"/>
        <v>5708</v>
      </c>
      <c r="T94" s="11">
        <v>0</v>
      </c>
      <c r="U94" s="5" t="s">
        <v>7</v>
      </c>
      <c r="V94" s="4">
        <v>46138</v>
      </c>
      <c r="W94" s="3" t="s">
        <v>6</v>
      </c>
      <c r="X94" s="3"/>
      <c r="Y94" s="11"/>
      <c r="Z94" s="3"/>
      <c r="AA94" s="3"/>
      <c r="AB94" s="3" t="str">
        <f t="shared" si="5"/>
        <v>Paid</v>
      </c>
      <c r="AC94" s="3"/>
    </row>
    <row r="95" spans="1:30" x14ac:dyDescent="0.25">
      <c r="A95" s="7" t="s">
        <v>5</v>
      </c>
      <c r="B95" s="12" t="s">
        <v>986</v>
      </c>
      <c r="C95" s="10" t="e">
        <f>VLOOKUP(B95,'[1]MAY MONTH'!$B:$C,2,0)</f>
        <v>#N/A</v>
      </c>
      <c r="D95" s="12" t="s">
        <v>985</v>
      </c>
      <c r="E95" s="12" t="s">
        <v>984</v>
      </c>
      <c r="F95" s="10" t="s">
        <v>4</v>
      </c>
      <c r="G95" s="12" t="s">
        <v>281</v>
      </c>
      <c r="H95" s="12" t="s">
        <v>983</v>
      </c>
      <c r="I95" s="12" t="s">
        <v>982</v>
      </c>
      <c r="J95" s="23">
        <v>46137</v>
      </c>
      <c r="K95" s="12" t="s">
        <v>9</v>
      </c>
      <c r="L95" s="10" t="s">
        <v>28</v>
      </c>
      <c r="M95" s="10" t="s">
        <v>20</v>
      </c>
      <c r="N95" s="5">
        <v>0</v>
      </c>
      <c r="O95" s="11">
        <v>5898</v>
      </c>
      <c r="P95" s="11">
        <v>6498</v>
      </c>
      <c r="Q95" s="11">
        <f t="shared" si="3"/>
        <v>600</v>
      </c>
      <c r="R95" s="11">
        <v>10000</v>
      </c>
      <c r="S95" s="11">
        <f t="shared" si="4"/>
        <v>4102</v>
      </c>
      <c r="T95" s="11">
        <v>0</v>
      </c>
      <c r="U95" s="5" t="s">
        <v>7</v>
      </c>
      <c r="V95" s="4">
        <v>46136</v>
      </c>
      <c r="W95" s="3" t="s">
        <v>6</v>
      </c>
      <c r="X95" s="3"/>
      <c r="Y95" s="11"/>
      <c r="Z95" s="3"/>
      <c r="AA95" s="3"/>
      <c r="AB95" s="3" t="str">
        <f t="shared" si="5"/>
        <v>Paid</v>
      </c>
      <c r="AC95" s="3"/>
    </row>
    <row r="96" spans="1:30" x14ac:dyDescent="0.25">
      <c r="A96" s="7" t="s">
        <v>5</v>
      </c>
      <c r="B96" s="10" t="s">
        <v>981</v>
      </c>
      <c r="C96" s="10" t="e">
        <f>VLOOKUP(B96,'[1]MAY MONTH'!$B:$C,2,0)</f>
        <v>#N/A</v>
      </c>
      <c r="D96" s="10" t="s">
        <v>980</v>
      </c>
      <c r="E96" s="10" t="s">
        <v>979</v>
      </c>
      <c r="F96" s="10" t="s">
        <v>4</v>
      </c>
      <c r="G96" s="10" t="s">
        <v>978</v>
      </c>
      <c r="H96" s="10" t="s">
        <v>977</v>
      </c>
      <c r="I96" s="10" t="s">
        <v>303</v>
      </c>
      <c r="J96" s="22">
        <v>46133</v>
      </c>
      <c r="K96" s="22" t="s">
        <v>215</v>
      </c>
      <c r="L96" s="10" t="s">
        <v>1</v>
      </c>
      <c r="M96" s="10" t="s">
        <v>20</v>
      </c>
      <c r="N96" s="5">
        <v>0</v>
      </c>
      <c r="O96" s="11">
        <v>3163</v>
      </c>
      <c r="P96" s="11">
        <v>4663</v>
      </c>
      <c r="Q96" s="11">
        <f t="shared" si="3"/>
        <v>1500</v>
      </c>
      <c r="R96" s="11">
        <v>10000</v>
      </c>
      <c r="S96" s="11">
        <f t="shared" si="4"/>
        <v>6837</v>
      </c>
      <c r="T96" s="11">
        <v>0</v>
      </c>
      <c r="U96" s="5" t="s">
        <v>7</v>
      </c>
      <c r="V96" s="4">
        <v>46136</v>
      </c>
      <c r="W96" s="3" t="s">
        <v>6</v>
      </c>
      <c r="X96" s="3"/>
      <c r="Y96" s="11"/>
      <c r="Z96" s="3"/>
      <c r="AA96" s="3"/>
      <c r="AB96" s="3" t="str">
        <f t="shared" si="5"/>
        <v>Paid</v>
      </c>
      <c r="AC96" s="3"/>
    </row>
    <row r="97" spans="1:30" x14ac:dyDescent="0.25">
      <c r="A97" s="7" t="s">
        <v>5</v>
      </c>
      <c r="B97" s="12" t="s">
        <v>976</v>
      </c>
      <c r="C97" s="10" t="e">
        <f>VLOOKUP(B97,'[1]MAY MONTH'!$B:$C,2,0)</f>
        <v>#N/A</v>
      </c>
      <c r="D97" s="12" t="s">
        <v>975</v>
      </c>
      <c r="E97" s="12" t="s">
        <v>974</v>
      </c>
      <c r="F97" s="10" t="s">
        <v>4</v>
      </c>
      <c r="G97" s="10" t="s">
        <v>593</v>
      </c>
      <c r="H97" s="10" t="s">
        <v>973</v>
      </c>
      <c r="I97" s="10" t="s">
        <v>29</v>
      </c>
      <c r="J97" s="22">
        <v>46133</v>
      </c>
      <c r="K97" s="22" t="s">
        <v>215</v>
      </c>
      <c r="L97" s="10" t="s">
        <v>28</v>
      </c>
      <c r="M97" s="10" t="s">
        <v>20</v>
      </c>
      <c r="N97" s="5">
        <v>0</v>
      </c>
      <c r="O97" s="11">
        <v>2136</v>
      </c>
      <c r="P97" s="11">
        <v>3120</v>
      </c>
      <c r="Q97" s="11">
        <f t="shared" si="3"/>
        <v>984</v>
      </c>
      <c r="R97" s="11">
        <v>10000</v>
      </c>
      <c r="S97" s="11">
        <f t="shared" si="4"/>
        <v>7864</v>
      </c>
      <c r="T97" s="11">
        <v>0</v>
      </c>
      <c r="U97" s="5" t="s">
        <v>7</v>
      </c>
      <c r="V97" s="4">
        <v>46136</v>
      </c>
      <c r="W97" s="3" t="s">
        <v>6</v>
      </c>
      <c r="X97" s="3"/>
      <c r="Y97" s="11"/>
      <c r="Z97" s="3"/>
      <c r="AA97" s="3"/>
      <c r="AB97" s="3" t="str">
        <f t="shared" si="5"/>
        <v>Paid</v>
      </c>
      <c r="AC97" s="3"/>
    </row>
    <row r="98" spans="1:30" x14ac:dyDescent="0.25">
      <c r="A98" s="7" t="s">
        <v>5</v>
      </c>
      <c r="B98" s="10" t="s">
        <v>972</v>
      </c>
      <c r="C98" s="10" t="e">
        <f>VLOOKUP(B98,'[1]MAY MONTH'!$B:$C,2,0)</f>
        <v>#N/A</v>
      </c>
      <c r="D98" s="10" t="s">
        <v>971</v>
      </c>
      <c r="E98" s="10" t="s">
        <v>970</v>
      </c>
      <c r="F98" s="10" t="s">
        <v>4</v>
      </c>
      <c r="G98" s="10" t="s">
        <v>691</v>
      </c>
      <c r="H98" s="10" t="s">
        <v>969</v>
      </c>
      <c r="I98" s="12" t="s">
        <v>169</v>
      </c>
      <c r="J98" s="22">
        <v>46138</v>
      </c>
      <c r="K98" s="22" t="s">
        <v>215</v>
      </c>
      <c r="L98" s="3" t="s">
        <v>8</v>
      </c>
      <c r="M98" s="11" t="s">
        <v>963</v>
      </c>
      <c r="N98" s="5">
        <v>0</v>
      </c>
      <c r="O98" s="11">
        <v>5524</v>
      </c>
      <c r="P98" s="11">
        <v>6524</v>
      </c>
      <c r="Q98" s="11">
        <f t="shared" si="3"/>
        <v>1000</v>
      </c>
      <c r="R98" s="11">
        <v>10000</v>
      </c>
      <c r="S98" s="11">
        <f t="shared" si="4"/>
        <v>4476</v>
      </c>
      <c r="T98" s="11">
        <v>0</v>
      </c>
      <c r="U98" s="5" t="s">
        <v>7</v>
      </c>
      <c r="V98" s="4">
        <v>46138</v>
      </c>
      <c r="W98" s="3" t="s">
        <v>6</v>
      </c>
      <c r="X98" s="3"/>
      <c r="Y98" s="11"/>
      <c r="Z98" s="3"/>
      <c r="AA98" s="3"/>
      <c r="AB98" s="3" t="str">
        <f t="shared" si="5"/>
        <v>Paid</v>
      </c>
      <c r="AC98" s="3"/>
    </row>
    <row r="99" spans="1:30" x14ac:dyDescent="0.25">
      <c r="A99" s="7" t="s">
        <v>5</v>
      </c>
      <c r="B99" s="10" t="s">
        <v>968</v>
      </c>
      <c r="C99" s="10" t="e">
        <f>VLOOKUP(B99,'[1]MAY MONTH'!$B:$C,2,0)</f>
        <v>#N/A</v>
      </c>
      <c r="D99" s="10" t="s">
        <v>967</v>
      </c>
      <c r="E99" s="10" t="s">
        <v>966</v>
      </c>
      <c r="F99" s="10" t="s">
        <v>4</v>
      </c>
      <c r="G99" s="10" t="s">
        <v>965</v>
      </c>
      <c r="H99" s="10" t="s">
        <v>964</v>
      </c>
      <c r="I99" s="3" t="s">
        <v>204</v>
      </c>
      <c r="J99" s="22">
        <v>46138</v>
      </c>
      <c r="K99" s="22" t="s">
        <v>215</v>
      </c>
      <c r="L99" s="3" t="s">
        <v>8</v>
      </c>
      <c r="M99" s="11" t="s">
        <v>963</v>
      </c>
      <c r="N99" s="5">
        <v>0</v>
      </c>
      <c r="O99" s="11">
        <v>8042</v>
      </c>
      <c r="P99" s="11">
        <v>8941</v>
      </c>
      <c r="Q99" s="11">
        <f t="shared" si="3"/>
        <v>899</v>
      </c>
      <c r="R99" s="11">
        <v>10000</v>
      </c>
      <c r="S99" s="11">
        <f t="shared" si="4"/>
        <v>1958</v>
      </c>
      <c r="T99" s="11">
        <v>0</v>
      </c>
      <c r="U99" s="5" t="s">
        <v>7</v>
      </c>
      <c r="V99" s="4">
        <v>46138</v>
      </c>
      <c r="W99" s="3" t="s">
        <v>6</v>
      </c>
      <c r="X99" s="3"/>
      <c r="Y99" s="11"/>
      <c r="Z99" s="3"/>
      <c r="AA99" s="3"/>
      <c r="AB99" s="3" t="str">
        <f t="shared" si="5"/>
        <v>Paid</v>
      </c>
      <c r="AC99" s="3"/>
    </row>
    <row r="100" spans="1:30" x14ac:dyDescent="0.25">
      <c r="A100" s="7" t="s">
        <v>5</v>
      </c>
      <c r="B100" s="10" t="s">
        <v>962</v>
      </c>
      <c r="C100" s="10" t="e">
        <f>VLOOKUP(B100,'[1]MAY MONTH'!$B:$C,2,0)</f>
        <v>#N/A</v>
      </c>
      <c r="D100" s="10" t="s">
        <v>961</v>
      </c>
      <c r="E100" s="10" t="s">
        <v>960</v>
      </c>
      <c r="F100" s="10" t="s">
        <v>4</v>
      </c>
      <c r="G100" s="10" t="s">
        <v>959</v>
      </c>
      <c r="H100" s="10" t="s">
        <v>958</v>
      </c>
      <c r="I100" s="3" t="s">
        <v>36</v>
      </c>
      <c r="J100" s="22">
        <v>46138</v>
      </c>
      <c r="K100" s="22" t="s">
        <v>215</v>
      </c>
      <c r="L100" s="3" t="s">
        <v>35</v>
      </c>
      <c r="M100" s="11" t="s">
        <v>35</v>
      </c>
      <c r="N100" s="5">
        <v>0</v>
      </c>
      <c r="O100" s="11">
        <v>2149</v>
      </c>
      <c r="P100" s="11">
        <v>3249</v>
      </c>
      <c r="Q100" s="11">
        <f t="shared" si="3"/>
        <v>1100</v>
      </c>
      <c r="R100" s="11">
        <v>10000</v>
      </c>
      <c r="S100" s="11">
        <f t="shared" si="4"/>
        <v>7851</v>
      </c>
      <c r="T100" s="11">
        <v>0</v>
      </c>
      <c r="U100" s="5" t="s">
        <v>7</v>
      </c>
      <c r="V100" s="4">
        <v>46138</v>
      </c>
      <c r="W100" s="3" t="s">
        <v>6</v>
      </c>
      <c r="X100" s="3"/>
      <c r="Y100" s="11"/>
      <c r="Z100" s="3"/>
      <c r="AA100" s="3"/>
      <c r="AB100" s="3" t="str">
        <f t="shared" si="5"/>
        <v>Paid</v>
      </c>
      <c r="AC100" s="3"/>
    </row>
    <row r="101" spans="1:30" x14ac:dyDescent="0.25">
      <c r="A101" s="7" t="s">
        <v>5</v>
      </c>
      <c r="B101" s="10" t="s">
        <v>957</v>
      </c>
      <c r="C101" s="10" t="e">
        <f>VLOOKUP(B101,'[1]MAY MONTH'!$B:$C,2,0)</f>
        <v>#N/A</v>
      </c>
      <c r="D101" s="10" t="s">
        <v>956</v>
      </c>
      <c r="E101" s="10" t="s">
        <v>955</v>
      </c>
      <c r="F101" s="10" t="s">
        <v>4</v>
      </c>
      <c r="G101" s="10" t="s">
        <v>954</v>
      </c>
      <c r="H101" s="10" t="s">
        <v>953</v>
      </c>
      <c r="I101" s="10" t="s">
        <v>952</v>
      </c>
      <c r="J101" s="22">
        <v>46136</v>
      </c>
      <c r="K101" s="18" t="s">
        <v>9</v>
      </c>
      <c r="L101" s="10" t="s">
        <v>8</v>
      </c>
      <c r="M101" s="10" t="s">
        <v>11</v>
      </c>
      <c r="N101" s="5">
        <v>0</v>
      </c>
      <c r="O101" s="11">
        <v>10217</v>
      </c>
      <c r="P101" s="11">
        <f>O101</f>
        <v>10217</v>
      </c>
      <c r="Q101" s="11">
        <f t="shared" si="3"/>
        <v>0</v>
      </c>
      <c r="R101" s="11">
        <v>10000</v>
      </c>
      <c r="S101" s="11">
        <f t="shared" si="4"/>
        <v>-217</v>
      </c>
      <c r="T101" s="11">
        <f>VLOOKUP(B101,[2]Sheet1!$B:$J,9,0)</f>
        <v>217</v>
      </c>
      <c r="U101" s="5" t="s">
        <v>7</v>
      </c>
      <c r="V101" s="4">
        <v>46136</v>
      </c>
      <c r="W101" s="3" t="s">
        <v>6</v>
      </c>
      <c r="X101" s="3"/>
      <c r="Y101" s="11"/>
      <c r="Z101" s="3"/>
      <c r="AA101" s="3"/>
      <c r="AB101" s="3" t="str">
        <f t="shared" si="5"/>
        <v>Paid</v>
      </c>
      <c r="AC101" s="3"/>
    </row>
    <row r="102" spans="1:30" x14ac:dyDescent="0.25">
      <c r="A102" s="7" t="s">
        <v>5</v>
      </c>
      <c r="B102" s="10" t="s">
        <v>951</v>
      </c>
      <c r="C102" s="10" t="e">
        <f>VLOOKUP(B102,'[1]MAY MONTH'!$B:$C,2,0)</f>
        <v>#N/A</v>
      </c>
      <c r="D102" s="10" t="s">
        <v>950</v>
      </c>
      <c r="E102" s="10" t="s">
        <v>949</v>
      </c>
      <c r="F102" s="10" t="s">
        <v>4</v>
      </c>
      <c r="G102" s="10" t="s">
        <v>713</v>
      </c>
      <c r="H102" s="10" t="s">
        <v>948</v>
      </c>
      <c r="I102" s="10" t="s">
        <v>947</v>
      </c>
      <c r="J102" s="22">
        <v>46136</v>
      </c>
      <c r="K102" s="22" t="s">
        <v>215</v>
      </c>
      <c r="L102" s="10" t="s">
        <v>35</v>
      </c>
      <c r="M102" s="10" t="s">
        <v>11</v>
      </c>
      <c r="N102" s="5">
        <v>0</v>
      </c>
      <c r="O102" s="11">
        <v>6998</v>
      </c>
      <c r="P102" s="11">
        <v>7458</v>
      </c>
      <c r="Q102" s="11">
        <f t="shared" si="3"/>
        <v>460</v>
      </c>
      <c r="R102" s="11">
        <v>10000</v>
      </c>
      <c r="S102" s="11">
        <f t="shared" si="4"/>
        <v>3002</v>
      </c>
      <c r="T102" s="11">
        <v>0</v>
      </c>
      <c r="U102" s="5" t="s">
        <v>7</v>
      </c>
      <c r="V102" s="4">
        <v>46137</v>
      </c>
      <c r="W102" s="3" t="s">
        <v>6</v>
      </c>
      <c r="X102" s="3"/>
      <c r="Y102" s="11"/>
      <c r="Z102" s="3"/>
      <c r="AA102" s="3"/>
      <c r="AB102" s="3" t="str">
        <f t="shared" si="5"/>
        <v>Paid</v>
      </c>
      <c r="AC102" s="3"/>
    </row>
    <row r="103" spans="1:30" x14ac:dyDescent="0.25">
      <c r="A103" s="7" t="s">
        <v>5</v>
      </c>
      <c r="B103" s="10" t="s">
        <v>946</v>
      </c>
      <c r="C103" s="10" t="e">
        <f>VLOOKUP(B103,'[1]MAY MONTH'!$B:$C,2,0)</f>
        <v>#N/A</v>
      </c>
      <c r="D103" s="10" t="s">
        <v>945</v>
      </c>
      <c r="E103" s="10" t="s">
        <v>944</v>
      </c>
      <c r="F103" s="10" t="s">
        <v>4</v>
      </c>
      <c r="G103" s="10" t="s">
        <v>49</v>
      </c>
      <c r="H103" s="10" t="s">
        <v>943</v>
      </c>
      <c r="I103" s="10" t="s">
        <v>847</v>
      </c>
      <c r="J103" s="22">
        <v>46136</v>
      </c>
      <c r="K103" s="18" t="s">
        <v>9</v>
      </c>
      <c r="L103" s="10" t="s">
        <v>35</v>
      </c>
      <c r="M103" s="10" t="s">
        <v>11</v>
      </c>
      <c r="N103" s="5">
        <v>0</v>
      </c>
      <c r="O103" s="11">
        <v>7316</v>
      </c>
      <c r="P103" s="11">
        <v>7816</v>
      </c>
      <c r="Q103" s="11">
        <f t="shared" si="3"/>
        <v>500</v>
      </c>
      <c r="R103" s="11">
        <v>10000</v>
      </c>
      <c r="S103" s="11">
        <f t="shared" si="4"/>
        <v>2684</v>
      </c>
      <c r="T103" s="11">
        <v>0</v>
      </c>
      <c r="U103" s="5" t="s">
        <v>7</v>
      </c>
      <c r="V103" s="4">
        <v>46136</v>
      </c>
      <c r="W103" s="3" t="s">
        <v>6</v>
      </c>
      <c r="X103" s="3"/>
      <c r="Y103" s="11"/>
      <c r="Z103" s="3"/>
      <c r="AA103" s="3"/>
      <c r="AB103" s="3" t="str">
        <f t="shared" si="5"/>
        <v>Paid</v>
      </c>
      <c r="AC103" s="3"/>
    </row>
    <row r="104" spans="1:30" x14ac:dyDescent="0.25">
      <c r="A104" s="7" t="s">
        <v>5</v>
      </c>
      <c r="B104" s="12" t="s">
        <v>942</v>
      </c>
      <c r="C104" s="10" t="e">
        <f>VLOOKUP(B104,'[1]MAY MONTH'!$B:$C,2,0)</f>
        <v>#N/A</v>
      </c>
      <c r="D104" s="12" t="s">
        <v>941</v>
      </c>
      <c r="E104" s="12" t="s">
        <v>940</v>
      </c>
      <c r="F104" s="10" t="s">
        <v>21</v>
      </c>
      <c r="G104" s="3" t="s">
        <v>470</v>
      </c>
      <c r="H104" s="3" t="s">
        <v>939</v>
      </c>
      <c r="I104" s="3" t="s">
        <v>29</v>
      </c>
      <c r="J104" s="13">
        <v>46137</v>
      </c>
      <c r="K104" s="22" t="s">
        <v>21</v>
      </c>
      <c r="L104" s="3" t="s">
        <v>28</v>
      </c>
      <c r="M104" s="10" t="s">
        <v>20</v>
      </c>
      <c r="N104" s="5">
        <v>0</v>
      </c>
      <c r="O104" s="11">
        <v>9450</v>
      </c>
      <c r="P104" s="11">
        <v>9750</v>
      </c>
      <c r="Q104" s="11">
        <f t="shared" si="3"/>
        <v>300</v>
      </c>
      <c r="R104" s="11">
        <v>10000</v>
      </c>
      <c r="S104" s="11">
        <f t="shared" si="4"/>
        <v>550</v>
      </c>
      <c r="T104" s="11">
        <v>0</v>
      </c>
      <c r="U104" s="5" t="s">
        <v>7</v>
      </c>
      <c r="V104" s="4">
        <v>46136</v>
      </c>
      <c r="W104" s="3" t="s">
        <v>6</v>
      </c>
      <c r="X104" s="3"/>
      <c r="Y104" s="11"/>
      <c r="Z104" s="3"/>
      <c r="AA104" s="3"/>
      <c r="AB104" s="3" t="str">
        <f t="shared" si="5"/>
        <v>Paid</v>
      </c>
      <c r="AC104" s="3"/>
    </row>
    <row r="105" spans="1:30" x14ac:dyDescent="0.25">
      <c r="A105" s="7" t="s">
        <v>5</v>
      </c>
      <c r="B105" s="12" t="s">
        <v>938</v>
      </c>
      <c r="C105" s="10" t="e">
        <f>VLOOKUP(B105,'[1]MAY MONTH'!$B:$C,2,0)</f>
        <v>#N/A</v>
      </c>
      <c r="D105" s="12" t="s">
        <v>937</v>
      </c>
      <c r="E105" s="12" t="s">
        <v>936</v>
      </c>
      <c r="F105" s="10" t="s">
        <v>82</v>
      </c>
      <c r="G105" s="10" t="s">
        <v>49</v>
      </c>
      <c r="H105" s="10" t="s">
        <v>1476</v>
      </c>
      <c r="I105" s="10" t="s">
        <v>585</v>
      </c>
      <c r="J105" s="22">
        <v>46134</v>
      </c>
      <c r="K105" s="28" t="s">
        <v>82</v>
      </c>
      <c r="L105" s="10" t="s">
        <v>28</v>
      </c>
      <c r="M105" s="10" t="s">
        <v>20</v>
      </c>
      <c r="N105" s="5">
        <v>0</v>
      </c>
      <c r="O105" s="11">
        <v>10500</v>
      </c>
      <c r="P105" s="11">
        <f>O105</f>
        <v>10500</v>
      </c>
      <c r="Q105" s="11">
        <f t="shared" si="3"/>
        <v>0</v>
      </c>
      <c r="R105" s="11">
        <v>10000</v>
      </c>
      <c r="S105" s="11">
        <f t="shared" si="4"/>
        <v>-500</v>
      </c>
      <c r="T105" s="11">
        <f>VLOOKUP(B105,[2]Sheet1!$B:$J,9,0)</f>
        <v>500</v>
      </c>
      <c r="U105" s="5" t="s">
        <v>7</v>
      </c>
      <c r="V105" s="4">
        <v>46136</v>
      </c>
      <c r="W105" s="3" t="s">
        <v>6</v>
      </c>
      <c r="X105" s="3"/>
      <c r="Y105" s="5"/>
      <c r="Z105" s="3"/>
      <c r="AA105" s="3"/>
      <c r="AB105" s="3" t="str">
        <f t="shared" si="5"/>
        <v>Paid</v>
      </c>
      <c r="AC105" s="3"/>
    </row>
    <row r="106" spans="1:30" x14ac:dyDescent="0.25">
      <c r="A106" s="7" t="s">
        <v>5</v>
      </c>
      <c r="B106" s="10" t="s">
        <v>935</v>
      </c>
      <c r="C106" s="10" t="e">
        <f>VLOOKUP(B106,'[1]MAY MONTH'!$B:$C,2,0)</f>
        <v>#N/A</v>
      </c>
      <c r="D106" s="10" t="s">
        <v>934</v>
      </c>
      <c r="E106" s="10" t="s">
        <v>933</v>
      </c>
      <c r="F106" s="10" t="s">
        <v>21</v>
      </c>
      <c r="G106" s="10" t="s">
        <v>921</v>
      </c>
      <c r="H106" s="10" t="s">
        <v>932</v>
      </c>
      <c r="I106" s="10" t="s">
        <v>931</v>
      </c>
      <c r="J106" s="22">
        <v>46137</v>
      </c>
      <c r="K106" s="22" t="s">
        <v>21</v>
      </c>
      <c r="L106" s="10" t="s">
        <v>8</v>
      </c>
      <c r="M106" s="10" t="s">
        <v>11</v>
      </c>
      <c r="N106" s="5">
        <v>0</v>
      </c>
      <c r="O106" s="11">
        <v>9082.5</v>
      </c>
      <c r="P106" s="11">
        <v>9782</v>
      </c>
      <c r="Q106" s="11">
        <f t="shared" si="3"/>
        <v>699.5</v>
      </c>
      <c r="R106" s="11">
        <v>10000</v>
      </c>
      <c r="S106" s="11">
        <f t="shared" si="4"/>
        <v>917.5</v>
      </c>
      <c r="T106" s="11">
        <v>0</v>
      </c>
      <c r="U106" s="5" t="s">
        <v>7</v>
      </c>
      <c r="V106" s="4">
        <v>46137</v>
      </c>
      <c r="W106" s="3" t="s">
        <v>6</v>
      </c>
      <c r="X106" s="3"/>
      <c r="Y106" s="5"/>
      <c r="Z106" s="3"/>
      <c r="AA106" s="3"/>
      <c r="AB106" s="3" t="str">
        <f t="shared" si="5"/>
        <v>Paid</v>
      </c>
      <c r="AC106" s="3"/>
    </row>
    <row r="107" spans="1:30" x14ac:dyDescent="0.25">
      <c r="A107" s="7" t="s">
        <v>5</v>
      </c>
      <c r="B107" s="10" t="s">
        <v>930</v>
      </c>
      <c r="C107" s="10" t="e">
        <f>VLOOKUP(B107,'[1]MAY MONTH'!$B:$C,2,0)</f>
        <v>#N/A</v>
      </c>
      <c r="D107" s="10" t="s">
        <v>929</v>
      </c>
      <c r="E107" s="10" t="s">
        <v>928</v>
      </c>
      <c r="F107" s="10" t="s">
        <v>4</v>
      </c>
      <c r="G107" s="10" t="s">
        <v>927</v>
      </c>
      <c r="H107" s="10" t="s">
        <v>926</v>
      </c>
      <c r="I107" s="10" t="s">
        <v>10</v>
      </c>
      <c r="J107" s="22">
        <v>46137</v>
      </c>
      <c r="K107" s="18" t="s">
        <v>9</v>
      </c>
      <c r="L107" s="10" t="s">
        <v>8</v>
      </c>
      <c r="M107" s="10" t="s">
        <v>11</v>
      </c>
      <c r="N107" s="5">
        <v>0</v>
      </c>
      <c r="O107" s="11">
        <v>5660</v>
      </c>
      <c r="P107" s="11">
        <v>6160</v>
      </c>
      <c r="Q107" s="11">
        <f t="shared" si="3"/>
        <v>500</v>
      </c>
      <c r="R107" s="11">
        <v>10000</v>
      </c>
      <c r="S107" s="11">
        <f t="shared" si="4"/>
        <v>4340</v>
      </c>
      <c r="T107" s="11">
        <v>0</v>
      </c>
      <c r="U107" s="5" t="s">
        <v>7</v>
      </c>
      <c r="V107" s="4">
        <v>46137</v>
      </c>
      <c r="W107" s="3" t="s">
        <v>6</v>
      </c>
      <c r="X107" s="3"/>
      <c r="Y107" s="11"/>
      <c r="Z107" s="3"/>
      <c r="AA107" s="3"/>
      <c r="AB107" s="3" t="str">
        <f t="shared" si="5"/>
        <v>Paid</v>
      </c>
      <c r="AC107" s="3"/>
    </row>
    <row r="108" spans="1:30" x14ac:dyDescent="0.25">
      <c r="A108" s="10" t="s">
        <v>5</v>
      </c>
      <c r="B108" s="10" t="s">
        <v>390</v>
      </c>
      <c r="C108" s="10" t="e">
        <f>VLOOKUP(B108,'[1]MAY MONTH'!$B:$C,2,0)</f>
        <v>#N/A</v>
      </c>
      <c r="D108" s="10" t="s">
        <v>389</v>
      </c>
      <c r="E108" s="10" t="s">
        <v>388</v>
      </c>
      <c r="F108" s="10" t="s">
        <v>4</v>
      </c>
      <c r="G108" s="10" t="s">
        <v>387</v>
      </c>
      <c r="H108" s="10" t="s">
        <v>925</v>
      </c>
      <c r="I108" s="10" t="s">
        <v>2</v>
      </c>
      <c r="J108" s="22">
        <v>46137</v>
      </c>
      <c r="K108" s="18" t="s">
        <v>9</v>
      </c>
      <c r="L108" s="10" t="s">
        <v>35</v>
      </c>
      <c r="M108" s="10" t="s">
        <v>11</v>
      </c>
      <c r="N108" s="11">
        <v>0</v>
      </c>
      <c r="O108" s="11">
        <v>6370</v>
      </c>
      <c r="P108" s="11">
        <v>6370</v>
      </c>
      <c r="Q108" s="11">
        <f t="shared" si="3"/>
        <v>0</v>
      </c>
      <c r="R108" s="11">
        <v>10000</v>
      </c>
      <c r="S108" s="11">
        <f t="shared" si="4"/>
        <v>3630</v>
      </c>
      <c r="T108" s="11">
        <f>VLOOKUP(B108,[2]Sheet1!$B:$J,9,0)</f>
        <v>293.74</v>
      </c>
      <c r="U108" s="11" t="s">
        <v>7</v>
      </c>
      <c r="V108" s="31">
        <v>46137</v>
      </c>
      <c r="W108" s="3" t="s">
        <v>6</v>
      </c>
      <c r="X108" s="3"/>
      <c r="Y108" s="11"/>
      <c r="Z108" s="3"/>
      <c r="AA108" s="3"/>
      <c r="AB108" s="3" t="str">
        <f t="shared" si="5"/>
        <v>Paid</v>
      </c>
      <c r="AC108" s="3"/>
    </row>
    <row r="109" spans="1:30" x14ac:dyDescent="0.25">
      <c r="A109" s="10" t="s">
        <v>19</v>
      </c>
      <c r="B109" s="10" t="s">
        <v>390</v>
      </c>
      <c r="C109" s="10" t="e">
        <f>VLOOKUP(B109,'[1]MAY MONTH'!$B:$C,2,0)</f>
        <v>#N/A</v>
      </c>
      <c r="D109" s="10" t="s">
        <v>389</v>
      </c>
      <c r="E109" s="10" t="s">
        <v>388</v>
      </c>
      <c r="F109" s="10" t="s">
        <v>4</v>
      </c>
      <c r="G109" s="10" t="s">
        <v>387</v>
      </c>
      <c r="H109" s="10" t="s">
        <v>925</v>
      </c>
      <c r="I109" s="10" t="s">
        <v>1437</v>
      </c>
      <c r="J109" s="13">
        <v>46148</v>
      </c>
      <c r="K109" s="18" t="s">
        <v>9</v>
      </c>
      <c r="L109" s="10" t="s">
        <v>1</v>
      </c>
      <c r="M109" s="10" t="s">
        <v>1</v>
      </c>
      <c r="N109" s="11">
        <v>0</v>
      </c>
      <c r="O109" s="11">
        <v>22294</v>
      </c>
      <c r="P109" s="11">
        <v>22294</v>
      </c>
      <c r="Q109" s="11">
        <f t="shared" si="3"/>
        <v>0</v>
      </c>
      <c r="R109" s="11">
        <v>22000</v>
      </c>
      <c r="S109" s="11">
        <f t="shared" si="4"/>
        <v>-294</v>
      </c>
      <c r="T109" s="11">
        <f>VLOOKUP(B109,[2]Sheet1!$B:$J,9,0)</f>
        <v>293.74</v>
      </c>
      <c r="U109" s="11" t="s">
        <v>7</v>
      </c>
      <c r="V109" s="18">
        <v>46149</v>
      </c>
      <c r="W109" s="3" t="s">
        <v>6</v>
      </c>
      <c r="X109" s="3"/>
      <c r="Y109" s="11"/>
      <c r="Z109" s="3"/>
      <c r="AA109" s="3"/>
      <c r="AB109" s="3" t="str">
        <f t="shared" si="5"/>
        <v>Paid</v>
      </c>
      <c r="AC109" s="3"/>
    </row>
    <row r="110" spans="1:30" x14ac:dyDescent="0.25">
      <c r="A110" s="7" t="s">
        <v>5</v>
      </c>
      <c r="B110" s="10" t="s">
        <v>924</v>
      </c>
      <c r="C110" s="10" t="e">
        <f>VLOOKUP(B110,'[1]MAY MONTH'!$B:$C,2,0)</f>
        <v>#N/A</v>
      </c>
      <c r="D110" s="10" t="s">
        <v>923</v>
      </c>
      <c r="E110" s="10" t="s">
        <v>922</v>
      </c>
      <c r="F110" s="10" t="s">
        <v>4</v>
      </c>
      <c r="G110" s="10" t="s">
        <v>921</v>
      </c>
      <c r="H110" s="10" t="s">
        <v>920</v>
      </c>
      <c r="I110" s="10" t="s">
        <v>2</v>
      </c>
      <c r="J110" s="22">
        <v>46137</v>
      </c>
      <c r="K110" s="18" t="s">
        <v>9</v>
      </c>
      <c r="L110" s="10" t="s">
        <v>8</v>
      </c>
      <c r="M110" s="10" t="s">
        <v>11</v>
      </c>
      <c r="N110" s="5">
        <v>0</v>
      </c>
      <c r="O110" s="11">
        <v>5741</v>
      </c>
      <c r="P110" s="11">
        <v>5741</v>
      </c>
      <c r="Q110" s="11">
        <f t="shared" si="3"/>
        <v>0</v>
      </c>
      <c r="R110" s="11">
        <v>10000</v>
      </c>
      <c r="S110" s="11">
        <f t="shared" si="4"/>
        <v>4259</v>
      </c>
      <c r="T110" s="11">
        <v>0</v>
      </c>
      <c r="U110" s="5" t="s">
        <v>7</v>
      </c>
      <c r="V110" s="4">
        <v>46137</v>
      </c>
      <c r="W110" s="3" t="s">
        <v>6</v>
      </c>
      <c r="X110" s="3"/>
      <c r="Y110" s="11"/>
      <c r="Z110" s="3"/>
      <c r="AA110" s="3"/>
      <c r="AB110" s="3" t="str">
        <f t="shared" si="5"/>
        <v>Paid</v>
      </c>
      <c r="AC110" s="3"/>
    </row>
    <row r="111" spans="1:30" s="16" customFormat="1" x14ac:dyDescent="0.25">
      <c r="A111" s="7" t="s">
        <v>5</v>
      </c>
      <c r="B111" s="7" t="s">
        <v>919</v>
      </c>
      <c r="C111" s="10" t="e">
        <f>VLOOKUP(B111,'[1]MAY MONTH'!$B:$C,2,0)</f>
        <v>#N/A</v>
      </c>
      <c r="D111" s="7" t="s">
        <v>918</v>
      </c>
      <c r="E111" s="7" t="s">
        <v>917</v>
      </c>
      <c r="F111" s="10" t="s">
        <v>21</v>
      </c>
      <c r="G111" s="7" t="s">
        <v>851</v>
      </c>
      <c r="H111" s="7" t="s">
        <v>658</v>
      </c>
      <c r="I111" s="7" t="s">
        <v>2</v>
      </c>
      <c r="J111" s="9">
        <v>46138</v>
      </c>
      <c r="K111" s="22" t="s">
        <v>21</v>
      </c>
      <c r="L111" s="7" t="s">
        <v>8</v>
      </c>
      <c r="M111" s="11" t="s">
        <v>0</v>
      </c>
      <c r="N111" s="6">
        <v>0</v>
      </c>
      <c r="O111" s="6">
        <v>7000</v>
      </c>
      <c r="P111" s="6">
        <v>8743</v>
      </c>
      <c r="Q111" s="11">
        <f t="shared" si="3"/>
        <v>1743</v>
      </c>
      <c r="R111" s="11">
        <v>10000</v>
      </c>
      <c r="S111" s="11">
        <f t="shared" si="4"/>
        <v>3000</v>
      </c>
      <c r="T111" s="11">
        <v>0</v>
      </c>
      <c r="U111" s="5" t="s">
        <v>7</v>
      </c>
      <c r="V111" s="4">
        <v>46137</v>
      </c>
      <c r="W111" s="3" t="s">
        <v>6</v>
      </c>
      <c r="X111" s="17"/>
      <c r="Y111" s="6"/>
      <c r="Z111" s="17"/>
      <c r="AA111" s="17"/>
      <c r="AB111" s="3" t="str">
        <f t="shared" si="5"/>
        <v>Paid</v>
      </c>
      <c r="AC111" s="17"/>
      <c r="AD111" s="1"/>
    </row>
    <row r="112" spans="1:30" s="16" customFormat="1" x14ac:dyDescent="0.25">
      <c r="A112" s="7" t="s">
        <v>5</v>
      </c>
      <c r="B112" s="7" t="s">
        <v>916</v>
      </c>
      <c r="C112" s="10" t="e">
        <f>VLOOKUP(B112,'[1]MAY MONTH'!$B:$C,2,0)</f>
        <v>#N/A</v>
      </c>
      <c r="D112" s="7" t="s">
        <v>915</v>
      </c>
      <c r="E112" s="7" t="s">
        <v>914</v>
      </c>
      <c r="F112" s="10" t="s">
        <v>21</v>
      </c>
      <c r="G112" s="7" t="s">
        <v>43</v>
      </c>
      <c r="H112" s="7" t="s">
        <v>913</v>
      </c>
      <c r="I112" s="7" t="s">
        <v>2</v>
      </c>
      <c r="J112" s="9">
        <v>46138</v>
      </c>
      <c r="K112" s="22" t="s">
        <v>21</v>
      </c>
      <c r="L112" s="7" t="s">
        <v>35</v>
      </c>
      <c r="M112" s="11" t="s">
        <v>0</v>
      </c>
      <c r="N112" s="6">
        <v>0</v>
      </c>
      <c r="O112" s="6">
        <v>7896</v>
      </c>
      <c r="P112" s="6">
        <v>8796</v>
      </c>
      <c r="Q112" s="11">
        <f t="shared" si="3"/>
        <v>900</v>
      </c>
      <c r="R112" s="11">
        <v>10000</v>
      </c>
      <c r="S112" s="11">
        <f t="shared" si="4"/>
        <v>2104</v>
      </c>
      <c r="T112" s="11">
        <v>0</v>
      </c>
      <c r="U112" s="5" t="s">
        <v>7</v>
      </c>
      <c r="V112" s="4">
        <v>46138</v>
      </c>
      <c r="W112" s="3" t="s">
        <v>6</v>
      </c>
      <c r="X112" s="17"/>
      <c r="Y112" s="6"/>
      <c r="Z112" s="17"/>
      <c r="AA112" s="17"/>
      <c r="AB112" s="3" t="str">
        <f t="shared" si="5"/>
        <v>Paid</v>
      </c>
      <c r="AC112" s="17"/>
      <c r="AD112" s="1"/>
    </row>
    <row r="113" spans="1:57" x14ac:dyDescent="0.25">
      <c r="A113" s="3" t="s">
        <v>5</v>
      </c>
      <c r="B113" s="12" t="s">
        <v>912</v>
      </c>
      <c r="C113" s="10" t="e">
        <f>VLOOKUP(B113,'[1]MAY MONTH'!$B:$C,2,0)</f>
        <v>#N/A</v>
      </c>
      <c r="D113" s="12" t="s">
        <v>911</v>
      </c>
      <c r="E113" s="12" t="s">
        <v>910</v>
      </c>
      <c r="F113" s="10" t="s">
        <v>4</v>
      </c>
      <c r="G113" s="12" t="s">
        <v>909</v>
      </c>
      <c r="H113" s="12" t="s">
        <v>908</v>
      </c>
      <c r="I113" s="12" t="s">
        <v>458</v>
      </c>
      <c r="J113" s="22">
        <v>46136</v>
      </c>
      <c r="K113" s="22" t="s">
        <v>215</v>
      </c>
      <c r="L113" s="3" t="s">
        <v>35</v>
      </c>
      <c r="M113" s="11" t="s">
        <v>35</v>
      </c>
      <c r="N113" s="5">
        <v>0</v>
      </c>
      <c r="O113" s="11">
        <v>6503</v>
      </c>
      <c r="P113" s="11">
        <v>7805</v>
      </c>
      <c r="Q113" s="11">
        <f t="shared" si="3"/>
        <v>1302</v>
      </c>
      <c r="R113" s="11">
        <v>10000</v>
      </c>
      <c r="S113" s="11">
        <f t="shared" si="4"/>
        <v>3497</v>
      </c>
      <c r="T113" s="11">
        <v>0</v>
      </c>
      <c r="U113" s="11" t="s">
        <v>7</v>
      </c>
      <c r="V113" s="4">
        <v>46137</v>
      </c>
      <c r="W113" s="3" t="s">
        <v>6</v>
      </c>
      <c r="X113" s="3"/>
      <c r="Y113" s="11"/>
      <c r="Z113" s="3"/>
      <c r="AA113" s="3"/>
      <c r="AB113" s="3" t="str">
        <f t="shared" si="5"/>
        <v>Paid</v>
      </c>
      <c r="AC113" s="3"/>
    </row>
    <row r="114" spans="1:57" x14ac:dyDescent="0.25">
      <c r="A114" s="3" t="s">
        <v>5</v>
      </c>
      <c r="B114" s="10" t="s">
        <v>907</v>
      </c>
      <c r="C114" s="10" t="e">
        <f>VLOOKUP(B114,'[1]MAY MONTH'!$B:$C,2,0)</f>
        <v>#N/A</v>
      </c>
      <c r="D114" s="10" t="s">
        <v>906</v>
      </c>
      <c r="E114" s="10" t="s">
        <v>905</v>
      </c>
      <c r="F114" s="10" t="s">
        <v>4</v>
      </c>
      <c r="G114" s="10" t="s">
        <v>904</v>
      </c>
      <c r="H114" s="10" t="s">
        <v>903</v>
      </c>
      <c r="I114" s="10" t="s">
        <v>10</v>
      </c>
      <c r="J114" s="22">
        <v>46138</v>
      </c>
      <c r="K114" s="26" t="s">
        <v>9</v>
      </c>
      <c r="L114" s="10" t="s">
        <v>8</v>
      </c>
      <c r="M114" s="10" t="s">
        <v>11</v>
      </c>
      <c r="N114" s="5">
        <v>0</v>
      </c>
      <c r="O114" s="11">
        <v>5897.64</v>
      </c>
      <c r="P114" s="11">
        <v>5897.64</v>
      </c>
      <c r="Q114" s="11">
        <f t="shared" si="3"/>
        <v>0</v>
      </c>
      <c r="R114" s="11">
        <v>10000</v>
      </c>
      <c r="S114" s="11">
        <f t="shared" si="4"/>
        <v>4102.3599999999997</v>
      </c>
      <c r="T114" s="11">
        <v>0</v>
      </c>
      <c r="U114" s="11" t="s">
        <v>7</v>
      </c>
      <c r="V114" s="4">
        <v>46138</v>
      </c>
      <c r="W114" s="3" t="s">
        <v>6</v>
      </c>
      <c r="X114" s="3"/>
      <c r="Y114" s="11"/>
      <c r="Z114" s="3"/>
      <c r="AA114" s="3"/>
      <c r="AB114" s="3" t="str">
        <f t="shared" si="5"/>
        <v>Paid</v>
      </c>
      <c r="AC114" s="3"/>
    </row>
    <row r="115" spans="1:57" x14ac:dyDescent="0.25">
      <c r="A115" s="3" t="s">
        <v>5</v>
      </c>
      <c r="B115" s="10" t="s">
        <v>902</v>
      </c>
      <c r="C115" s="10" t="e">
        <f>VLOOKUP(B115,'[1]MAY MONTH'!$B:$C,2,0)</f>
        <v>#N/A</v>
      </c>
      <c r="D115" s="10" t="s">
        <v>901</v>
      </c>
      <c r="E115" s="10" t="s">
        <v>900</v>
      </c>
      <c r="F115" s="10" t="s">
        <v>21</v>
      </c>
      <c r="G115" s="10" t="s">
        <v>899</v>
      </c>
      <c r="H115" s="10" t="s">
        <v>898</v>
      </c>
      <c r="I115" s="10" t="s">
        <v>122</v>
      </c>
      <c r="J115" s="22">
        <v>46138</v>
      </c>
      <c r="K115" s="22" t="s">
        <v>21</v>
      </c>
      <c r="L115" s="10" t="s">
        <v>8</v>
      </c>
      <c r="M115" s="10" t="s">
        <v>11</v>
      </c>
      <c r="N115" s="5">
        <v>0</v>
      </c>
      <c r="O115" s="11">
        <v>8100</v>
      </c>
      <c r="P115" s="11">
        <v>9000</v>
      </c>
      <c r="Q115" s="11">
        <f t="shared" si="3"/>
        <v>900</v>
      </c>
      <c r="R115" s="11">
        <v>10000</v>
      </c>
      <c r="S115" s="11">
        <f t="shared" si="4"/>
        <v>1900</v>
      </c>
      <c r="T115" s="11">
        <v>0</v>
      </c>
      <c r="U115" s="11" t="s">
        <v>7</v>
      </c>
      <c r="V115" s="4">
        <v>46138</v>
      </c>
      <c r="W115" s="3" t="s">
        <v>6</v>
      </c>
      <c r="X115" s="3"/>
      <c r="Y115" s="11"/>
      <c r="Z115" s="3"/>
      <c r="AA115" s="3"/>
      <c r="AB115" s="3" t="str">
        <f t="shared" si="5"/>
        <v>Paid</v>
      </c>
      <c r="AC115" s="3"/>
    </row>
    <row r="116" spans="1:57" x14ac:dyDescent="0.25">
      <c r="A116" s="3" t="s">
        <v>5</v>
      </c>
      <c r="B116" s="10" t="s">
        <v>897</v>
      </c>
      <c r="C116" s="10" t="e">
        <f>VLOOKUP(B116,'[1]MAY MONTH'!$B:$C,2,0)</f>
        <v>#N/A</v>
      </c>
      <c r="D116" s="10" t="s">
        <v>896</v>
      </c>
      <c r="E116" s="10" t="s">
        <v>895</v>
      </c>
      <c r="F116" s="10" t="s">
        <v>4</v>
      </c>
      <c r="G116" s="10" t="s">
        <v>802</v>
      </c>
      <c r="H116" s="10" t="s">
        <v>894</v>
      </c>
      <c r="I116" s="10" t="s">
        <v>222</v>
      </c>
      <c r="J116" s="22">
        <v>46138</v>
      </c>
      <c r="K116" s="26" t="s">
        <v>9</v>
      </c>
      <c r="L116" s="10" t="s">
        <v>35</v>
      </c>
      <c r="M116" s="10" t="s">
        <v>11</v>
      </c>
      <c r="N116" s="5">
        <v>0</v>
      </c>
      <c r="O116" s="11">
        <v>7528.4</v>
      </c>
      <c r="P116" s="11">
        <v>8661</v>
      </c>
      <c r="Q116" s="11">
        <f t="shared" si="3"/>
        <v>1132.6000000000004</v>
      </c>
      <c r="R116" s="11">
        <v>10000</v>
      </c>
      <c r="S116" s="11">
        <f t="shared" si="4"/>
        <v>2471.6000000000004</v>
      </c>
      <c r="T116" s="11">
        <v>0</v>
      </c>
      <c r="U116" s="11" t="s">
        <v>7</v>
      </c>
      <c r="V116" s="4">
        <v>46138</v>
      </c>
      <c r="W116" s="3" t="s">
        <v>6</v>
      </c>
      <c r="X116" s="3"/>
      <c r="Y116" s="11"/>
      <c r="Z116" s="3"/>
      <c r="AA116" s="3"/>
      <c r="AB116" s="3" t="str">
        <f t="shared" si="5"/>
        <v>Paid</v>
      </c>
      <c r="AC116" s="3"/>
    </row>
    <row r="117" spans="1:57" x14ac:dyDescent="0.25">
      <c r="A117" s="3" t="s">
        <v>5</v>
      </c>
      <c r="B117" s="10" t="s">
        <v>893</v>
      </c>
      <c r="C117" s="10" t="e">
        <f>VLOOKUP(B117,'[1]MAY MONTH'!$B:$C,2,0)</f>
        <v>#N/A</v>
      </c>
      <c r="D117" s="10" t="s">
        <v>892</v>
      </c>
      <c r="E117" s="10" t="s">
        <v>891</v>
      </c>
      <c r="F117" s="10" t="s">
        <v>4</v>
      </c>
      <c r="G117" s="10" t="s">
        <v>299</v>
      </c>
      <c r="H117" s="10" t="s">
        <v>1465</v>
      </c>
      <c r="I117" s="3" t="s">
        <v>890</v>
      </c>
      <c r="J117" s="22">
        <v>46138</v>
      </c>
      <c r="K117" s="22" t="s">
        <v>215</v>
      </c>
      <c r="L117" s="3" t="s">
        <v>1</v>
      </c>
      <c r="M117" s="3" t="s">
        <v>1</v>
      </c>
      <c r="N117" s="5">
        <v>0</v>
      </c>
      <c r="O117" s="11">
        <f>10000-2513</f>
        <v>7487</v>
      </c>
      <c r="P117" s="11">
        <v>9158</v>
      </c>
      <c r="Q117" s="11">
        <f t="shared" si="3"/>
        <v>1671</v>
      </c>
      <c r="R117" s="11">
        <v>10000</v>
      </c>
      <c r="S117" s="11">
        <f t="shared" si="4"/>
        <v>2513</v>
      </c>
      <c r="T117" s="11">
        <v>0</v>
      </c>
      <c r="U117" s="11" t="s">
        <v>7</v>
      </c>
      <c r="V117" s="4">
        <v>46137</v>
      </c>
      <c r="W117" s="3" t="s">
        <v>6</v>
      </c>
      <c r="X117" s="3"/>
      <c r="Y117" s="11"/>
      <c r="Z117" s="3"/>
      <c r="AA117" s="3"/>
      <c r="AB117" s="3" t="str">
        <f t="shared" si="5"/>
        <v>Paid</v>
      </c>
      <c r="AC117" s="3"/>
    </row>
    <row r="118" spans="1:57" x14ac:dyDescent="0.25">
      <c r="A118" s="3" t="s">
        <v>5</v>
      </c>
      <c r="B118" s="10" t="s">
        <v>889</v>
      </c>
      <c r="C118" s="10" t="e">
        <f>VLOOKUP(B118,'[1]MAY MONTH'!$B:$C,2,0)</f>
        <v>#N/A</v>
      </c>
      <c r="D118" s="3" t="s">
        <v>888</v>
      </c>
      <c r="E118" s="3" t="s">
        <v>887</v>
      </c>
      <c r="F118" s="10" t="s">
        <v>4</v>
      </c>
      <c r="G118" s="3" t="s">
        <v>886</v>
      </c>
      <c r="H118" s="3" t="s">
        <v>885</v>
      </c>
      <c r="I118" s="3" t="s">
        <v>884</v>
      </c>
      <c r="J118" s="22">
        <v>46138</v>
      </c>
      <c r="K118" s="26" t="s">
        <v>9</v>
      </c>
      <c r="L118" s="3" t="s">
        <v>1</v>
      </c>
      <c r="M118" s="11" t="s">
        <v>1</v>
      </c>
      <c r="N118" s="5">
        <v>0</v>
      </c>
      <c r="O118" s="11">
        <v>9000</v>
      </c>
      <c r="P118" s="11">
        <v>9500</v>
      </c>
      <c r="Q118" s="11">
        <f t="shared" si="3"/>
        <v>500</v>
      </c>
      <c r="R118" s="11">
        <v>10000</v>
      </c>
      <c r="S118" s="11">
        <f t="shared" si="4"/>
        <v>1000</v>
      </c>
      <c r="T118" s="11">
        <v>0</v>
      </c>
      <c r="U118" s="11" t="s">
        <v>7</v>
      </c>
      <c r="V118" s="31">
        <v>46138</v>
      </c>
      <c r="W118" s="3" t="s">
        <v>6</v>
      </c>
      <c r="X118" s="3"/>
      <c r="Y118" s="11"/>
      <c r="Z118" s="3"/>
      <c r="AA118" s="3"/>
      <c r="AB118" s="3" t="str">
        <f t="shared" si="5"/>
        <v>Paid</v>
      </c>
      <c r="AC118" s="3"/>
    </row>
    <row r="119" spans="1:57" x14ac:dyDescent="0.25">
      <c r="A119" s="3" t="s">
        <v>5</v>
      </c>
      <c r="B119" s="3" t="s">
        <v>883</v>
      </c>
      <c r="C119" s="10" t="e">
        <f>VLOOKUP(B119,'[1]MAY MONTH'!$B:$C,2,0)</f>
        <v>#N/A</v>
      </c>
      <c r="D119" s="3" t="s">
        <v>882</v>
      </c>
      <c r="E119" s="3" t="s">
        <v>881</v>
      </c>
      <c r="F119" s="10" t="s">
        <v>21</v>
      </c>
      <c r="G119" s="12" t="s">
        <v>299</v>
      </c>
      <c r="H119" s="12" t="s">
        <v>880</v>
      </c>
      <c r="I119" s="12" t="s">
        <v>2</v>
      </c>
      <c r="J119" s="22">
        <v>46138</v>
      </c>
      <c r="K119" s="22" t="s">
        <v>21</v>
      </c>
      <c r="L119" s="3" t="s">
        <v>1</v>
      </c>
      <c r="M119" s="11" t="s">
        <v>1</v>
      </c>
      <c r="N119" s="5">
        <v>0</v>
      </c>
      <c r="O119" s="11">
        <v>7000</v>
      </c>
      <c r="P119" s="11">
        <v>8000</v>
      </c>
      <c r="Q119" s="11">
        <f t="shared" si="3"/>
        <v>1000</v>
      </c>
      <c r="R119" s="11">
        <v>10000</v>
      </c>
      <c r="S119" s="11">
        <f t="shared" si="4"/>
        <v>3000</v>
      </c>
      <c r="T119" s="11">
        <v>0</v>
      </c>
      <c r="U119" s="5" t="s">
        <v>7</v>
      </c>
      <c r="V119" s="4">
        <v>46138</v>
      </c>
      <c r="W119" s="3" t="s">
        <v>6</v>
      </c>
      <c r="X119" s="3"/>
      <c r="Y119" s="11"/>
      <c r="Z119" s="3"/>
      <c r="AA119" s="3"/>
      <c r="AB119" s="3" t="str">
        <f t="shared" si="5"/>
        <v>Paid</v>
      </c>
      <c r="AC119" s="3"/>
    </row>
    <row r="120" spans="1:57" x14ac:dyDescent="0.25">
      <c r="A120" s="3" t="s">
        <v>5</v>
      </c>
      <c r="B120" s="8" t="s">
        <v>879</v>
      </c>
      <c r="C120" s="10" t="e">
        <f>VLOOKUP(B120,'[1]MAY MONTH'!$B:$C,2,0)</f>
        <v>#N/A</v>
      </c>
      <c r="D120" s="8" t="s">
        <v>878</v>
      </c>
      <c r="E120" s="8" t="s">
        <v>877</v>
      </c>
      <c r="F120" s="10" t="s">
        <v>4</v>
      </c>
      <c r="G120" s="8" t="s">
        <v>876</v>
      </c>
      <c r="H120" s="8" t="s">
        <v>1469</v>
      </c>
      <c r="I120" s="12" t="s">
        <v>2</v>
      </c>
      <c r="J120" s="22">
        <v>46138</v>
      </c>
      <c r="K120" s="22" t="s">
        <v>215</v>
      </c>
      <c r="L120" s="3" t="s">
        <v>1</v>
      </c>
      <c r="M120" s="11" t="s">
        <v>0</v>
      </c>
      <c r="N120" s="5">
        <v>0</v>
      </c>
      <c r="O120" s="11">
        <v>5188</v>
      </c>
      <c r="P120" s="11">
        <v>6588</v>
      </c>
      <c r="Q120" s="11">
        <f t="shared" si="3"/>
        <v>1400</v>
      </c>
      <c r="R120" s="11">
        <v>10000</v>
      </c>
      <c r="S120" s="11">
        <f t="shared" si="4"/>
        <v>4812</v>
      </c>
      <c r="T120" s="11">
        <v>0</v>
      </c>
      <c r="U120" s="5" t="s">
        <v>7</v>
      </c>
      <c r="V120" s="4">
        <v>46138</v>
      </c>
      <c r="W120" s="3" t="s">
        <v>6</v>
      </c>
      <c r="X120" s="3"/>
      <c r="Y120" s="11"/>
      <c r="Z120" s="3"/>
      <c r="AA120" s="3"/>
      <c r="AB120" s="3" t="str">
        <f t="shared" si="5"/>
        <v>Paid</v>
      </c>
      <c r="AC120" s="3"/>
    </row>
    <row r="121" spans="1:57" x14ac:dyDescent="0.25">
      <c r="A121" s="3" t="s">
        <v>5</v>
      </c>
      <c r="B121" s="3" t="s">
        <v>875</v>
      </c>
      <c r="C121" s="10" t="e">
        <f>VLOOKUP(B121,'[1]MAY MONTH'!$B:$C,2,0)</f>
        <v>#N/A</v>
      </c>
      <c r="D121" s="3" t="s">
        <v>874</v>
      </c>
      <c r="E121" s="3" t="s">
        <v>873</v>
      </c>
      <c r="F121" s="10" t="s">
        <v>82</v>
      </c>
      <c r="G121" s="3" t="s">
        <v>872</v>
      </c>
      <c r="H121" s="3" t="s">
        <v>749</v>
      </c>
      <c r="I121" s="3" t="s">
        <v>871</v>
      </c>
      <c r="J121" s="13">
        <v>46138</v>
      </c>
      <c r="K121" s="28" t="s">
        <v>82</v>
      </c>
      <c r="L121" s="3" t="s">
        <v>35</v>
      </c>
      <c r="M121" s="10" t="s">
        <v>20</v>
      </c>
      <c r="N121" s="5">
        <v>0</v>
      </c>
      <c r="O121" s="11">
        <v>10000</v>
      </c>
      <c r="P121" s="11">
        <f>O121</f>
        <v>10000</v>
      </c>
      <c r="Q121" s="11">
        <f t="shared" si="3"/>
        <v>0</v>
      </c>
      <c r="R121" s="11">
        <v>10000</v>
      </c>
      <c r="S121" s="11">
        <f t="shared" si="4"/>
        <v>0</v>
      </c>
      <c r="T121" s="11">
        <v>0</v>
      </c>
      <c r="U121" s="11" t="s">
        <v>7</v>
      </c>
      <c r="V121" s="31">
        <v>46138</v>
      </c>
      <c r="W121" s="3" t="s">
        <v>6</v>
      </c>
      <c r="X121" s="3"/>
      <c r="Y121" s="11"/>
      <c r="Z121" s="3"/>
      <c r="AA121" s="3"/>
      <c r="AB121" s="3" t="str">
        <f t="shared" si="5"/>
        <v>Paid</v>
      </c>
      <c r="AC121" s="3"/>
    </row>
    <row r="122" spans="1:57" x14ac:dyDescent="0.25">
      <c r="A122" s="3" t="s">
        <v>5</v>
      </c>
      <c r="B122" s="10" t="s">
        <v>870</v>
      </c>
      <c r="C122" s="10" t="e">
        <f>VLOOKUP(B122,'[1]MAY MONTH'!$B:$C,2,0)</f>
        <v>#N/A</v>
      </c>
      <c r="D122" s="10" t="s">
        <v>869</v>
      </c>
      <c r="E122" s="10" t="s">
        <v>868</v>
      </c>
      <c r="F122" s="10" t="s">
        <v>4</v>
      </c>
      <c r="G122" s="10" t="s">
        <v>867</v>
      </c>
      <c r="H122" s="10" t="s">
        <v>866</v>
      </c>
      <c r="I122" s="10" t="s">
        <v>489</v>
      </c>
      <c r="J122" s="22">
        <v>46137</v>
      </c>
      <c r="K122" s="22" t="s">
        <v>215</v>
      </c>
      <c r="L122" s="3" t="s">
        <v>8</v>
      </c>
      <c r="M122" s="11" t="s">
        <v>8</v>
      </c>
      <c r="N122" s="5">
        <v>0</v>
      </c>
      <c r="O122" s="11">
        <v>8989</v>
      </c>
      <c r="P122" s="11">
        <v>9258</v>
      </c>
      <c r="Q122" s="11">
        <f t="shared" si="3"/>
        <v>269</v>
      </c>
      <c r="R122" s="11">
        <v>10000</v>
      </c>
      <c r="S122" s="11">
        <f t="shared" si="4"/>
        <v>1011</v>
      </c>
      <c r="T122" s="11">
        <v>0</v>
      </c>
      <c r="U122" s="11" t="s">
        <v>7</v>
      </c>
      <c r="V122" s="31">
        <v>46138</v>
      </c>
      <c r="W122" s="3" t="s">
        <v>6</v>
      </c>
      <c r="X122" s="3"/>
      <c r="Y122" s="11"/>
      <c r="Z122" s="3"/>
      <c r="AA122" s="3"/>
      <c r="AB122" s="3" t="str">
        <f t="shared" si="5"/>
        <v>Paid</v>
      </c>
      <c r="AC122" s="3"/>
    </row>
    <row r="123" spans="1:57" s="32" customFormat="1" x14ac:dyDescent="0.25">
      <c r="A123" s="3" t="s">
        <v>5</v>
      </c>
      <c r="B123" s="3" t="s">
        <v>865</v>
      </c>
      <c r="C123" s="10" t="e">
        <f>VLOOKUP(B123,'[1]MAY MONTH'!$B:$C,2,0)</f>
        <v>#N/A</v>
      </c>
      <c r="D123" s="3" t="s">
        <v>864</v>
      </c>
      <c r="E123" s="3" t="s">
        <v>863</v>
      </c>
      <c r="F123" s="10" t="s">
        <v>21</v>
      </c>
      <c r="G123" s="3" t="s">
        <v>43</v>
      </c>
      <c r="H123" s="3" t="s">
        <v>862</v>
      </c>
      <c r="I123" s="3" t="s">
        <v>847</v>
      </c>
      <c r="J123" s="22">
        <v>46138</v>
      </c>
      <c r="K123" s="22" t="s">
        <v>21</v>
      </c>
      <c r="L123" s="3" t="s">
        <v>35</v>
      </c>
      <c r="M123" s="22" t="s">
        <v>35</v>
      </c>
      <c r="N123" s="5">
        <v>0</v>
      </c>
      <c r="O123" s="5">
        <v>8024</v>
      </c>
      <c r="P123" s="5">
        <v>9825</v>
      </c>
      <c r="Q123" s="11">
        <f t="shared" si="3"/>
        <v>1801</v>
      </c>
      <c r="R123" s="11">
        <v>10000</v>
      </c>
      <c r="S123" s="11">
        <f t="shared" si="4"/>
        <v>1976</v>
      </c>
      <c r="T123" s="11">
        <v>0</v>
      </c>
      <c r="U123" s="5" t="s">
        <v>7</v>
      </c>
      <c r="V123" s="4">
        <v>46138</v>
      </c>
      <c r="W123" s="3" t="s">
        <v>6</v>
      </c>
      <c r="X123" s="3"/>
      <c r="Y123" s="3"/>
      <c r="Z123" s="3"/>
      <c r="AA123" s="3"/>
      <c r="AB123" s="3" t="str">
        <f t="shared" si="5"/>
        <v>Paid</v>
      </c>
      <c r="AC123" s="3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0" t="s">
        <v>5</v>
      </c>
      <c r="B124" s="12" t="s">
        <v>861</v>
      </c>
      <c r="C124" s="10" t="e">
        <f>VLOOKUP(B124,'[1]MAY MONTH'!$B:$C,2,0)</f>
        <v>#N/A</v>
      </c>
      <c r="D124" s="12" t="s">
        <v>860</v>
      </c>
      <c r="E124" s="12" t="s">
        <v>859</v>
      </c>
      <c r="F124" s="10" t="s">
        <v>4</v>
      </c>
      <c r="G124" s="12" t="s">
        <v>62</v>
      </c>
      <c r="H124" s="12" t="s">
        <v>721</v>
      </c>
      <c r="I124" s="12" t="s">
        <v>36</v>
      </c>
      <c r="J124" s="22">
        <v>46138</v>
      </c>
      <c r="K124" s="26" t="s">
        <v>9</v>
      </c>
      <c r="L124" s="3" t="s">
        <v>1</v>
      </c>
      <c r="M124" s="11" t="s">
        <v>1</v>
      </c>
      <c r="N124" s="5">
        <v>7670</v>
      </c>
      <c r="O124" s="11">
        <f>200+6106</f>
        <v>6306</v>
      </c>
      <c r="P124" s="11">
        <v>7670</v>
      </c>
      <c r="Q124" s="11">
        <f t="shared" si="3"/>
        <v>1364</v>
      </c>
      <c r="R124" s="11">
        <v>10000</v>
      </c>
      <c r="S124" s="11">
        <f t="shared" si="4"/>
        <v>3694</v>
      </c>
      <c r="T124" s="11">
        <v>0</v>
      </c>
      <c r="U124" s="5" t="s">
        <v>7</v>
      </c>
      <c r="V124" s="4">
        <v>46139</v>
      </c>
      <c r="W124" s="3" t="s">
        <v>6</v>
      </c>
      <c r="X124" s="3"/>
      <c r="Y124" s="11"/>
      <c r="Z124" s="3"/>
      <c r="AA124" s="3"/>
      <c r="AB124" s="3" t="str">
        <f t="shared" si="5"/>
        <v>Paid</v>
      </c>
      <c r="AC124" s="3"/>
    </row>
    <row r="125" spans="1:57" s="16" customFormat="1" x14ac:dyDescent="0.25">
      <c r="A125" s="8" t="s">
        <v>5</v>
      </c>
      <c r="B125" s="7" t="s">
        <v>858</v>
      </c>
      <c r="C125" s="10" t="e">
        <f>VLOOKUP(B125,'[1]MAY MONTH'!$B:$C,2,0)</f>
        <v>#N/A</v>
      </c>
      <c r="D125" s="7" t="s">
        <v>857</v>
      </c>
      <c r="E125" s="7" t="s">
        <v>856</v>
      </c>
      <c r="F125" s="10" t="s">
        <v>21</v>
      </c>
      <c r="G125" s="7" t="s">
        <v>62</v>
      </c>
      <c r="H125" s="7" t="s">
        <v>855</v>
      </c>
      <c r="I125" s="7" t="s">
        <v>36</v>
      </c>
      <c r="J125" s="9">
        <v>46138</v>
      </c>
      <c r="K125" s="22" t="s">
        <v>21</v>
      </c>
      <c r="L125" s="7" t="s">
        <v>1</v>
      </c>
      <c r="M125" s="11" t="s">
        <v>0</v>
      </c>
      <c r="N125" s="6">
        <v>0</v>
      </c>
      <c r="O125" s="6">
        <v>7900</v>
      </c>
      <c r="P125" s="6">
        <v>9733</v>
      </c>
      <c r="Q125" s="11">
        <f t="shared" si="3"/>
        <v>1833</v>
      </c>
      <c r="R125" s="11">
        <v>10000</v>
      </c>
      <c r="S125" s="11">
        <f t="shared" si="4"/>
        <v>2100</v>
      </c>
      <c r="T125" s="11">
        <v>0</v>
      </c>
      <c r="U125" s="5" t="s">
        <v>7</v>
      </c>
      <c r="V125" s="4">
        <v>46139</v>
      </c>
      <c r="W125" s="3" t="s">
        <v>6</v>
      </c>
      <c r="X125" s="17"/>
      <c r="Y125" s="6"/>
      <c r="Z125" s="17"/>
      <c r="AA125" s="17"/>
      <c r="AB125" s="3" t="str">
        <f t="shared" si="5"/>
        <v>Paid</v>
      </c>
      <c r="AC125" s="17"/>
      <c r="AD125" s="1"/>
    </row>
    <row r="126" spans="1:57" x14ac:dyDescent="0.25">
      <c r="A126" s="7" t="s">
        <v>5</v>
      </c>
      <c r="B126" s="10" t="s">
        <v>854</v>
      </c>
      <c r="C126" s="10" t="e">
        <f>VLOOKUP(B126,'[1]MAY MONTH'!$B:$C,2,0)</f>
        <v>#N/A</v>
      </c>
      <c r="D126" s="10" t="s">
        <v>853</v>
      </c>
      <c r="E126" s="10" t="s">
        <v>852</v>
      </c>
      <c r="F126" s="10" t="s">
        <v>4</v>
      </c>
      <c r="G126" s="10" t="s">
        <v>851</v>
      </c>
      <c r="H126" s="10" t="s">
        <v>537</v>
      </c>
      <c r="I126" s="10" t="s">
        <v>10</v>
      </c>
      <c r="J126" s="22">
        <v>46139</v>
      </c>
      <c r="K126" s="26" t="s">
        <v>9</v>
      </c>
      <c r="L126" s="10" t="s">
        <v>8</v>
      </c>
      <c r="M126" s="10" t="s">
        <v>11</v>
      </c>
      <c r="N126" s="5">
        <v>0</v>
      </c>
      <c r="O126" s="11">
        <v>5535</v>
      </c>
      <c r="P126" s="11">
        <v>5935</v>
      </c>
      <c r="Q126" s="11">
        <f t="shared" si="3"/>
        <v>400</v>
      </c>
      <c r="R126" s="11">
        <v>10000</v>
      </c>
      <c r="S126" s="11">
        <f t="shared" si="4"/>
        <v>4465</v>
      </c>
      <c r="T126" s="11">
        <v>0</v>
      </c>
      <c r="U126" s="5" t="s">
        <v>7</v>
      </c>
      <c r="V126" s="4">
        <v>46139</v>
      </c>
      <c r="W126" s="3" t="s">
        <v>6</v>
      </c>
      <c r="X126" s="3"/>
      <c r="Y126" s="3"/>
      <c r="Z126" s="3"/>
      <c r="AA126" s="3"/>
      <c r="AB126" s="3" t="str">
        <f t="shared" si="5"/>
        <v>Paid</v>
      </c>
      <c r="AC126" s="3"/>
    </row>
    <row r="127" spans="1:57" x14ac:dyDescent="0.25">
      <c r="A127" s="7" t="s">
        <v>5</v>
      </c>
      <c r="B127" s="12" t="s">
        <v>850</v>
      </c>
      <c r="C127" s="10" t="e">
        <f>VLOOKUP(B127,'[1]MAY MONTH'!$B:$C,2,0)</f>
        <v>#N/A</v>
      </c>
      <c r="D127" s="12" t="s">
        <v>849</v>
      </c>
      <c r="E127" s="12" t="s">
        <v>848</v>
      </c>
      <c r="F127" s="10" t="s">
        <v>82</v>
      </c>
      <c r="G127" s="10" t="s">
        <v>470</v>
      </c>
      <c r="H127" s="10" t="s">
        <v>338</v>
      </c>
      <c r="I127" s="3" t="s">
        <v>847</v>
      </c>
      <c r="J127" s="22">
        <v>46139</v>
      </c>
      <c r="K127" s="28" t="s">
        <v>82</v>
      </c>
      <c r="L127" s="10" t="s">
        <v>28</v>
      </c>
      <c r="M127" s="10" t="s">
        <v>20</v>
      </c>
      <c r="N127" s="5">
        <v>0</v>
      </c>
      <c r="O127" s="11">
        <v>10000</v>
      </c>
      <c r="P127" s="11">
        <f>O127</f>
        <v>10000</v>
      </c>
      <c r="Q127" s="11">
        <f t="shared" si="3"/>
        <v>0</v>
      </c>
      <c r="R127" s="11">
        <v>10000</v>
      </c>
      <c r="S127" s="11">
        <f t="shared" si="4"/>
        <v>0</v>
      </c>
      <c r="T127" s="11">
        <v>0</v>
      </c>
      <c r="U127" s="5" t="s">
        <v>7</v>
      </c>
      <c r="V127" s="4">
        <v>46139</v>
      </c>
      <c r="W127" s="3" t="s">
        <v>6</v>
      </c>
      <c r="X127" s="3"/>
      <c r="Y127" s="3"/>
      <c r="Z127" s="3"/>
      <c r="AA127" s="3"/>
      <c r="AB127" s="3" t="str">
        <f t="shared" si="5"/>
        <v>Paid</v>
      </c>
      <c r="AC127" s="3"/>
    </row>
    <row r="128" spans="1:57" x14ac:dyDescent="0.25">
      <c r="A128" s="7" t="s">
        <v>5</v>
      </c>
      <c r="B128" s="3" t="s">
        <v>846</v>
      </c>
      <c r="C128" s="10" t="e">
        <f>VLOOKUP(B128,'[1]MAY MONTH'!$B:$C,2,0)</f>
        <v>#N/A</v>
      </c>
      <c r="D128" s="3" t="s">
        <v>845</v>
      </c>
      <c r="E128" s="3" t="s">
        <v>844</v>
      </c>
      <c r="F128" s="10" t="s">
        <v>82</v>
      </c>
      <c r="G128" s="3" t="s">
        <v>62</v>
      </c>
      <c r="H128" s="3" t="s">
        <v>1475</v>
      </c>
      <c r="I128" s="3" t="s">
        <v>89</v>
      </c>
      <c r="J128" s="22">
        <v>46139</v>
      </c>
      <c r="K128" s="28" t="s">
        <v>82</v>
      </c>
      <c r="L128" s="3" t="s">
        <v>1</v>
      </c>
      <c r="M128" s="10" t="s">
        <v>20</v>
      </c>
      <c r="N128" s="5">
        <v>0</v>
      </c>
      <c r="O128" s="11">
        <v>10000</v>
      </c>
      <c r="P128" s="11">
        <f>O128</f>
        <v>10000</v>
      </c>
      <c r="Q128" s="11">
        <f t="shared" si="3"/>
        <v>0</v>
      </c>
      <c r="R128" s="11">
        <v>10000</v>
      </c>
      <c r="S128" s="11">
        <f t="shared" si="4"/>
        <v>0</v>
      </c>
      <c r="T128" s="11">
        <v>0</v>
      </c>
      <c r="U128" s="5" t="s">
        <v>7</v>
      </c>
      <c r="V128" s="4">
        <v>46139</v>
      </c>
      <c r="W128" s="3" t="s">
        <v>6</v>
      </c>
      <c r="X128" s="3"/>
      <c r="Y128" s="3"/>
      <c r="Z128" s="3"/>
      <c r="AA128" s="3"/>
      <c r="AB128" s="3" t="str">
        <f t="shared" si="5"/>
        <v>Paid</v>
      </c>
      <c r="AC128" s="3"/>
    </row>
    <row r="129" spans="1:30" s="16" customFormat="1" x14ac:dyDescent="0.25">
      <c r="A129" s="7" t="s">
        <v>5</v>
      </c>
      <c r="B129" s="7" t="s">
        <v>843</v>
      </c>
      <c r="C129" s="10" t="e">
        <f>VLOOKUP(B129,'[1]MAY MONTH'!$B:$C,2,0)</f>
        <v>#N/A</v>
      </c>
      <c r="D129" s="7" t="s">
        <v>842</v>
      </c>
      <c r="E129" s="7" t="s">
        <v>841</v>
      </c>
      <c r="F129" s="10" t="s">
        <v>4</v>
      </c>
      <c r="G129" s="7" t="s">
        <v>840</v>
      </c>
      <c r="H129" s="7" t="s">
        <v>839</v>
      </c>
      <c r="I129" s="7" t="s">
        <v>169</v>
      </c>
      <c r="J129" s="9">
        <v>46137</v>
      </c>
      <c r="K129" s="22" t="s">
        <v>215</v>
      </c>
      <c r="L129" s="7" t="s">
        <v>35</v>
      </c>
      <c r="M129" s="11" t="s">
        <v>0</v>
      </c>
      <c r="N129" s="6">
        <v>0</v>
      </c>
      <c r="O129" s="6">
        <v>1092</v>
      </c>
      <c r="P129" s="6">
        <v>2592</v>
      </c>
      <c r="Q129" s="11">
        <f t="shared" si="3"/>
        <v>1500</v>
      </c>
      <c r="R129" s="11">
        <v>10000</v>
      </c>
      <c r="S129" s="11">
        <f t="shared" si="4"/>
        <v>8908</v>
      </c>
      <c r="T129" s="11">
        <v>0</v>
      </c>
      <c r="U129" s="6" t="s">
        <v>7</v>
      </c>
      <c r="V129" s="4">
        <v>46140</v>
      </c>
      <c r="W129" s="17" t="s">
        <v>6</v>
      </c>
      <c r="X129" s="17"/>
      <c r="Y129" s="6"/>
      <c r="Z129" s="17"/>
      <c r="AA129" s="17"/>
      <c r="AB129" s="3" t="str">
        <f t="shared" si="5"/>
        <v>Paid</v>
      </c>
      <c r="AC129" s="17"/>
      <c r="AD129" s="1"/>
    </row>
    <row r="130" spans="1:30" x14ac:dyDescent="0.25">
      <c r="A130" s="3" t="s">
        <v>5</v>
      </c>
      <c r="B130" s="10" t="s">
        <v>838</v>
      </c>
      <c r="C130" s="10" t="e">
        <f>VLOOKUP(B130,'[1]MAY MONTH'!$B:$C,2,0)</f>
        <v>#N/A</v>
      </c>
      <c r="D130" s="10" t="s">
        <v>837</v>
      </c>
      <c r="E130" s="10" t="s">
        <v>836</v>
      </c>
      <c r="F130" s="10" t="s">
        <v>82</v>
      </c>
      <c r="G130" s="10" t="s">
        <v>123</v>
      </c>
      <c r="H130" s="10" t="s">
        <v>338</v>
      </c>
      <c r="I130" s="10" t="s">
        <v>835</v>
      </c>
      <c r="J130" s="22">
        <v>46139</v>
      </c>
      <c r="K130" s="28" t="s">
        <v>82</v>
      </c>
      <c r="L130" s="3" t="s">
        <v>8</v>
      </c>
      <c r="M130" s="11" t="s">
        <v>8</v>
      </c>
      <c r="N130" s="5">
        <v>0</v>
      </c>
      <c r="O130" s="11">
        <v>10778</v>
      </c>
      <c r="P130" s="11">
        <f>O130</f>
        <v>10778</v>
      </c>
      <c r="Q130" s="11">
        <f t="shared" ref="Q130:Q193" si="6">P130-O130</f>
        <v>0</v>
      </c>
      <c r="R130" s="11">
        <v>10000</v>
      </c>
      <c r="S130" s="11">
        <f t="shared" ref="S130:S193" si="7">R130-O130</f>
        <v>-778</v>
      </c>
      <c r="T130" s="11">
        <f>VLOOKUP(B130,[2]Sheet1!$B:$J,9,0)</f>
        <v>778</v>
      </c>
      <c r="U130" s="11" t="s">
        <v>7</v>
      </c>
      <c r="V130" s="31">
        <v>46139</v>
      </c>
      <c r="W130" s="3" t="s">
        <v>6</v>
      </c>
      <c r="X130" s="3"/>
      <c r="Y130" s="11"/>
      <c r="Z130" s="3"/>
      <c r="AA130" s="3"/>
      <c r="AB130" s="3" t="str">
        <f t="shared" ref="AB130:AB193" si="8">IF(O130,"Paid","Unpaid")</f>
        <v>Paid</v>
      </c>
      <c r="AC130" s="3"/>
    </row>
    <row r="131" spans="1:30" x14ac:dyDescent="0.25">
      <c r="A131" s="7" t="s">
        <v>5</v>
      </c>
      <c r="B131" s="3" t="s">
        <v>834</v>
      </c>
      <c r="C131" s="10" t="e">
        <f>VLOOKUP(B131,'[1]MAY MONTH'!$B:$C,2,0)</f>
        <v>#N/A</v>
      </c>
      <c r="D131" s="3" t="s">
        <v>833</v>
      </c>
      <c r="E131" s="3" t="s">
        <v>832</v>
      </c>
      <c r="F131" s="10" t="s">
        <v>82</v>
      </c>
      <c r="G131" s="3" t="s">
        <v>831</v>
      </c>
      <c r="H131" s="3" t="s">
        <v>830</v>
      </c>
      <c r="I131" s="3" t="s">
        <v>829</v>
      </c>
      <c r="J131" s="13">
        <v>46141</v>
      </c>
      <c r="K131" s="28" t="s">
        <v>82</v>
      </c>
      <c r="L131" s="3" t="s">
        <v>35</v>
      </c>
      <c r="M131" s="10" t="s">
        <v>20</v>
      </c>
      <c r="N131" s="5">
        <v>0</v>
      </c>
      <c r="O131" s="11">
        <v>9500</v>
      </c>
      <c r="P131" s="11">
        <v>9800</v>
      </c>
      <c r="Q131" s="11">
        <f t="shared" si="6"/>
        <v>300</v>
      </c>
      <c r="R131" s="11">
        <v>10000</v>
      </c>
      <c r="S131" s="11">
        <f t="shared" si="7"/>
        <v>500</v>
      </c>
      <c r="T131" s="11">
        <v>0</v>
      </c>
      <c r="U131" s="5" t="s">
        <v>7</v>
      </c>
      <c r="V131" s="4">
        <v>46140</v>
      </c>
      <c r="W131" s="3" t="s">
        <v>6</v>
      </c>
      <c r="X131" s="3"/>
      <c r="Y131" s="3"/>
      <c r="Z131" s="3"/>
      <c r="AA131" s="3"/>
      <c r="AB131" s="3" t="str">
        <f t="shared" si="8"/>
        <v>Paid</v>
      </c>
      <c r="AC131" s="3"/>
    </row>
    <row r="132" spans="1:30" x14ac:dyDescent="0.25">
      <c r="A132" s="7" t="s">
        <v>5</v>
      </c>
      <c r="B132" s="7" t="s">
        <v>828</v>
      </c>
      <c r="C132" s="10" t="e">
        <f>VLOOKUP(B132,'[1]MAY MONTH'!$B:$C,2,0)</f>
        <v>#N/A</v>
      </c>
      <c r="D132" s="7" t="s">
        <v>827</v>
      </c>
      <c r="E132" s="7" t="s">
        <v>826</v>
      </c>
      <c r="F132" s="10" t="s">
        <v>4</v>
      </c>
      <c r="G132" s="7" t="s">
        <v>825</v>
      </c>
      <c r="H132" s="7" t="s">
        <v>824</v>
      </c>
      <c r="I132" s="7" t="s">
        <v>612</v>
      </c>
      <c r="J132" s="9">
        <v>46140</v>
      </c>
      <c r="K132" s="22" t="s">
        <v>215</v>
      </c>
      <c r="L132" s="7" t="s">
        <v>1</v>
      </c>
      <c r="M132" s="11" t="s">
        <v>0</v>
      </c>
      <c r="N132" s="5">
        <v>0</v>
      </c>
      <c r="O132" s="11">
        <v>2396</v>
      </c>
      <c r="P132" s="11">
        <v>4196</v>
      </c>
      <c r="Q132" s="11">
        <f t="shared" si="6"/>
        <v>1800</v>
      </c>
      <c r="R132" s="11">
        <v>10000</v>
      </c>
      <c r="S132" s="11">
        <f t="shared" si="7"/>
        <v>7604</v>
      </c>
      <c r="T132" s="11">
        <v>0</v>
      </c>
      <c r="U132" s="5" t="s">
        <v>7</v>
      </c>
      <c r="V132" s="4">
        <v>46140</v>
      </c>
      <c r="W132" s="3" t="s">
        <v>6</v>
      </c>
      <c r="X132" s="3"/>
      <c r="Y132" s="3"/>
      <c r="Z132" s="3"/>
      <c r="AA132" s="3"/>
      <c r="AB132" s="3" t="str">
        <f t="shared" si="8"/>
        <v>Paid</v>
      </c>
      <c r="AC132" s="3"/>
    </row>
    <row r="133" spans="1:30" x14ac:dyDescent="0.25">
      <c r="A133" s="7" t="s">
        <v>5</v>
      </c>
      <c r="B133" s="3" t="s">
        <v>823</v>
      </c>
      <c r="C133" s="10" t="e">
        <f>VLOOKUP(B133,'[1]MAY MONTH'!$B:$C,2,0)</f>
        <v>#N/A</v>
      </c>
      <c r="D133" s="3" t="s">
        <v>822</v>
      </c>
      <c r="E133" s="3" t="s">
        <v>821</v>
      </c>
      <c r="F133" s="10" t="s">
        <v>4</v>
      </c>
      <c r="G133" s="3" t="s">
        <v>745</v>
      </c>
      <c r="H133" s="3" t="s">
        <v>820</v>
      </c>
      <c r="I133" s="3" t="s">
        <v>622</v>
      </c>
      <c r="J133" s="13">
        <v>46141</v>
      </c>
      <c r="K133" s="26" t="s">
        <v>9</v>
      </c>
      <c r="L133" s="3" t="s">
        <v>35</v>
      </c>
      <c r="M133" s="10" t="s">
        <v>20</v>
      </c>
      <c r="N133" s="5">
        <v>0</v>
      </c>
      <c r="O133" s="11">
        <v>5888</v>
      </c>
      <c r="P133" s="11">
        <v>5888</v>
      </c>
      <c r="Q133" s="11">
        <f t="shared" si="6"/>
        <v>0</v>
      </c>
      <c r="R133" s="11">
        <v>10000</v>
      </c>
      <c r="S133" s="11">
        <f t="shared" si="7"/>
        <v>4112</v>
      </c>
      <c r="T133" s="11">
        <v>0</v>
      </c>
      <c r="U133" s="5" t="s">
        <v>7</v>
      </c>
      <c r="V133" s="4">
        <v>46141</v>
      </c>
      <c r="W133" s="3" t="s">
        <v>6</v>
      </c>
      <c r="X133" s="3"/>
      <c r="Y133" s="3"/>
      <c r="Z133" s="3"/>
      <c r="AA133" s="3"/>
      <c r="AB133" s="3" t="str">
        <f t="shared" si="8"/>
        <v>Paid</v>
      </c>
      <c r="AC133" s="3"/>
    </row>
    <row r="134" spans="1:30" x14ac:dyDescent="0.25">
      <c r="A134" s="7" t="s">
        <v>5</v>
      </c>
      <c r="B134" s="3" t="s">
        <v>819</v>
      </c>
      <c r="C134" s="10" t="e">
        <f>VLOOKUP(B134,'[1]MAY MONTH'!$B:$C,2,0)</f>
        <v>#N/A</v>
      </c>
      <c r="D134" s="3" t="s">
        <v>818</v>
      </c>
      <c r="E134" s="3" t="s">
        <v>817</v>
      </c>
      <c r="F134" s="10" t="s">
        <v>21</v>
      </c>
      <c r="G134" s="3" t="s">
        <v>816</v>
      </c>
      <c r="H134" s="3" t="s">
        <v>815</v>
      </c>
      <c r="I134" s="3" t="s">
        <v>36</v>
      </c>
      <c r="J134" s="13">
        <v>46141</v>
      </c>
      <c r="K134" s="22" t="s">
        <v>21</v>
      </c>
      <c r="L134" s="3" t="s">
        <v>1</v>
      </c>
      <c r="M134" s="10" t="s">
        <v>20</v>
      </c>
      <c r="N134" s="5">
        <v>0</v>
      </c>
      <c r="O134" s="11">
        <v>6500</v>
      </c>
      <c r="P134" s="11">
        <v>8644</v>
      </c>
      <c r="Q134" s="11">
        <f t="shared" si="6"/>
        <v>2144</v>
      </c>
      <c r="R134" s="11">
        <v>10000</v>
      </c>
      <c r="S134" s="11">
        <f t="shared" si="7"/>
        <v>3500</v>
      </c>
      <c r="T134" s="11">
        <v>0</v>
      </c>
      <c r="U134" s="5" t="s">
        <v>7</v>
      </c>
      <c r="V134" s="4">
        <v>46141</v>
      </c>
      <c r="W134" s="3" t="s">
        <v>6</v>
      </c>
      <c r="X134" s="3"/>
      <c r="Y134" s="3"/>
      <c r="Z134" s="3"/>
      <c r="AA134" s="3"/>
      <c r="AB134" s="3" t="str">
        <f t="shared" si="8"/>
        <v>Paid</v>
      </c>
      <c r="AC134" s="3"/>
    </row>
    <row r="135" spans="1:30" s="16" customFormat="1" x14ac:dyDescent="0.25">
      <c r="A135" s="7" t="s">
        <v>5</v>
      </c>
      <c r="B135" s="10" t="s">
        <v>814</v>
      </c>
      <c r="C135" s="10" t="e">
        <f>VLOOKUP(B135,'[1]MAY MONTH'!$B:$C,2,0)</f>
        <v>#N/A</v>
      </c>
      <c r="D135" s="10" t="s">
        <v>813</v>
      </c>
      <c r="E135" s="10" t="s">
        <v>812</v>
      </c>
      <c r="F135" s="10" t="s">
        <v>4</v>
      </c>
      <c r="G135" s="10" t="s">
        <v>145</v>
      </c>
      <c r="H135" s="10" t="s">
        <v>811</v>
      </c>
      <c r="I135" s="10" t="s">
        <v>110</v>
      </c>
      <c r="J135" s="22">
        <v>46141</v>
      </c>
      <c r="K135" s="10" t="s">
        <v>9</v>
      </c>
      <c r="L135" s="10" t="s">
        <v>35</v>
      </c>
      <c r="M135" s="10" t="s">
        <v>11</v>
      </c>
      <c r="N135" s="5">
        <v>0</v>
      </c>
      <c r="O135" s="11">
        <v>8968</v>
      </c>
      <c r="P135" s="11">
        <v>8968</v>
      </c>
      <c r="Q135" s="11">
        <f t="shared" si="6"/>
        <v>0</v>
      </c>
      <c r="R135" s="11">
        <v>10000</v>
      </c>
      <c r="S135" s="11">
        <f t="shared" si="7"/>
        <v>1032</v>
      </c>
      <c r="T135" s="11">
        <v>0</v>
      </c>
      <c r="U135" s="5" t="s">
        <v>7</v>
      </c>
      <c r="V135" s="4">
        <v>46141</v>
      </c>
      <c r="W135" s="3" t="s">
        <v>6</v>
      </c>
      <c r="X135" s="17"/>
      <c r="Y135" s="17"/>
      <c r="Z135" s="17"/>
      <c r="AA135" s="17"/>
      <c r="AB135" s="3" t="str">
        <f t="shared" si="8"/>
        <v>Paid</v>
      </c>
      <c r="AC135" s="17"/>
      <c r="AD135" s="1"/>
    </row>
    <row r="136" spans="1:30" s="16" customFormat="1" x14ac:dyDescent="0.25">
      <c r="A136" s="7" t="s">
        <v>5</v>
      </c>
      <c r="B136" s="10" t="s">
        <v>810</v>
      </c>
      <c r="C136" s="10" t="e">
        <f>VLOOKUP(B136,'[1]MAY MONTH'!$B:$C,2,0)</f>
        <v>#N/A</v>
      </c>
      <c r="D136" s="10" t="s">
        <v>809</v>
      </c>
      <c r="E136" s="10" t="s">
        <v>808</v>
      </c>
      <c r="F136" s="10" t="s">
        <v>4</v>
      </c>
      <c r="G136" s="10" t="s">
        <v>807</v>
      </c>
      <c r="H136" s="10" t="s">
        <v>806</v>
      </c>
      <c r="I136" s="10" t="s">
        <v>489</v>
      </c>
      <c r="J136" s="22">
        <v>46141</v>
      </c>
      <c r="K136" s="22" t="s">
        <v>215</v>
      </c>
      <c r="L136" s="10" t="s">
        <v>8</v>
      </c>
      <c r="M136" s="10" t="s">
        <v>11</v>
      </c>
      <c r="N136" s="5">
        <v>0</v>
      </c>
      <c r="O136" s="11">
        <v>10000</v>
      </c>
      <c r="P136" s="11">
        <f>O136</f>
        <v>10000</v>
      </c>
      <c r="Q136" s="11">
        <f t="shared" si="6"/>
        <v>0</v>
      </c>
      <c r="R136" s="11">
        <v>10000</v>
      </c>
      <c r="S136" s="11">
        <f t="shared" si="7"/>
        <v>0</v>
      </c>
      <c r="T136" s="11">
        <v>0</v>
      </c>
      <c r="U136" s="5" t="s">
        <v>7</v>
      </c>
      <c r="V136" s="4">
        <v>46141</v>
      </c>
      <c r="W136" s="3" t="s">
        <v>6</v>
      </c>
      <c r="X136" s="17"/>
      <c r="Y136" s="17"/>
      <c r="Z136" s="17"/>
      <c r="AA136" s="17"/>
      <c r="AB136" s="3" t="str">
        <f t="shared" si="8"/>
        <v>Paid</v>
      </c>
      <c r="AC136" s="17"/>
      <c r="AD136" s="1"/>
    </row>
    <row r="137" spans="1:30" s="16" customFormat="1" x14ac:dyDescent="0.25">
      <c r="A137" s="7" t="s">
        <v>5</v>
      </c>
      <c r="B137" s="3" t="s">
        <v>805</v>
      </c>
      <c r="C137" s="10" t="e">
        <f>VLOOKUP(B137,'[1]MAY MONTH'!$B:$C,2,0)</f>
        <v>#N/A</v>
      </c>
      <c r="D137" s="3" t="s">
        <v>804</v>
      </c>
      <c r="E137" s="3" t="s">
        <v>803</v>
      </c>
      <c r="F137" s="10" t="s">
        <v>4</v>
      </c>
      <c r="G137" s="3" t="s">
        <v>802</v>
      </c>
      <c r="H137" s="3" t="s">
        <v>801</v>
      </c>
      <c r="I137" s="3" t="s">
        <v>122</v>
      </c>
      <c r="J137" s="13">
        <v>46141</v>
      </c>
      <c r="K137" s="10" t="s">
        <v>9</v>
      </c>
      <c r="L137" s="3" t="s">
        <v>35</v>
      </c>
      <c r="M137" s="10" t="s">
        <v>11</v>
      </c>
      <c r="N137" s="5">
        <v>0</v>
      </c>
      <c r="O137" s="11">
        <v>5426</v>
      </c>
      <c r="P137" s="11">
        <v>5426</v>
      </c>
      <c r="Q137" s="11">
        <f t="shared" si="6"/>
        <v>0</v>
      </c>
      <c r="R137" s="11">
        <v>10000</v>
      </c>
      <c r="S137" s="11">
        <f t="shared" si="7"/>
        <v>4574</v>
      </c>
      <c r="T137" s="11">
        <v>0</v>
      </c>
      <c r="U137" s="5" t="s">
        <v>7</v>
      </c>
      <c r="V137" s="4">
        <v>46141</v>
      </c>
      <c r="W137" s="3" t="s">
        <v>6</v>
      </c>
      <c r="X137" s="17"/>
      <c r="Y137" s="17"/>
      <c r="Z137" s="17"/>
      <c r="AA137" s="17"/>
      <c r="AB137" s="3" t="str">
        <f t="shared" si="8"/>
        <v>Paid</v>
      </c>
      <c r="AC137" s="17"/>
      <c r="AD137" s="1"/>
    </row>
    <row r="138" spans="1:30" x14ac:dyDescent="0.25">
      <c r="A138" s="7" t="s">
        <v>5</v>
      </c>
      <c r="B138" s="8" t="s">
        <v>800</v>
      </c>
      <c r="C138" s="10" t="e">
        <f>VLOOKUP(B138,'[1]MAY MONTH'!$B:$C,2,0)</f>
        <v>#N/A</v>
      </c>
      <c r="D138" s="8" t="s">
        <v>799</v>
      </c>
      <c r="E138" s="8" t="s">
        <v>798</v>
      </c>
      <c r="F138" s="10" t="s">
        <v>4</v>
      </c>
      <c r="G138" s="8" t="s">
        <v>68</v>
      </c>
      <c r="H138" s="7" t="s">
        <v>797</v>
      </c>
      <c r="I138" s="8" t="s">
        <v>2</v>
      </c>
      <c r="J138" s="30">
        <v>46141</v>
      </c>
      <c r="K138" s="22" t="s">
        <v>215</v>
      </c>
      <c r="L138" s="8" t="s">
        <v>1</v>
      </c>
      <c r="M138" s="11" t="s">
        <v>0</v>
      </c>
      <c r="N138" s="5">
        <v>0</v>
      </c>
      <c r="O138" s="11">
        <v>6723.64</v>
      </c>
      <c r="P138" s="11">
        <v>7423</v>
      </c>
      <c r="Q138" s="11">
        <f t="shared" si="6"/>
        <v>699.35999999999967</v>
      </c>
      <c r="R138" s="11">
        <v>10000</v>
      </c>
      <c r="S138" s="11">
        <f t="shared" si="7"/>
        <v>3276.3599999999997</v>
      </c>
      <c r="T138" s="11">
        <v>0</v>
      </c>
      <c r="U138" s="5" t="s">
        <v>7</v>
      </c>
      <c r="V138" s="4">
        <v>46141</v>
      </c>
      <c r="W138" s="3" t="s">
        <v>6</v>
      </c>
      <c r="X138" s="3"/>
      <c r="Y138" s="11"/>
      <c r="Z138" s="3"/>
      <c r="AA138" s="3"/>
      <c r="AB138" s="3" t="str">
        <f t="shared" si="8"/>
        <v>Paid</v>
      </c>
      <c r="AC138" s="3"/>
    </row>
    <row r="139" spans="1:30" x14ac:dyDescent="0.25">
      <c r="A139" s="12" t="s">
        <v>5</v>
      </c>
      <c r="B139" s="12" t="s">
        <v>796</v>
      </c>
      <c r="C139" s="10" t="e">
        <f>VLOOKUP(B139,'[1]MAY MONTH'!$B:$C,2,0)</f>
        <v>#N/A</v>
      </c>
      <c r="D139" s="12" t="s">
        <v>795</v>
      </c>
      <c r="E139" s="12" t="s">
        <v>794</v>
      </c>
      <c r="F139" s="10" t="s">
        <v>21</v>
      </c>
      <c r="G139" s="12" t="s">
        <v>793</v>
      </c>
      <c r="H139" s="12" t="s">
        <v>792</v>
      </c>
      <c r="I139" s="12" t="s">
        <v>2</v>
      </c>
      <c r="J139" s="23">
        <v>46141</v>
      </c>
      <c r="K139" s="22" t="s">
        <v>21</v>
      </c>
      <c r="L139" s="12" t="s">
        <v>1</v>
      </c>
      <c r="M139" s="11" t="s">
        <v>0</v>
      </c>
      <c r="N139" s="11">
        <v>0</v>
      </c>
      <c r="O139" s="11">
        <f>4998+1800</f>
        <v>6798</v>
      </c>
      <c r="P139" s="11">
        <v>8198</v>
      </c>
      <c r="Q139" s="11">
        <f t="shared" si="6"/>
        <v>1400</v>
      </c>
      <c r="R139" s="11">
        <v>10000</v>
      </c>
      <c r="S139" s="11">
        <f t="shared" si="7"/>
        <v>3202</v>
      </c>
      <c r="T139" s="11">
        <v>0</v>
      </c>
      <c r="U139" s="11" t="s">
        <v>7</v>
      </c>
      <c r="V139" s="31">
        <v>46141</v>
      </c>
      <c r="W139" s="3" t="s">
        <v>6</v>
      </c>
      <c r="X139" s="3"/>
      <c r="Y139" s="3"/>
      <c r="Z139" s="3"/>
      <c r="AA139" s="3"/>
      <c r="AB139" s="3" t="str">
        <f t="shared" si="8"/>
        <v>Paid</v>
      </c>
      <c r="AC139" s="3"/>
    </row>
    <row r="140" spans="1:30" x14ac:dyDescent="0.25">
      <c r="A140" s="29" t="s">
        <v>5</v>
      </c>
      <c r="B140" s="25" t="s">
        <v>791</v>
      </c>
      <c r="C140" s="10" t="e">
        <f>VLOOKUP(B140,'[1]MAY MONTH'!$B:$C,2,0)</f>
        <v>#N/A</v>
      </c>
      <c r="D140" s="25" t="s">
        <v>790</v>
      </c>
      <c r="E140" s="25" t="s">
        <v>789</v>
      </c>
      <c r="F140" s="10" t="s">
        <v>4</v>
      </c>
      <c r="G140" s="25" t="s">
        <v>788</v>
      </c>
      <c r="H140" s="25" t="s">
        <v>787</v>
      </c>
      <c r="I140" s="25" t="s">
        <v>786</v>
      </c>
      <c r="J140" s="24">
        <v>46141</v>
      </c>
      <c r="K140" s="25" t="s">
        <v>215</v>
      </c>
      <c r="L140" s="25" t="s">
        <v>28</v>
      </c>
      <c r="M140" s="11" t="s">
        <v>0</v>
      </c>
      <c r="N140" s="5">
        <v>0</v>
      </c>
      <c r="O140" s="11">
        <v>5535</v>
      </c>
      <c r="P140" s="11">
        <v>6835</v>
      </c>
      <c r="Q140" s="11">
        <f t="shared" si="6"/>
        <v>1300</v>
      </c>
      <c r="R140" s="11">
        <v>10000</v>
      </c>
      <c r="S140" s="11">
        <f t="shared" si="7"/>
        <v>4465</v>
      </c>
      <c r="T140" s="11">
        <v>0</v>
      </c>
      <c r="U140" s="5" t="s">
        <v>7</v>
      </c>
      <c r="V140" s="4">
        <v>46141</v>
      </c>
      <c r="W140" s="3" t="s">
        <v>6</v>
      </c>
      <c r="X140" s="3"/>
      <c r="Y140" s="3"/>
      <c r="Z140" s="3"/>
      <c r="AA140" s="3"/>
      <c r="AB140" s="3" t="str">
        <f t="shared" si="8"/>
        <v>Paid</v>
      </c>
      <c r="AC140" s="3"/>
    </row>
    <row r="141" spans="1:30" x14ac:dyDescent="0.25">
      <c r="A141" s="29" t="s">
        <v>5</v>
      </c>
      <c r="B141" s="25" t="s">
        <v>785</v>
      </c>
      <c r="C141" s="10" t="e">
        <f>VLOOKUP(B141,'[1]MAY MONTH'!$B:$C,2,0)</f>
        <v>#N/A</v>
      </c>
      <c r="D141" s="25" t="s">
        <v>784</v>
      </c>
      <c r="E141" s="25" t="s">
        <v>783</v>
      </c>
      <c r="F141" s="10" t="s">
        <v>4</v>
      </c>
      <c r="G141" s="25" t="s">
        <v>782</v>
      </c>
      <c r="H141" s="25" t="s">
        <v>1470</v>
      </c>
      <c r="I141" s="25" t="s">
        <v>453</v>
      </c>
      <c r="J141" s="24">
        <v>46141</v>
      </c>
      <c r="K141" s="25" t="s">
        <v>9</v>
      </c>
      <c r="L141" s="25" t="s">
        <v>35</v>
      </c>
      <c r="M141" s="11" t="s">
        <v>0</v>
      </c>
      <c r="N141" s="5">
        <v>0</v>
      </c>
      <c r="O141" s="11">
        <v>7080</v>
      </c>
      <c r="P141" s="11">
        <f>O141</f>
        <v>7080</v>
      </c>
      <c r="Q141" s="11">
        <f t="shared" si="6"/>
        <v>0</v>
      </c>
      <c r="R141" s="11">
        <v>10000</v>
      </c>
      <c r="S141" s="11">
        <f t="shared" si="7"/>
        <v>2920</v>
      </c>
      <c r="T141" s="11">
        <v>0</v>
      </c>
      <c r="U141" s="5" t="s">
        <v>7</v>
      </c>
      <c r="V141" s="4">
        <v>46141</v>
      </c>
      <c r="W141" s="3" t="s">
        <v>6</v>
      </c>
      <c r="X141" s="3"/>
      <c r="Y141" s="3"/>
      <c r="Z141" s="3"/>
      <c r="AA141" s="3"/>
      <c r="AB141" s="3" t="str">
        <f t="shared" si="8"/>
        <v>Paid</v>
      </c>
      <c r="AC141" s="3"/>
    </row>
    <row r="142" spans="1:30" x14ac:dyDescent="0.25">
      <c r="A142" s="3" t="s">
        <v>5</v>
      </c>
      <c r="B142" s="3" t="s">
        <v>781</v>
      </c>
      <c r="C142" s="10" t="e">
        <f>VLOOKUP(B142,'[1]MAY MONTH'!$B:$C,2,0)</f>
        <v>#N/A</v>
      </c>
      <c r="D142" s="3" t="s">
        <v>780</v>
      </c>
      <c r="E142" s="3" t="s">
        <v>779</v>
      </c>
      <c r="F142" s="10" t="s">
        <v>4</v>
      </c>
      <c r="G142" s="3" t="s">
        <v>181</v>
      </c>
      <c r="H142" s="3" t="s">
        <v>1471</v>
      </c>
      <c r="I142" s="3" t="s">
        <v>778</v>
      </c>
      <c r="J142" s="22">
        <v>46141</v>
      </c>
      <c r="K142" s="3" t="s">
        <v>215</v>
      </c>
      <c r="L142" s="3" t="s">
        <v>35</v>
      </c>
      <c r="M142" s="3" t="s">
        <v>35</v>
      </c>
      <c r="N142" s="5">
        <v>0</v>
      </c>
      <c r="O142" s="5">
        <v>9776</v>
      </c>
      <c r="P142" s="11">
        <f>O142</f>
        <v>9776</v>
      </c>
      <c r="Q142" s="11">
        <f t="shared" si="6"/>
        <v>0</v>
      </c>
      <c r="R142" s="11">
        <v>10000</v>
      </c>
      <c r="S142" s="11">
        <f t="shared" si="7"/>
        <v>224</v>
      </c>
      <c r="T142" s="11">
        <v>0</v>
      </c>
      <c r="U142" s="5" t="s">
        <v>7</v>
      </c>
      <c r="V142" s="4">
        <v>46141</v>
      </c>
      <c r="W142" s="3" t="s">
        <v>6</v>
      </c>
      <c r="X142" s="3"/>
      <c r="Y142" s="3"/>
      <c r="Z142" s="3"/>
      <c r="AA142" s="3"/>
      <c r="AB142" s="3" t="str">
        <f t="shared" si="8"/>
        <v>Paid</v>
      </c>
      <c r="AC142" s="3"/>
    </row>
    <row r="143" spans="1:30" x14ac:dyDescent="0.25">
      <c r="A143" s="3" t="s">
        <v>5</v>
      </c>
      <c r="B143" s="12" t="s">
        <v>777</v>
      </c>
      <c r="C143" s="10" t="e">
        <f>VLOOKUP(B143,'[1]MAY MONTH'!$B:$C,2,0)</f>
        <v>#N/A</v>
      </c>
      <c r="D143" s="12" t="s">
        <v>776</v>
      </c>
      <c r="E143" s="12" t="s">
        <v>775</v>
      </c>
      <c r="F143" s="10" t="s">
        <v>4</v>
      </c>
      <c r="G143" s="10" t="s">
        <v>774</v>
      </c>
      <c r="H143" s="10" t="s">
        <v>773</v>
      </c>
      <c r="I143" s="10" t="s">
        <v>29</v>
      </c>
      <c r="J143" s="22">
        <v>46138</v>
      </c>
      <c r="K143" s="10" t="s">
        <v>9</v>
      </c>
      <c r="L143" s="10" t="s">
        <v>28</v>
      </c>
      <c r="M143" s="10" t="s">
        <v>20</v>
      </c>
      <c r="N143" s="5">
        <v>0</v>
      </c>
      <c r="O143" s="27">
        <f>2*(899+899*5%)</f>
        <v>1887.9</v>
      </c>
      <c r="P143" s="27">
        <f>2*(899+899*5%)</f>
        <v>1887.9</v>
      </c>
      <c r="Q143" s="11">
        <f t="shared" si="6"/>
        <v>0</v>
      </c>
      <c r="R143" s="11">
        <v>10000</v>
      </c>
      <c r="S143" s="11">
        <f t="shared" si="7"/>
        <v>8112.1</v>
      </c>
      <c r="T143" s="11">
        <v>0</v>
      </c>
      <c r="U143" s="5" t="s">
        <v>7</v>
      </c>
      <c r="V143" s="4">
        <v>46142</v>
      </c>
      <c r="W143" s="3" t="s">
        <v>6</v>
      </c>
      <c r="X143" s="3"/>
      <c r="Y143" s="3"/>
      <c r="Z143" s="3"/>
      <c r="AA143" s="3"/>
      <c r="AB143" s="3" t="str">
        <f t="shared" si="8"/>
        <v>Paid</v>
      </c>
      <c r="AC143" s="3"/>
    </row>
    <row r="144" spans="1:30" x14ac:dyDescent="0.25">
      <c r="A144" s="7" t="s">
        <v>5</v>
      </c>
      <c r="B144" s="3" t="s">
        <v>772</v>
      </c>
      <c r="C144" s="10" t="e">
        <f>VLOOKUP(B144,'[1]MAY MONTH'!$B:$C,2,0)</f>
        <v>#N/A</v>
      </c>
      <c r="D144" s="3" t="s">
        <v>771</v>
      </c>
      <c r="E144" s="3" t="s">
        <v>770</v>
      </c>
      <c r="F144" s="10" t="s">
        <v>4</v>
      </c>
      <c r="G144" s="3" t="s">
        <v>769</v>
      </c>
      <c r="H144" s="3" t="s">
        <v>768</v>
      </c>
      <c r="I144" s="3" t="s">
        <v>169</v>
      </c>
      <c r="J144" s="13">
        <v>46141</v>
      </c>
      <c r="K144" s="22" t="s">
        <v>215</v>
      </c>
      <c r="L144" s="3" t="s">
        <v>35</v>
      </c>
      <c r="M144" s="10" t="s">
        <v>20</v>
      </c>
      <c r="N144" s="5">
        <v>0</v>
      </c>
      <c r="O144" s="11">
        <v>1886</v>
      </c>
      <c r="P144" s="11">
        <v>3886</v>
      </c>
      <c r="Q144" s="11">
        <f t="shared" si="6"/>
        <v>2000</v>
      </c>
      <c r="R144" s="11">
        <v>10000</v>
      </c>
      <c r="S144" s="11">
        <f t="shared" si="7"/>
        <v>8114</v>
      </c>
      <c r="T144" s="11">
        <v>0</v>
      </c>
      <c r="U144" s="5" t="s">
        <v>7</v>
      </c>
      <c r="V144" s="4">
        <v>46142</v>
      </c>
      <c r="W144" s="3" t="s">
        <v>6</v>
      </c>
      <c r="X144" s="3"/>
      <c r="Y144" s="3"/>
      <c r="Z144" s="3"/>
      <c r="AA144" s="3"/>
      <c r="AB144" s="3" t="str">
        <f t="shared" si="8"/>
        <v>Paid</v>
      </c>
      <c r="AC144" s="3"/>
    </row>
    <row r="145" spans="1:30" x14ac:dyDescent="0.25">
      <c r="A145" s="12" t="s">
        <v>5</v>
      </c>
      <c r="B145" s="12" t="s">
        <v>767</v>
      </c>
      <c r="C145" s="10" t="e">
        <f>VLOOKUP(B145,'[1]MAY MONTH'!$B:$C,2,0)</f>
        <v>#N/A</v>
      </c>
      <c r="D145" s="12" t="s">
        <v>766</v>
      </c>
      <c r="E145" s="12" t="s">
        <v>765</v>
      </c>
      <c r="F145" s="10" t="s">
        <v>4</v>
      </c>
      <c r="G145" s="10" t="s">
        <v>68</v>
      </c>
      <c r="H145" s="10" t="s">
        <v>1445</v>
      </c>
      <c r="I145" s="10" t="s">
        <v>566</v>
      </c>
      <c r="J145" s="22">
        <v>46142</v>
      </c>
      <c r="K145" s="10" t="s">
        <v>9</v>
      </c>
      <c r="L145" s="10" t="s">
        <v>1</v>
      </c>
      <c r="M145" s="11" t="s">
        <v>0</v>
      </c>
      <c r="N145" s="11">
        <v>0</v>
      </c>
      <c r="O145" s="11">
        <f>6723.64+1770</f>
        <v>8493.64</v>
      </c>
      <c r="P145" s="11">
        <f>6723.64+1770</f>
        <v>8493.64</v>
      </c>
      <c r="Q145" s="11">
        <f t="shared" si="6"/>
        <v>0</v>
      </c>
      <c r="R145" s="11">
        <v>10000</v>
      </c>
      <c r="S145" s="11">
        <f t="shared" si="7"/>
        <v>1506.3600000000006</v>
      </c>
      <c r="T145" s="11">
        <v>0</v>
      </c>
      <c r="U145" s="11" t="s">
        <v>7</v>
      </c>
      <c r="V145" s="31">
        <v>46138</v>
      </c>
      <c r="W145" s="3" t="s">
        <v>6</v>
      </c>
      <c r="X145" s="3"/>
      <c r="Y145" s="11"/>
      <c r="Z145" s="3"/>
      <c r="AA145" s="3"/>
      <c r="AB145" s="3" t="str">
        <f t="shared" si="8"/>
        <v>Paid</v>
      </c>
      <c r="AC145" s="3"/>
    </row>
    <row r="146" spans="1:30" x14ac:dyDescent="0.25">
      <c r="A146" s="3" t="s">
        <v>5</v>
      </c>
      <c r="B146" s="10" t="s">
        <v>764</v>
      </c>
      <c r="C146" s="10" t="e">
        <f>VLOOKUP(B146,'[1]MAY MONTH'!$B:$C,2,0)</f>
        <v>#N/A</v>
      </c>
      <c r="D146" s="10" t="s">
        <v>763</v>
      </c>
      <c r="E146" s="10" t="s">
        <v>762</v>
      </c>
      <c r="F146" s="10" t="s">
        <v>4</v>
      </c>
      <c r="G146" s="10" t="s">
        <v>761</v>
      </c>
      <c r="H146" s="10" t="s">
        <v>760</v>
      </c>
      <c r="I146" s="12" t="s">
        <v>759</v>
      </c>
      <c r="J146" s="22">
        <v>46136</v>
      </c>
      <c r="K146" s="22" t="s">
        <v>215</v>
      </c>
      <c r="L146" s="10" t="s">
        <v>1</v>
      </c>
      <c r="M146" s="10" t="s">
        <v>20</v>
      </c>
      <c r="N146" s="5">
        <v>0</v>
      </c>
      <c r="O146" s="27">
        <v>2703</v>
      </c>
      <c r="P146" s="27">
        <v>3903</v>
      </c>
      <c r="Q146" s="11">
        <f t="shared" si="6"/>
        <v>1200</v>
      </c>
      <c r="R146" s="11">
        <v>10000</v>
      </c>
      <c r="S146" s="11">
        <f t="shared" si="7"/>
        <v>7297</v>
      </c>
      <c r="T146" s="11">
        <v>0</v>
      </c>
      <c r="U146" s="5" t="s">
        <v>7</v>
      </c>
      <c r="V146" s="4">
        <v>46142</v>
      </c>
      <c r="W146" s="3" t="s">
        <v>6</v>
      </c>
      <c r="X146" s="3"/>
      <c r="Y146" s="3"/>
      <c r="Z146" s="3"/>
      <c r="AA146" s="3"/>
      <c r="AB146" s="3" t="str">
        <f t="shared" si="8"/>
        <v>Paid</v>
      </c>
      <c r="AC146" s="3"/>
    </row>
    <row r="147" spans="1:30" x14ac:dyDescent="0.25">
      <c r="A147" s="3" t="s">
        <v>19</v>
      </c>
      <c r="B147" s="3" t="s">
        <v>758</v>
      </c>
      <c r="C147" s="10" t="e">
        <f>VLOOKUP(B147,'[1]MAY MONTH'!$B:$C,2,0)</f>
        <v>#N/A</v>
      </c>
      <c r="D147" s="3" t="s">
        <v>757</v>
      </c>
      <c r="E147" s="3" t="s">
        <v>756</v>
      </c>
      <c r="F147" s="10" t="s">
        <v>4</v>
      </c>
      <c r="G147" s="3" t="s">
        <v>755</v>
      </c>
      <c r="H147" s="3" t="s">
        <v>754</v>
      </c>
      <c r="I147" s="3" t="s">
        <v>753</v>
      </c>
      <c r="J147" s="13">
        <v>46142</v>
      </c>
      <c r="K147" s="10" t="s">
        <v>9</v>
      </c>
      <c r="L147" s="3" t="s">
        <v>1</v>
      </c>
      <c r="M147" s="3" t="s">
        <v>20</v>
      </c>
      <c r="N147" s="5">
        <v>0</v>
      </c>
      <c r="O147" s="5">
        <v>19831</v>
      </c>
      <c r="P147" s="5">
        <v>21831</v>
      </c>
      <c r="Q147" s="11">
        <f t="shared" si="6"/>
        <v>2000</v>
      </c>
      <c r="R147" s="5">
        <v>22000</v>
      </c>
      <c r="S147" s="11">
        <f t="shared" si="7"/>
        <v>2169</v>
      </c>
      <c r="T147" s="11">
        <v>0</v>
      </c>
      <c r="U147" s="5" t="s">
        <v>7</v>
      </c>
      <c r="V147" s="4">
        <v>46142</v>
      </c>
      <c r="W147" s="3" t="s">
        <v>6</v>
      </c>
      <c r="X147" s="3"/>
      <c r="Y147" s="3"/>
      <c r="Z147" s="3"/>
      <c r="AA147" s="3"/>
      <c r="AB147" s="3" t="str">
        <f t="shared" si="8"/>
        <v>Paid</v>
      </c>
      <c r="AC147" s="3"/>
    </row>
    <row r="148" spans="1:30" x14ac:dyDescent="0.25">
      <c r="A148" s="3" t="s">
        <v>5</v>
      </c>
      <c r="B148" s="3" t="s">
        <v>752</v>
      </c>
      <c r="C148" s="10" t="e">
        <f>VLOOKUP(B148,'[1]MAY MONTH'!$B:$C,2,0)</f>
        <v>#N/A</v>
      </c>
      <c r="D148" s="3" t="s">
        <v>751</v>
      </c>
      <c r="E148" s="3" t="s">
        <v>750</v>
      </c>
      <c r="F148" s="10" t="s">
        <v>82</v>
      </c>
      <c r="G148" s="3" t="s">
        <v>289</v>
      </c>
      <c r="H148" s="3" t="s">
        <v>749</v>
      </c>
      <c r="I148" s="3" t="s">
        <v>479</v>
      </c>
      <c r="J148" s="13">
        <v>46142</v>
      </c>
      <c r="K148" s="28" t="s">
        <v>82</v>
      </c>
      <c r="L148" s="3" t="s">
        <v>28</v>
      </c>
      <c r="M148" s="11" t="s">
        <v>0</v>
      </c>
      <c r="N148" s="11">
        <v>0</v>
      </c>
      <c r="O148" s="11">
        <f>7780+1500</f>
        <v>9280</v>
      </c>
      <c r="P148" s="11">
        <v>9680</v>
      </c>
      <c r="Q148" s="11">
        <f t="shared" si="6"/>
        <v>400</v>
      </c>
      <c r="R148" s="11">
        <v>10000</v>
      </c>
      <c r="S148" s="11">
        <f t="shared" si="7"/>
        <v>720</v>
      </c>
      <c r="T148" s="11">
        <v>0</v>
      </c>
      <c r="U148" s="11" t="s">
        <v>7</v>
      </c>
      <c r="V148" s="31">
        <v>46141</v>
      </c>
      <c r="W148" s="3" t="s">
        <v>6</v>
      </c>
      <c r="X148" s="3"/>
      <c r="Y148" s="3"/>
      <c r="Z148" s="3"/>
      <c r="AA148" s="3"/>
      <c r="AB148" s="3" t="str">
        <f t="shared" si="8"/>
        <v>Paid</v>
      </c>
      <c r="AC148" s="3"/>
    </row>
    <row r="149" spans="1:30" x14ac:dyDescent="0.25">
      <c r="A149" s="3" t="s">
        <v>5</v>
      </c>
      <c r="B149" s="3" t="s">
        <v>748</v>
      </c>
      <c r="C149" s="10" t="e">
        <f>VLOOKUP(B149,'[1]MAY MONTH'!$B:$C,2,0)</f>
        <v>#N/A</v>
      </c>
      <c r="D149" s="3" t="s">
        <v>747</v>
      </c>
      <c r="E149" s="3" t="s">
        <v>746</v>
      </c>
      <c r="F149" s="10" t="s">
        <v>4</v>
      </c>
      <c r="G149" s="3" t="s">
        <v>745</v>
      </c>
      <c r="H149" s="3" t="s">
        <v>744</v>
      </c>
      <c r="I149" s="3" t="s">
        <v>743</v>
      </c>
      <c r="J149" s="13">
        <v>46142</v>
      </c>
      <c r="K149" s="3" t="s">
        <v>9</v>
      </c>
      <c r="L149" s="3" t="s">
        <v>35</v>
      </c>
      <c r="M149" s="10" t="s">
        <v>11</v>
      </c>
      <c r="N149" s="5">
        <v>0</v>
      </c>
      <c r="O149" s="5">
        <v>7358</v>
      </c>
      <c r="P149" s="5">
        <v>7858</v>
      </c>
      <c r="Q149" s="11">
        <f t="shared" si="6"/>
        <v>500</v>
      </c>
      <c r="R149" s="11">
        <v>10000</v>
      </c>
      <c r="S149" s="11">
        <f t="shared" si="7"/>
        <v>2642</v>
      </c>
      <c r="T149" s="11">
        <v>0</v>
      </c>
      <c r="U149" s="5" t="s">
        <v>7</v>
      </c>
      <c r="V149" s="4">
        <v>46142</v>
      </c>
      <c r="W149" s="3" t="s">
        <v>6</v>
      </c>
      <c r="X149" s="3"/>
      <c r="Y149" s="3"/>
      <c r="Z149" s="3"/>
      <c r="AA149" s="3"/>
      <c r="AB149" s="3" t="str">
        <f t="shared" si="8"/>
        <v>Paid</v>
      </c>
      <c r="AC149" s="3"/>
    </row>
    <row r="150" spans="1:30" x14ac:dyDescent="0.25">
      <c r="A150" s="3" t="s">
        <v>5</v>
      </c>
      <c r="B150" s="3" t="s">
        <v>742</v>
      </c>
      <c r="C150" s="10" t="e">
        <f>VLOOKUP(B150,'[1]MAY MONTH'!$B:$C,2,0)</f>
        <v>#N/A</v>
      </c>
      <c r="D150" s="3" t="s">
        <v>741</v>
      </c>
      <c r="E150" s="3" t="s">
        <v>740</v>
      </c>
      <c r="F150" s="10" t="s">
        <v>4</v>
      </c>
      <c r="G150" s="3" t="s">
        <v>739</v>
      </c>
      <c r="H150" s="3" t="s">
        <v>738</v>
      </c>
      <c r="I150" s="3" t="s">
        <v>666</v>
      </c>
      <c r="J150" s="13">
        <v>46142</v>
      </c>
      <c r="K150" s="22" t="s">
        <v>215</v>
      </c>
      <c r="L150" s="3" t="s">
        <v>35</v>
      </c>
      <c r="M150" s="10" t="s">
        <v>11</v>
      </c>
      <c r="N150" s="5">
        <v>0</v>
      </c>
      <c r="O150" s="5">
        <v>10000</v>
      </c>
      <c r="P150" s="11">
        <f>O150</f>
        <v>10000</v>
      </c>
      <c r="Q150" s="11">
        <f t="shared" si="6"/>
        <v>0</v>
      </c>
      <c r="R150" s="11">
        <v>10000</v>
      </c>
      <c r="S150" s="11">
        <f t="shared" si="7"/>
        <v>0</v>
      </c>
      <c r="T150" s="11">
        <v>0</v>
      </c>
      <c r="U150" s="5" t="s">
        <v>7</v>
      </c>
      <c r="V150" s="4">
        <v>46142</v>
      </c>
      <c r="W150" s="3" t="s">
        <v>6</v>
      </c>
      <c r="X150" s="3"/>
      <c r="Y150" s="3"/>
      <c r="Z150" s="3"/>
      <c r="AA150" s="3"/>
      <c r="AB150" s="3" t="str">
        <f t="shared" si="8"/>
        <v>Paid</v>
      </c>
      <c r="AC150" s="3"/>
    </row>
    <row r="151" spans="1:30" x14ac:dyDescent="0.25">
      <c r="A151" s="7" t="s">
        <v>5</v>
      </c>
      <c r="B151" s="3" t="s">
        <v>737</v>
      </c>
      <c r="C151" s="10" t="e">
        <f>VLOOKUP(B151,'[1]MAY MONTH'!$B:$C,2,0)</f>
        <v>#N/A</v>
      </c>
      <c r="D151" s="3" t="s">
        <v>736</v>
      </c>
      <c r="E151" s="3" t="s">
        <v>735</v>
      </c>
      <c r="F151" s="10" t="s">
        <v>4</v>
      </c>
      <c r="G151" s="3" t="s">
        <v>134</v>
      </c>
      <c r="H151" s="3" t="s">
        <v>734</v>
      </c>
      <c r="I151" s="3" t="s">
        <v>458</v>
      </c>
      <c r="J151" s="13">
        <v>46143</v>
      </c>
      <c r="K151" s="3" t="s">
        <v>215</v>
      </c>
      <c r="L151" s="3" t="s">
        <v>1</v>
      </c>
      <c r="M151" s="3" t="s">
        <v>1</v>
      </c>
      <c r="N151" s="5">
        <v>0</v>
      </c>
      <c r="O151" s="5">
        <v>10000</v>
      </c>
      <c r="P151" s="11">
        <f>O151</f>
        <v>10000</v>
      </c>
      <c r="Q151" s="11">
        <f t="shared" si="6"/>
        <v>0</v>
      </c>
      <c r="R151" s="11">
        <v>10000</v>
      </c>
      <c r="S151" s="11">
        <f t="shared" si="7"/>
        <v>0</v>
      </c>
      <c r="T151" s="11">
        <v>0</v>
      </c>
      <c r="U151" s="5" t="s">
        <v>7</v>
      </c>
      <c r="V151" s="4">
        <v>46142</v>
      </c>
      <c r="W151" s="3" t="s">
        <v>6</v>
      </c>
      <c r="X151" s="3"/>
      <c r="Y151" s="3"/>
      <c r="Z151" s="3"/>
      <c r="AA151" s="3"/>
      <c r="AB151" s="3" t="str">
        <f t="shared" si="8"/>
        <v>Paid</v>
      </c>
      <c r="AC151" s="3"/>
    </row>
    <row r="152" spans="1:30" s="16" customFormat="1" x14ac:dyDescent="0.25">
      <c r="A152" s="7" t="s">
        <v>5</v>
      </c>
      <c r="B152" s="8" t="s">
        <v>733</v>
      </c>
      <c r="C152" s="10" t="e">
        <f>VLOOKUP(B152,'[1]MAY MONTH'!$B:$C,2,0)</f>
        <v>#N/A</v>
      </c>
      <c r="D152" s="8" t="s">
        <v>732</v>
      </c>
      <c r="E152" s="8" t="s">
        <v>731</v>
      </c>
      <c r="F152" s="10" t="s">
        <v>4</v>
      </c>
      <c r="G152" s="8" t="s">
        <v>730</v>
      </c>
      <c r="H152" s="8" t="s">
        <v>1449</v>
      </c>
      <c r="I152" s="17" t="s">
        <v>729</v>
      </c>
      <c r="J152" s="30">
        <v>46142</v>
      </c>
      <c r="K152" s="17" t="s">
        <v>9</v>
      </c>
      <c r="L152" s="8" t="s">
        <v>1</v>
      </c>
      <c r="M152" s="11" t="s">
        <v>0</v>
      </c>
      <c r="N152" s="6">
        <v>4872</v>
      </c>
      <c r="O152" s="6">
        <f>180+2556</f>
        <v>2736</v>
      </c>
      <c r="P152" s="6">
        <v>4872</v>
      </c>
      <c r="Q152" s="11">
        <f t="shared" si="6"/>
        <v>2136</v>
      </c>
      <c r="R152" s="11">
        <v>10000</v>
      </c>
      <c r="S152" s="11">
        <f t="shared" si="7"/>
        <v>7264</v>
      </c>
      <c r="T152" s="11">
        <v>0</v>
      </c>
      <c r="U152" s="17" t="s">
        <v>7</v>
      </c>
      <c r="V152" s="18">
        <v>46143</v>
      </c>
      <c r="W152" s="3" t="s">
        <v>6</v>
      </c>
      <c r="X152" s="17"/>
      <c r="Y152" s="17"/>
      <c r="Z152" s="17"/>
      <c r="AA152" s="17"/>
      <c r="AB152" s="3" t="str">
        <f t="shared" si="8"/>
        <v>Paid</v>
      </c>
      <c r="AC152" s="17"/>
      <c r="AD152" s="1"/>
    </row>
    <row r="153" spans="1:30" s="16" customFormat="1" x14ac:dyDescent="0.25">
      <c r="A153" s="7" t="s">
        <v>5</v>
      </c>
      <c r="B153" s="8" t="s">
        <v>728</v>
      </c>
      <c r="C153" s="10" t="e">
        <f>VLOOKUP(B153,'[1]MAY MONTH'!$B:$C,2,0)</f>
        <v>#N/A</v>
      </c>
      <c r="D153" s="8" t="s">
        <v>727</v>
      </c>
      <c r="E153" s="8" t="s">
        <v>726</v>
      </c>
      <c r="F153" s="10" t="s">
        <v>4</v>
      </c>
      <c r="G153" s="8" t="s">
        <v>62</v>
      </c>
      <c r="H153" s="8" t="s">
        <v>1448</v>
      </c>
      <c r="I153" s="8" t="s">
        <v>725</v>
      </c>
      <c r="J153" s="30">
        <v>46142</v>
      </c>
      <c r="K153" s="17" t="s">
        <v>9</v>
      </c>
      <c r="L153" s="8" t="s">
        <v>1</v>
      </c>
      <c r="M153" s="11" t="s">
        <v>0</v>
      </c>
      <c r="N153" s="6">
        <v>10172</v>
      </c>
      <c r="O153" s="6">
        <f>525+8172</f>
        <v>8697</v>
      </c>
      <c r="P153" s="6">
        <v>10000</v>
      </c>
      <c r="Q153" s="11">
        <f t="shared" si="6"/>
        <v>1303</v>
      </c>
      <c r="R153" s="11">
        <v>10000</v>
      </c>
      <c r="S153" s="11">
        <f t="shared" si="7"/>
        <v>1303</v>
      </c>
      <c r="T153" s="11">
        <v>0</v>
      </c>
      <c r="U153" s="17" t="s">
        <v>7</v>
      </c>
      <c r="V153" s="18">
        <v>46143</v>
      </c>
      <c r="W153" s="3" t="s">
        <v>6</v>
      </c>
      <c r="X153" s="17"/>
      <c r="Y153" s="17"/>
      <c r="Z153" s="17"/>
      <c r="AA153" s="17"/>
      <c r="AB153" s="3" t="str">
        <f t="shared" si="8"/>
        <v>Paid</v>
      </c>
      <c r="AC153" s="17"/>
      <c r="AD153" s="1"/>
    </row>
    <row r="154" spans="1:30" x14ac:dyDescent="0.25">
      <c r="A154" s="7" t="s">
        <v>5</v>
      </c>
      <c r="B154" s="10" t="s">
        <v>724</v>
      </c>
      <c r="C154" s="10" t="e">
        <f>VLOOKUP(B154,'[1]MAY MONTH'!$B:$C,2,0)</f>
        <v>#N/A</v>
      </c>
      <c r="D154" s="10" t="s">
        <v>723</v>
      </c>
      <c r="E154" s="10" t="s">
        <v>722</v>
      </c>
      <c r="F154" s="10" t="s">
        <v>4</v>
      </c>
      <c r="G154" s="3" t="s">
        <v>62</v>
      </c>
      <c r="H154" s="12" t="s">
        <v>721</v>
      </c>
      <c r="I154" s="10" t="s">
        <v>397</v>
      </c>
      <c r="J154" s="22">
        <v>46142</v>
      </c>
      <c r="K154" s="26" t="s">
        <v>9</v>
      </c>
      <c r="L154" s="3" t="s">
        <v>1</v>
      </c>
      <c r="M154" s="5" t="s">
        <v>1</v>
      </c>
      <c r="N154" s="5">
        <v>7670</v>
      </c>
      <c r="O154" s="6">
        <f>200+5781</f>
        <v>5981</v>
      </c>
      <c r="P154" s="6">
        <v>7870</v>
      </c>
      <c r="Q154" s="11">
        <f t="shared" si="6"/>
        <v>1889</v>
      </c>
      <c r="R154" s="11">
        <v>10000</v>
      </c>
      <c r="S154" s="11">
        <f t="shared" si="7"/>
        <v>4019</v>
      </c>
      <c r="T154" s="11">
        <v>0</v>
      </c>
      <c r="U154" s="17" t="s">
        <v>7</v>
      </c>
      <c r="V154" s="18">
        <v>46143</v>
      </c>
      <c r="W154" s="3" t="s">
        <v>6</v>
      </c>
      <c r="X154" s="3"/>
      <c r="Y154" s="5"/>
      <c r="Z154" s="3"/>
      <c r="AA154" s="3"/>
      <c r="AB154" s="3" t="str">
        <f t="shared" si="8"/>
        <v>Paid</v>
      </c>
      <c r="AC154" s="3"/>
    </row>
    <row r="155" spans="1:30" x14ac:dyDescent="0.25">
      <c r="A155" s="3" t="s">
        <v>19</v>
      </c>
      <c r="B155" s="3" t="s">
        <v>720</v>
      </c>
      <c r="C155" s="10" t="e">
        <f>VLOOKUP(B155,'[1]MAY MONTH'!$B:$C,2,0)</f>
        <v>#N/A</v>
      </c>
      <c r="D155" s="3" t="s">
        <v>719</v>
      </c>
      <c r="E155" s="3" t="s">
        <v>718</v>
      </c>
      <c r="F155" s="3" t="s">
        <v>332</v>
      </c>
      <c r="G155" s="3" t="s">
        <v>717</v>
      </c>
      <c r="H155" s="3" t="s">
        <v>1473</v>
      </c>
      <c r="I155" s="3" t="s">
        <v>89</v>
      </c>
      <c r="J155" s="13">
        <v>46142</v>
      </c>
      <c r="K155" s="3" t="s">
        <v>332</v>
      </c>
      <c r="L155" s="3" t="s">
        <v>8</v>
      </c>
      <c r="M155" s="3" t="s">
        <v>20</v>
      </c>
      <c r="N155" s="5">
        <v>0</v>
      </c>
      <c r="O155" s="5">
        <v>17300</v>
      </c>
      <c r="P155" s="5">
        <v>19300</v>
      </c>
      <c r="Q155" s="11">
        <f t="shared" si="6"/>
        <v>2000</v>
      </c>
      <c r="R155" s="5">
        <v>22000</v>
      </c>
      <c r="S155" s="11">
        <f t="shared" si="7"/>
        <v>4700</v>
      </c>
      <c r="T155" s="11">
        <v>0</v>
      </c>
      <c r="U155" s="3" t="s">
        <v>7</v>
      </c>
      <c r="V155" s="18">
        <v>46142</v>
      </c>
      <c r="W155" s="3" t="s">
        <v>6</v>
      </c>
      <c r="X155" s="3"/>
      <c r="Y155" s="3"/>
      <c r="Z155" s="3"/>
      <c r="AA155" s="3"/>
      <c r="AB155" s="3" t="str">
        <f t="shared" si="8"/>
        <v>Paid</v>
      </c>
      <c r="AC155" s="3"/>
    </row>
    <row r="156" spans="1:30" s="16" customFormat="1" x14ac:dyDescent="0.25">
      <c r="A156" s="7" t="s">
        <v>5</v>
      </c>
      <c r="B156" s="8" t="s">
        <v>716</v>
      </c>
      <c r="C156" s="10" t="e">
        <f>VLOOKUP(B156,'[1]MAY MONTH'!$B:$C,2,0)</f>
        <v>#N/A</v>
      </c>
      <c r="D156" s="8" t="s">
        <v>715</v>
      </c>
      <c r="E156" s="8" t="s">
        <v>714</v>
      </c>
      <c r="F156" s="10" t="s">
        <v>4</v>
      </c>
      <c r="G156" s="8" t="s">
        <v>713</v>
      </c>
      <c r="H156" s="8" t="s">
        <v>1464</v>
      </c>
      <c r="I156" s="8" t="s">
        <v>666</v>
      </c>
      <c r="J156" s="55">
        <v>46142</v>
      </c>
      <c r="K156" s="22" t="s">
        <v>215</v>
      </c>
      <c r="L156" s="8" t="s">
        <v>35</v>
      </c>
      <c r="M156" s="11" t="s">
        <v>0</v>
      </c>
      <c r="N156" s="6">
        <v>0</v>
      </c>
      <c r="O156" s="6">
        <v>5140</v>
      </c>
      <c r="P156" s="6">
        <v>6340</v>
      </c>
      <c r="Q156" s="11">
        <f t="shared" si="6"/>
        <v>1200</v>
      </c>
      <c r="R156" s="11">
        <v>10000</v>
      </c>
      <c r="S156" s="11">
        <f t="shared" si="7"/>
        <v>4860</v>
      </c>
      <c r="T156" s="11">
        <v>0</v>
      </c>
      <c r="U156" s="17" t="s">
        <v>7</v>
      </c>
      <c r="V156" s="18">
        <v>46143</v>
      </c>
      <c r="W156" s="3" t="s">
        <v>6</v>
      </c>
      <c r="X156" s="17"/>
      <c r="Y156" s="17"/>
      <c r="Z156" s="17"/>
      <c r="AA156" s="17"/>
      <c r="AB156" s="3" t="str">
        <f t="shared" si="8"/>
        <v>Paid</v>
      </c>
      <c r="AC156" s="17"/>
      <c r="AD156" s="1"/>
    </row>
    <row r="157" spans="1:30" x14ac:dyDescent="0.25">
      <c r="A157" s="7" t="s">
        <v>5</v>
      </c>
      <c r="B157" s="3" t="s">
        <v>712</v>
      </c>
      <c r="C157" s="10" t="e">
        <f>VLOOKUP(B157,'[1]MAY MONTH'!$B:$C,2,0)</f>
        <v>#N/A</v>
      </c>
      <c r="D157" s="3" t="s">
        <v>711</v>
      </c>
      <c r="E157" s="3" t="s">
        <v>710</v>
      </c>
      <c r="F157" s="10" t="s">
        <v>21</v>
      </c>
      <c r="G157" s="3" t="s">
        <v>709</v>
      </c>
      <c r="H157" s="3" t="s">
        <v>708</v>
      </c>
      <c r="I157" s="3" t="s">
        <v>36</v>
      </c>
      <c r="J157" s="13">
        <v>46143</v>
      </c>
      <c r="K157" s="22" t="s">
        <v>21</v>
      </c>
      <c r="L157" s="3" t="s">
        <v>1</v>
      </c>
      <c r="M157" s="3" t="s">
        <v>1</v>
      </c>
      <c r="N157" s="5">
        <v>0</v>
      </c>
      <c r="O157" s="5">
        <v>7060</v>
      </c>
      <c r="P157" s="5">
        <v>8360</v>
      </c>
      <c r="Q157" s="11">
        <f t="shared" si="6"/>
        <v>1300</v>
      </c>
      <c r="R157" s="11">
        <v>10000</v>
      </c>
      <c r="S157" s="11">
        <f t="shared" si="7"/>
        <v>2940</v>
      </c>
      <c r="T157" s="11">
        <v>0</v>
      </c>
      <c r="U157" s="17" t="s">
        <v>7</v>
      </c>
      <c r="V157" s="18">
        <v>46143</v>
      </c>
      <c r="W157" s="3" t="s">
        <v>6</v>
      </c>
      <c r="X157" s="3"/>
      <c r="Y157" s="3"/>
      <c r="Z157" s="3"/>
      <c r="AA157" s="3"/>
      <c r="AB157" s="3" t="str">
        <f t="shared" si="8"/>
        <v>Paid</v>
      </c>
      <c r="AC157" s="3"/>
    </row>
    <row r="158" spans="1:30" x14ac:dyDescent="0.25">
      <c r="A158" s="29" t="s">
        <v>5</v>
      </c>
      <c r="B158" s="3" t="s">
        <v>707</v>
      </c>
      <c r="C158" s="10" t="e">
        <f>VLOOKUP(B158,'[1]MAY MONTH'!$B:$C,2,0)</f>
        <v>#N/A</v>
      </c>
      <c r="D158" s="3" t="s">
        <v>706</v>
      </c>
      <c r="E158" s="3" t="s">
        <v>705</v>
      </c>
      <c r="F158" s="10" t="s">
        <v>4</v>
      </c>
      <c r="G158" s="3" t="s">
        <v>704</v>
      </c>
      <c r="H158" s="3" t="s">
        <v>703</v>
      </c>
      <c r="I158" s="3" t="s">
        <v>204</v>
      </c>
      <c r="J158" s="13">
        <v>46141</v>
      </c>
      <c r="K158" s="22" t="s">
        <v>215</v>
      </c>
      <c r="L158" s="3" t="s">
        <v>35</v>
      </c>
      <c r="M158" s="10" t="s">
        <v>20</v>
      </c>
      <c r="N158" s="5">
        <v>0</v>
      </c>
      <c r="O158" s="11">
        <v>2245</v>
      </c>
      <c r="P158" s="11">
        <v>4245</v>
      </c>
      <c r="Q158" s="11">
        <f t="shared" si="6"/>
        <v>2000</v>
      </c>
      <c r="R158" s="11">
        <v>10000</v>
      </c>
      <c r="S158" s="11">
        <f t="shared" si="7"/>
        <v>7755</v>
      </c>
      <c r="T158" s="11">
        <v>0</v>
      </c>
      <c r="U158" s="3" t="s">
        <v>7</v>
      </c>
      <c r="V158" s="18">
        <v>46153</v>
      </c>
      <c r="W158" s="3" t="s">
        <v>6</v>
      </c>
      <c r="X158" s="3"/>
      <c r="Y158" s="3"/>
      <c r="Z158" s="3"/>
      <c r="AA158" s="3"/>
      <c r="AB158" s="3" t="str">
        <f t="shared" si="8"/>
        <v>Paid</v>
      </c>
      <c r="AC158" s="3"/>
    </row>
    <row r="159" spans="1:30" x14ac:dyDescent="0.25">
      <c r="A159" s="7" t="s">
        <v>5</v>
      </c>
      <c r="B159" s="3" t="s">
        <v>702</v>
      </c>
      <c r="C159" s="10" t="e">
        <f>VLOOKUP(B159,'[1]MAY MONTH'!$B:$C,2,0)</f>
        <v>#N/A</v>
      </c>
      <c r="D159" s="3" t="s">
        <v>701</v>
      </c>
      <c r="E159" s="3" t="s">
        <v>700</v>
      </c>
      <c r="F159" s="10" t="s">
        <v>4</v>
      </c>
      <c r="G159" s="3" t="s">
        <v>440</v>
      </c>
      <c r="H159" s="3" t="s">
        <v>439</v>
      </c>
      <c r="I159" s="3" t="s">
        <v>612</v>
      </c>
      <c r="J159" s="13">
        <v>46142</v>
      </c>
      <c r="K159" s="22" t="s">
        <v>215</v>
      </c>
      <c r="L159" s="3" t="s">
        <v>1</v>
      </c>
      <c r="M159" s="10" t="s">
        <v>20</v>
      </c>
      <c r="N159" s="5">
        <v>0</v>
      </c>
      <c r="O159" s="5">
        <v>6582</v>
      </c>
      <c r="P159" s="5">
        <v>7182</v>
      </c>
      <c r="Q159" s="11">
        <f t="shared" si="6"/>
        <v>600</v>
      </c>
      <c r="R159" s="11">
        <v>10000</v>
      </c>
      <c r="S159" s="11">
        <f t="shared" si="7"/>
        <v>3418</v>
      </c>
      <c r="T159" s="11">
        <v>0</v>
      </c>
      <c r="U159" s="17" t="s">
        <v>7</v>
      </c>
      <c r="V159" s="18">
        <v>46143</v>
      </c>
      <c r="W159" s="3" t="s">
        <v>6</v>
      </c>
      <c r="X159" s="3"/>
      <c r="Y159" s="3"/>
      <c r="Z159" s="3"/>
      <c r="AA159" s="3"/>
      <c r="AB159" s="3" t="str">
        <f t="shared" si="8"/>
        <v>Paid</v>
      </c>
      <c r="AC159" s="3"/>
    </row>
    <row r="160" spans="1:30" x14ac:dyDescent="0.25">
      <c r="A160" s="7" t="s">
        <v>5</v>
      </c>
      <c r="B160" s="12" t="s">
        <v>699</v>
      </c>
      <c r="C160" s="10" t="e">
        <f>VLOOKUP(B160,'[1]MAY MONTH'!$B:$C,2,0)</f>
        <v>#N/A</v>
      </c>
      <c r="D160" s="12" t="s">
        <v>698</v>
      </c>
      <c r="E160" s="12" t="s">
        <v>697</v>
      </c>
      <c r="F160" s="10" t="s">
        <v>4</v>
      </c>
      <c r="G160" s="12" t="s">
        <v>696</v>
      </c>
      <c r="H160" s="12" t="s">
        <v>1446</v>
      </c>
      <c r="I160" s="12" t="s">
        <v>695</v>
      </c>
      <c r="J160" s="23">
        <v>46143</v>
      </c>
      <c r="K160" s="10" t="s">
        <v>9</v>
      </c>
      <c r="L160" s="25" t="s">
        <v>1</v>
      </c>
      <c r="M160" s="11" t="s">
        <v>0</v>
      </c>
      <c r="N160" s="5">
        <v>0</v>
      </c>
      <c r="O160" s="5">
        <v>5340</v>
      </c>
      <c r="P160" s="5">
        <v>5940</v>
      </c>
      <c r="Q160" s="11">
        <f t="shared" si="6"/>
        <v>600</v>
      </c>
      <c r="R160" s="11">
        <v>10000</v>
      </c>
      <c r="S160" s="11">
        <f t="shared" si="7"/>
        <v>4660</v>
      </c>
      <c r="T160" s="11">
        <v>0</v>
      </c>
      <c r="U160" s="17" t="s">
        <v>7</v>
      </c>
      <c r="V160" s="18">
        <v>46143</v>
      </c>
      <c r="W160" s="3" t="s">
        <v>6</v>
      </c>
      <c r="X160" s="3"/>
      <c r="Y160" s="3"/>
      <c r="Z160" s="3"/>
      <c r="AA160" s="3"/>
      <c r="AB160" s="3" t="str">
        <f t="shared" si="8"/>
        <v>Paid</v>
      </c>
      <c r="AC160" s="3"/>
    </row>
    <row r="161" spans="1:29" x14ac:dyDescent="0.25">
      <c r="A161" s="7" t="s">
        <v>5</v>
      </c>
      <c r="B161" s="3" t="s">
        <v>694</v>
      </c>
      <c r="C161" s="10" t="e">
        <f>VLOOKUP(B161,'[1]MAY MONTH'!$B:$C,2,0)</f>
        <v>#N/A</v>
      </c>
      <c r="D161" s="3" t="s">
        <v>693</v>
      </c>
      <c r="E161" s="3" t="s">
        <v>692</v>
      </c>
      <c r="F161" s="10" t="s">
        <v>82</v>
      </c>
      <c r="G161" s="3" t="s">
        <v>691</v>
      </c>
      <c r="H161" s="3" t="s">
        <v>690</v>
      </c>
      <c r="I161" s="3" t="s">
        <v>122</v>
      </c>
      <c r="J161" s="23">
        <v>46144</v>
      </c>
      <c r="K161" s="28" t="s">
        <v>82</v>
      </c>
      <c r="L161" s="3" t="s">
        <v>8</v>
      </c>
      <c r="M161" s="3" t="s">
        <v>8</v>
      </c>
      <c r="N161" s="5">
        <v>0</v>
      </c>
      <c r="O161" s="5">
        <v>10000</v>
      </c>
      <c r="P161" s="11">
        <f>O161</f>
        <v>10000</v>
      </c>
      <c r="Q161" s="11">
        <f t="shared" si="6"/>
        <v>0</v>
      </c>
      <c r="R161" s="11">
        <v>10000</v>
      </c>
      <c r="S161" s="11">
        <f t="shared" si="7"/>
        <v>0</v>
      </c>
      <c r="T161" s="11">
        <v>0</v>
      </c>
      <c r="U161" s="17" t="s">
        <v>7</v>
      </c>
      <c r="V161" s="18">
        <v>46143</v>
      </c>
      <c r="W161" s="3" t="s">
        <v>6</v>
      </c>
      <c r="X161" s="3"/>
      <c r="Y161" s="3"/>
      <c r="Z161" s="3"/>
      <c r="AA161" s="3"/>
      <c r="AB161" s="3" t="str">
        <f t="shared" si="8"/>
        <v>Paid</v>
      </c>
      <c r="AC161" s="3"/>
    </row>
    <row r="162" spans="1:29" x14ac:dyDescent="0.25">
      <c r="A162" s="7" t="s">
        <v>5</v>
      </c>
      <c r="B162" s="3" t="s">
        <v>689</v>
      </c>
      <c r="C162" s="10" t="e">
        <f>VLOOKUP(B162,'[1]MAY MONTH'!$B:$C,2,0)</f>
        <v>#N/A</v>
      </c>
      <c r="D162" s="3" t="s">
        <v>688</v>
      </c>
      <c r="E162" s="3" t="s">
        <v>687</v>
      </c>
      <c r="F162" s="10" t="s">
        <v>82</v>
      </c>
      <c r="G162" s="3" t="s">
        <v>686</v>
      </c>
      <c r="H162" s="3" t="s">
        <v>685</v>
      </c>
      <c r="I162" s="3" t="s">
        <v>122</v>
      </c>
      <c r="J162" s="23">
        <v>46145</v>
      </c>
      <c r="K162" s="28" t="s">
        <v>82</v>
      </c>
      <c r="L162" s="3" t="s">
        <v>8</v>
      </c>
      <c r="M162" s="3" t="s">
        <v>8</v>
      </c>
      <c r="N162" s="5">
        <v>0</v>
      </c>
      <c r="O162" s="5">
        <v>10000</v>
      </c>
      <c r="P162" s="11">
        <f>O162</f>
        <v>10000</v>
      </c>
      <c r="Q162" s="11">
        <f t="shared" si="6"/>
        <v>0</v>
      </c>
      <c r="R162" s="11">
        <v>10000</v>
      </c>
      <c r="S162" s="11">
        <f t="shared" si="7"/>
        <v>0</v>
      </c>
      <c r="T162" s="11">
        <v>0</v>
      </c>
      <c r="U162" s="17" t="s">
        <v>7</v>
      </c>
      <c r="V162" s="18">
        <v>46143</v>
      </c>
      <c r="W162" s="3" t="s">
        <v>6</v>
      </c>
      <c r="X162" s="3"/>
      <c r="Y162" s="3"/>
      <c r="Z162" s="3"/>
      <c r="AA162" s="3"/>
      <c r="AB162" s="3" t="str">
        <f t="shared" si="8"/>
        <v>Paid</v>
      </c>
      <c r="AC162" s="3"/>
    </row>
    <row r="163" spans="1:29" x14ac:dyDescent="0.25">
      <c r="A163" s="7" t="s">
        <v>5</v>
      </c>
      <c r="B163" s="3" t="s">
        <v>684</v>
      </c>
      <c r="C163" s="10" t="e">
        <f>VLOOKUP(B163,'[1]MAY MONTH'!$B:$C,2,0)</f>
        <v>#N/A</v>
      </c>
      <c r="D163" s="3" t="s">
        <v>683</v>
      </c>
      <c r="E163" s="3" t="s">
        <v>682</v>
      </c>
      <c r="F163" s="10" t="s">
        <v>21</v>
      </c>
      <c r="G163" s="3" t="s">
        <v>681</v>
      </c>
      <c r="H163" s="3" t="s">
        <v>680</v>
      </c>
      <c r="I163" s="3" t="s">
        <v>36</v>
      </c>
      <c r="J163" s="23">
        <v>46143</v>
      </c>
      <c r="K163" s="22" t="s">
        <v>21</v>
      </c>
      <c r="L163" s="3" t="s">
        <v>1</v>
      </c>
      <c r="M163" s="3" t="s">
        <v>1</v>
      </c>
      <c r="N163" s="5">
        <v>0</v>
      </c>
      <c r="O163" s="5">
        <v>8190</v>
      </c>
      <c r="P163" s="5">
        <v>9190</v>
      </c>
      <c r="Q163" s="11">
        <f t="shared" si="6"/>
        <v>1000</v>
      </c>
      <c r="R163" s="11">
        <v>10000</v>
      </c>
      <c r="S163" s="11">
        <f t="shared" si="7"/>
        <v>1810</v>
      </c>
      <c r="T163" s="11">
        <v>0</v>
      </c>
      <c r="U163" s="17" t="s">
        <v>7</v>
      </c>
      <c r="V163" s="18">
        <v>46143</v>
      </c>
      <c r="W163" s="3" t="s">
        <v>6</v>
      </c>
      <c r="X163" s="3"/>
      <c r="Y163" s="3"/>
      <c r="Z163" s="3"/>
      <c r="AA163" s="3"/>
      <c r="AB163" s="3" t="str">
        <f t="shared" si="8"/>
        <v>Paid</v>
      </c>
      <c r="AC163" s="3"/>
    </row>
    <row r="164" spans="1:29" x14ac:dyDescent="0.25">
      <c r="A164" s="7" t="s">
        <v>5</v>
      </c>
      <c r="B164" s="12" t="s">
        <v>679</v>
      </c>
      <c r="C164" s="10" t="e">
        <f>VLOOKUP(B164,'[1]MAY MONTH'!$B:$C,2,0)</f>
        <v>#N/A</v>
      </c>
      <c r="D164" s="12" t="s">
        <v>678</v>
      </c>
      <c r="E164" s="12" t="s">
        <v>677</v>
      </c>
      <c r="F164" s="10" t="s">
        <v>4</v>
      </c>
      <c r="G164" s="3" t="s">
        <v>676</v>
      </c>
      <c r="H164" s="3" t="s">
        <v>675</v>
      </c>
      <c r="I164" s="3" t="s">
        <v>674</v>
      </c>
      <c r="J164" s="23">
        <v>46145</v>
      </c>
      <c r="K164" s="3" t="s">
        <v>9</v>
      </c>
      <c r="L164" s="3" t="s">
        <v>28</v>
      </c>
      <c r="M164" s="3" t="s">
        <v>28</v>
      </c>
      <c r="N164" s="5">
        <v>0</v>
      </c>
      <c r="O164" s="5">
        <v>3000</v>
      </c>
      <c r="P164" s="5">
        <v>3500</v>
      </c>
      <c r="Q164" s="11">
        <f t="shared" si="6"/>
        <v>500</v>
      </c>
      <c r="R164" s="11">
        <v>10000</v>
      </c>
      <c r="S164" s="11">
        <f t="shared" si="7"/>
        <v>7000</v>
      </c>
      <c r="T164" s="11">
        <v>0</v>
      </c>
      <c r="U164" s="17" t="s">
        <v>7</v>
      </c>
      <c r="V164" s="18">
        <v>46143</v>
      </c>
      <c r="W164" s="3" t="s">
        <v>6</v>
      </c>
      <c r="X164" s="3"/>
      <c r="Y164" s="3"/>
      <c r="Z164" s="3"/>
      <c r="AA164" s="3"/>
      <c r="AB164" s="3" t="str">
        <f t="shared" si="8"/>
        <v>Paid</v>
      </c>
      <c r="AC164" s="3"/>
    </row>
    <row r="165" spans="1:29" x14ac:dyDescent="0.25">
      <c r="A165" s="7" t="s">
        <v>5</v>
      </c>
      <c r="B165" s="3" t="s">
        <v>673</v>
      </c>
      <c r="C165" s="10" t="e">
        <f>VLOOKUP(B165,'[1]MAY MONTH'!$B:$C,2,0)</f>
        <v>#N/A</v>
      </c>
      <c r="D165" s="3" t="s">
        <v>672</v>
      </c>
      <c r="E165" s="3" t="s">
        <v>671</v>
      </c>
      <c r="F165" s="10" t="s">
        <v>21</v>
      </c>
      <c r="G165" s="3" t="s">
        <v>12</v>
      </c>
      <c r="H165" s="3" t="s">
        <v>402</v>
      </c>
      <c r="I165" s="3" t="s">
        <v>122</v>
      </c>
      <c r="J165" s="23">
        <v>46144</v>
      </c>
      <c r="K165" s="22" t="s">
        <v>21</v>
      </c>
      <c r="L165" s="3" t="s">
        <v>8</v>
      </c>
      <c r="M165" s="3" t="s">
        <v>8</v>
      </c>
      <c r="N165" s="5">
        <v>0</v>
      </c>
      <c r="O165" s="5">
        <v>8098</v>
      </c>
      <c r="P165" s="5">
        <v>9098</v>
      </c>
      <c r="Q165" s="11">
        <f t="shared" si="6"/>
        <v>1000</v>
      </c>
      <c r="R165" s="11">
        <v>10000</v>
      </c>
      <c r="S165" s="11">
        <f t="shared" si="7"/>
        <v>1902</v>
      </c>
      <c r="T165" s="11">
        <v>0</v>
      </c>
      <c r="U165" s="17" t="s">
        <v>7</v>
      </c>
      <c r="V165" s="18">
        <v>46143</v>
      </c>
      <c r="W165" s="3" t="s">
        <v>6</v>
      </c>
      <c r="X165" s="3"/>
      <c r="Y165" s="3"/>
      <c r="Z165" s="3"/>
      <c r="AA165" s="3"/>
      <c r="AB165" s="3" t="str">
        <f t="shared" si="8"/>
        <v>Paid</v>
      </c>
      <c r="AC165" s="3"/>
    </row>
    <row r="166" spans="1:29" x14ac:dyDescent="0.25">
      <c r="A166" s="7" t="s">
        <v>5</v>
      </c>
      <c r="B166" s="3" t="s">
        <v>670</v>
      </c>
      <c r="C166" s="10" t="e">
        <f>VLOOKUP(B166,'[1]MAY MONTH'!$B:$C,2,0)</f>
        <v>#N/A</v>
      </c>
      <c r="D166" s="3" t="s">
        <v>669</v>
      </c>
      <c r="E166" s="3" t="s">
        <v>668</v>
      </c>
      <c r="F166" s="10" t="s">
        <v>4</v>
      </c>
      <c r="G166" s="3" t="s">
        <v>481</v>
      </c>
      <c r="H166" s="3" t="s">
        <v>1456</v>
      </c>
      <c r="I166" s="3" t="s">
        <v>666</v>
      </c>
      <c r="J166" s="23">
        <v>46144</v>
      </c>
      <c r="K166" s="3" t="s">
        <v>9</v>
      </c>
      <c r="L166" s="3" t="s">
        <v>35</v>
      </c>
      <c r="M166" s="3" t="s">
        <v>35</v>
      </c>
      <c r="N166" s="5">
        <v>0</v>
      </c>
      <c r="O166" s="5">
        <v>4720</v>
      </c>
      <c r="P166" s="5">
        <v>5120</v>
      </c>
      <c r="Q166" s="11">
        <f t="shared" si="6"/>
        <v>400</v>
      </c>
      <c r="R166" s="11">
        <v>10000</v>
      </c>
      <c r="S166" s="11">
        <f t="shared" si="7"/>
        <v>5280</v>
      </c>
      <c r="T166" s="11">
        <v>0</v>
      </c>
      <c r="U166" s="17" t="s">
        <v>7</v>
      </c>
      <c r="V166" s="18">
        <v>46143</v>
      </c>
      <c r="W166" s="3" t="s">
        <v>6</v>
      </c>
      <c r="X166" s="3" t="s">
        <v>665</v>
      </c>
      <c r="Y166" s="3"/>
      <c r="Z166" s="3"/>
      <c r="AA166" s="3"/>
      <c r="AB166" s="3" t="str">
        <f t="shared" si="8"/>
        <v>Paid</v>
      </c>
      <c r="AC166" s="3"/>
    </row>
    <row r="167" spans="1:29" x14ac:dyDescent="0.25">
      <c r="A167" s="7" t="s">
        <v>5</v>
      </c>
      <c r="B167" s="12" t="s">
        <v>664</v>
      </c>
      <c r="C167" s="10" t="e">
        <f>VLOOKUP(B167,'[1]MAY MONTH'!$B:$C,2,0)</f>
        <v>#N/A</v>
      </c>
      <c r="D167" s="12" t="s">
        <v>663</v>
      </c>
      <c r="E167" s="12" t="s">
        <v>662</v>
      </c>
      <c r="F167" s="10" t="s">
        <v>4</v>
      </c>
      <c r="G167" s="3" t="s">
        <v>470</v>
      </c>
      <c r="H167" s="3" t="s">
        <v>628</v>
      </c>
      <c r="I167" s="3" t="s">
        <v>397</v>
      </c>
      <c r="J167" s="23">
        <v>46144</v>
      </c>
      <c r="K167" s="3" t="s">
        <v>9</v>
      </c>
      <c r="L167" s="3" t="s">
        <v>28</v>
      </c>
      <c r="M167" s="3" t="s">
        <v>28</v>
      </c>
      <c r="N167" s="5">
        <v>0</v>
      </c>
      <c r="O167" s="5">
        <v>7077</v>
      </c>
      <c r="P167" s="5">
        <v>7577</v>
      </c>
      <c r="Q167" s="11">
        <f t="shared" si="6"/>
        <v>500</v>
      </c>
      <c r="R167" s="11">
        <v>10000</v>
      </c>
      <c r="S167" s="11">
        <f t="shared" si="7"/>
        <v>2923</v>
      </c>
      <c r="T167" s="11">
        <v>0</v>
      </c>
      <c r="U167" s="17" t="s">
        <v>7</v>
      </c>
      <c r="V167" s="18">
        <v>46143</v>
      </c>
      <c r="W167" s="3" t="s">
        <v>6</v>
      </c>
      <c r="X167" s="3"/>
      <c r="Y167" s="3"/>
      <c r="Z167" s="3"/>
      <c r="AA167" s="3"/>
      <c r="AB167" s="3" t="str">
        <f t="shared" si="8"/>
        <v>Paid</v>
      </c>
      <c r="AC167" s="3"/>
    </row>
    <row r="168" spans="1:29" ht="30" x14ac:dyDescent="0.25">
      <c r="A168" s="7" t="s">
        <v>5</v>
      </c>
      <c r="B168" s="3" t="s">
        <v>661</v>
      </c>
      <c r="C168" s="10" t="e">
        <f>VLOOKUP(B168,'[1]MAY MONTH'!$B:$C,2,0)</f>
        <v>#N/A</v>
      </c>
      <c r="D168" s="3" t="s">
        <v>660</v>
      </c>
      <c r="E168" s="3" t="s">
        <v>659</v>
      </c>
      <c r="F168" s="10" t="s">
        <v>21</v>
      </c>
      <c r="G168" s="3" t="s">
        <v>538</v>
      </c>
      <c r="H168" s="3" t="s">
        <v>658</v>
      </c>
      <c r="I168" s="3" t="s">
        <v>122</v>
      </c>
      <c r="J168" s="23">
        <v>46145</v>
      </c>
      <c r="K168" s="22" t="s">
        <v>21</v>
      </c>
      <c r="L168" s="3" t="s">
        <v>8</v>
      </c>
      <c r="M168" s="3" t="s">
        <v>8</v>
      </c>
      <c r="N168" s="5">
        <v>0</v>
      </c>
      <c r="O168" s="5">
        <v>8000</v>
      </c>
      <c r="P168" s="5">
        <v>9000</v>
      </c>
      <c r="Q168" s="11">
        <f t="shared" si="6"/>
        <v>1000</v>
      </c>
      <c r="R168" s="11">
        <v>10000</v>
      </c>
      <c r="S168" s="11">
        <f t="shared" si="7"/>
        <v>2000</v>
      </c>
      <c r="T168" s="11">
        <v>0</v>
      </c>
      <c r="U168" s="17" t="s">
        <v>7</v>
      </c>
      <c r="V168" s="18">
        <v>46143</v>
      </c>
      <c r="W168" s="3" t="s">
        <v>6</v>
      </c>
      <c r="X168" s="3"/>
      <c r="Y168" s="3"/>
      <c r="Z168" s="3"/>
      <c r="AA168" s="3"/>
      <c r="AB168" s="3" t="str">
        <f t="shared" si="8"/>
        <v>Paid</v>
      </c>
      <c r="AC168" s="3"/>
    </row>
    <row r="169" spans="1:29" ht="30" x14ac:dyDescent="0.25">
      <c r="A169" s="3" t="s">
        <v>19</v>
      </c>
      <c r="B169" s="3" t="s">
        <v>657</v>
      </c>
      <c r="C169" s="10" t="e">
        <f>VLOOKUP(B169,'[1]MAY MONTH'!$B:$C,2,0)</f>
        <v>#N/A</v>
      </c>
      <c r="D169" s="3" t="s">
        <v>656</v>
      </c>
      <c r="E169" s="3" t="s">
        <v>655</v>
      </c>
      <c r="F169" s="10" t="s">
        <v>4</v>
      </c>
      <c r="G169" s="3" t="s">
        <v>654</v>
      </c>
      <c r="H169" s="3" t="s">
        <v>653</v>
      </c>
      <c r="I169" s="3" t="s">
        <v>652</v>
      </c>
      <c r="J169" s="23">
        <v>46143</v>
      </c>
      <c r="K169" s="22" t="s">
        <v>215</v>
      </c>
      <c r="L169" s="3" t="s">
        <v>8</v>
      </c>
      <c r="M169" s="3" t="s">
        <v>11</v>
      </c>
      <c r="N169" s="5">
        <v>0</v>
      </c>
      <c r="O169" s="5">
        <v>10679</v>
      </c>
      <c r="P169" s="5">
        <v>17679</v>
      </c>
      <c r="Q169" s="11">
        <f t="shared" si="6"/>
        <v>7000</v>
      </c>
      <c r="R169" s="5">
        <v>22000</v>
      </c>
      <c r="S169" s="11">
        <f t="shared" si="7"/>
        <v>11321</v>
      </c>
      <c r="T169" s="11">
        <v>0</v>
      </c>
      <c r="U169" s="17" t="s">
        <v>7</v>
      </c>
      <c r="V169" s="18">
        <v>46144</v>
      </c>
      <c r="W169" s="3" t="s">
        <v>6</v>
      </c>
      <c r="X169" s="3"/>
      <c r="Y169" s="3"/>
      <c r="Z169" s="3"/>
      <c r="AA169" s="3"/>
      <c r="AB169" s="3" t="str">
        <f t="shared" si="8"/>
        <v>Paid</v>
      </c>
      <c r="AC169" s="3"/>
    </row>
    <row r="170" spans="1:29" x14ac:dyDescent="0.25">
      <c r="A170" s="7" t="s">
        <v>5</v>
      </c>
      <c r="B170" s="3" t="s">
        <v>651</v>
      </c>
      <c r="C170" s="10" t="e">
        <f>VLOOKUP(B170,'[1]MAY MONTH'!$B:$C,2,0)</f>
        <v>#N/A</v>
      </c>
      <c r="D170" s="3" t="s">
        <v>650</v>
      </c>
      <c r="E170" s="3" t="s">
        <v>649</v>
      </c>
      <c r="F170" s="10" t="s">
        <v>4</v>
      </c>
      <c r="G170" s="3" t="s">
        <v>435</v>
      </c>
      <c r="H170" s="3" t="s">
        <v>547</v>
      </c>
      <c r="I170" s="3" t="s">
        <v>648</v>
      </c>
      <c r="J170" s="23">
        <v>46143</v>
      </c>
      <c r="K170" s="3" t="s">
        <v>9</v>
      </c>
      <c r="L170" s="3" t="s">
        <v>35</v>
      </c>
      <c r="M170" s="10" t="s">
        <v>11</v>
      </c>
      <c r="N170" s="5">
        <v>0</v>
      </c>
      <c r="O170" s="5">
        <v>6134</v>
      </c>
      <c r="P170" s="5">
        <v>8134</v>
      </c>
      <c r="Q170" s="11">
        <f t="shared" si="6"/>
        <v>2000</v>
      </c>
      <c r="R170" s="11">
        <v>10000</v>
      </c>
      <c r="S170" s="11">
        <f t="shared" si="7"/>
        <v>3866</v>
      </c>
      <c r="T170" s="11">
        <v>0</v>
      </c>
      <c r="U170" s="17" t="s">
        <v>7</v>
      </c>
      <c r="V170" s="18">
        <v>46143</v>
      </c>
      <c r="W170" s="3" t="s">
        <v>6</v>
      </c>
      <c r="X170" s="3"/>
      <c r="Y170" s="3"/>
      <c r="Z170" s="3"/>
      <c r="AA170" s="3"/>
      <c r="AB170" s="3" t="str">
        <f t="shared" si="8"/>
        <v>Paid</v>
      </c>
      <c r="AC170" s="3"/>
    </row>
    <row r="171" spans="1:29" ht="30" x14ac:dyDescent="0.25">
      <c r="A171" s="7" t="s">
        <v>5</v>
      </c>
      <c r="B171" s="3" t="s">
        <v>647</v>
      </c>
      <c r="C171" s="10" t="e">
        <f>VLOOKUP(B171,'[1]MAY MONTH'!$B:$C,2,0)</f>
        <v>#N/A</v>
      </c>
      <c r="D171" s="3" t="s">
        <v>646</v>
      </c>
      <c r="E171" s="3" t="s">
        <v>645</v>
      </c>
      <c r="F171" s="10" t="s">
        <v>4</v>
      </c>
      <c r="G171" s="3" t="s">
        <v>644</v>
      </c>
      <c r="H171" s="3" t="s">
        <v>643</v>
      </c>
      <c r="I171" s="3" t="s">
        <v>10</v>
      </c>
      <c r="J171" s="23">
        <v>46143</v>
      </c>
      <c r="K171" s="22" t="s">
        <v>215</v>
      </c>
      <c r="L171" s="3" t="s">
        <v>8</v>
      </c>
      <c r="M171" s="10" t="s">
        <v>11</v>
      </c>
      <c r="N171" s="5">
        <v>0</v>
      </c>
      <c r="O171" s="5">
        <v>1518</v>
      </c>
      <c r="P171" s="5">
        <v>2524</v>
      </c>
      <c r="Q171" s="11">
        <f t="shared" si="6"/>
        <v>1006</v>
      </c>
      <c r="R171" s="11">
        <v>10000</v>
      </c>
      <c r="S171" s="11">
        <f t="shared" si="7"/>
        <v>8482</v>
      </c>
      <c r="T171" s="11">
        <v>0</v>
      </c>
      <c r="U171" s="3" t="s">
        <v>7</v>
      </c>
      <c r="V171" s="18">
        <v>46146</v>
      </c>
      <c r="W171" s="3" t="s">
        <v>6</v>
      </c>
      <c r="X171" s="3"/>
      <c r="Y171" s="3"/>
      <c r="Z171" s="3"/>
      <c r="AA171" s="3"/>
      <c r="AB171" s="3" t="str">
        <f t="shared" si="8"/>
        <v>Paid</v>
      </c>
      <c r="AC171" s="3"/>
    </row>
    <row r="172" spans="1:29" x14ac:dyDescent="0.25">
      <c r="A172" s="7" t="s">
        <v>5</v>
      </c>
      <c r="B172" s="3" t="s">
        <v>642</v>
      </c>
      <c r="C172" s="10" t="e">
        <f>VLOOKUP(B172,'[1]MAY MONTH'!$B:$C,2,0)</f>
        <v>#N/A</v>
      </c>
      <c r="D172" s="12" t="s">
        <v>641</v>
      </c>
      <c r="E172" s="12" t="s">
        <v>640</v>
      </c>
      <c r="F172" s="10" t="s">
        <v>21</v>
      </c>
      <c r="G172" s="3" t="s">
        <v>639</v>
      </c>
      <c r="H172" s="3" t="s">
        <v>638</v>
      </c>
      <c r="I172" s="3" t="s">
        <v>637</v>
      </c>
      <c r="J172" s="23">
        <v>46143</v>
      </c>
      <c r="K172" s="22" t="s">
        <v>21</v>
      </c>
      <c r="L172" s="3" t="s">
        <v>35</v>
      </c>
      <c r="M172" s="3" t="s">
        <v>35</v>
      </c>
      <c r="N172" s="5">
        <v>0</v>
      </c>
      <c r="O172" s="5">
        <v>8099</v>
      </c>
      <c r="P172" s="5">
        <v>9099</v>
      </c>
      <c r="Q172" s="11">
        <f t="shared" si="6"/>
        <v>1000</v>
      </c>
      <c r="R172" s="11">
        <v>10000</v>
      </c>
      <c r="S172" s="11">
        <f t="shared" si="7"/>
        <v>1901</v>
      </c>
      <c r="T172" s="11">
        <v>0</v>
      </c>
      <c r="U172" s="3" t="s">
        <v>7</v>
      </c>
      <c r="V172" s="18">
        <v>46143</v>
      </c>
      <c r="W172" s="3" t="s">
        <v>6</v>
      </c>
      <c r="X172" s="3"/>
      <c r="Y172" s="3"/>
      <c r="Z172" s="3"/>
      <c r="AA172" s="3"/>
      <c r="AB172" s="3" t="str">
        <f t="shared" si="8"/>
        <v>Paid</v>
      </c>
      <c r="AC172" s="3"/>
    </row>
    <row r="173" spans="1:29" x14ac:dyDescent="0.25">
      <c r="A173" s="7" t="s">
        <v>5</v>
      </c>
      <c r="B173" s="25" t="s">
        <v>636</v>
      </c>
      <c r="C173" s="10" t="e">
        <f>VLOOKUP(B173,'[1]MAY MONTH'!$B:$C,2,0)</f>
        <v>#N/A</v>
      </c>
      <c r="D173" s="25" t="s">
        <v>635</v>
      </c>
      <c r="E173" s="25" t="s">
        <v>634</v>
      </c>
      <c r="F173" s="10" t="s">
        <v>82</v>
      </c>
      <c r="G173" s="25" t="s">
        <v>633</v>
      </c>
      <c r="H173" s="25" t="s">
        <v>632</v>
      </c>
      <c r="I173" s="3" t="s">
        <v>10</v>
      </c>
      <c r="J173" s="24">
        <v>46145</v>
      </c>
      <c r="K173" s="28" t="s">
        <v>82</v>
      </c>
      <c r="L173" s="3" t="s">
        <v>28</v>
      </c>
      <c r="M173" s="11" t="s">
        <v>0</v>
      </c>
      <c r="N173" s="5">
        <v>0</v>
      </c>
      <c r="O173" s="5">
        <v>10000</v>
      </c>
      <c r="P173" s="11">
        <f>O173</f>
        <v>10000</v>
      </c>
      <c r="Q173" s="11">
        <f t="shared" si="6"/>
        <v>0</v>
      </c>
      <c r="R173" s="11">
        <v>10000</v>
      </c>
      <c r="S173" s="11">
        <f t="shared" si="7"/>
        <v>0</v>
      </c>
      <c r="T173" s="11">
        <v>0</v>
      </c>
      <c r="U173" s="3" t="s">
        <v>7</v>
      </c>
      <c r="V173" s="18">
        <v>46143</v>
      </c>
      <c r="W173" s="3" t="s">
        <v>6</v>
      </c>
      <c r="X173" s="3"/>
      <c r="Y173" s="3"/>
      <c r="Z173" s="3"/>
      <c r="AA173" s="3"/>
      <c r="AB173" s="3" t="str">
        <f t="shared" si="8"/>
        <v>Paid</v>
      </c>
      <c r="AC173" s="3"/>
    </row>
    <row r="174" spans="1:29" x14ac:dyDescent="0.25">
      <c r="A174" s="7" t="s">
        <v>5</v>
      </c>
      <c r="B174" s="3" t="s">
        <v>631</v>
      </c>
      <c r="C174" s="10" t="e">
        <f>VLOOKUP(B174,'[1]MAY MONTH'!$B:$C,2,0)</f>
        <v>#N/A</v>
      </c>
      <c r="D174" s="12" t="s">
        <v>630</v>
      </c>
      <c r="E174" s="12" t="s">
        <v>629</v>
      </c>
      <c r="F174" s="10" t="s">
        <v>4</v>
      </c>
      <c r="G174" s="3" t="s">
        <v>470</v>
      </c>
      <c r="H174" s="3" t="s">
        <v>628</v>
      </c>
      <c r="I174" s="3" t="s">
        <v>110</v>
      </c>
      <c r="J174" s="13">
        <v>46146</v>
      </c>
      <c r="K174" s="3" t="s">
        <v>9</v>
      </c>
      <c r="L174" s="3" t="s">
        <v>28</v>
      </c>
      <c r="M174" s="3" t="s">
        <v>28</v>
      </c>
      <c r="N174" s="5">
        <v>0</v>
      </c>
      <c r="O174" s="5">
        <v>9436</v>
      </c>
      <c r="P174" s="5">
        <v>9436</v>
      </c>
      <c r="Q174" s="11">
        <f t="shared" si="6"/>
        <v>0</v>
      </c>
      <c r="R174" s="11">
        <v>10000</v>
      </c>
      <c r="S174" s="11">
        <f t="shared" si="7"/>
        <v>564</v>
      </c>
      <c r="T174" s="11">
        <v>0</v>
      </c>
      <c r="U174" s="3" t="s">
        <v>7</v>
      </c>
      <c r="V174" s="18">
        <v>46143</v>
      </c>
      <c r="W174" s="3" t="s">
        <v>6</v>
      </c>
      <c r="X174" s="3"/>
      <c r="Y174" s="3"/>
      <c r="Z174" s="3"/>
      <c r="AA174" s="3"/>
      <c r="AB174" s="3" t="str">
        <f t="shared" si="8"/>
        <v>Paid</v>
      </c>
      <c r="AC174" s="3"/>
    </row>
    <row r="175" spans="1:29" x14ac:dyDescent="0.25">
      <c r="A175" s="7" t="s">
        <v>5</v>
      </c>
      <c r="B175" s="3" t="s">
        <v>627</v>
      </c>
      <c r="C175" s="10" t="e">
        <f>VLOOKUP(B175,'[1]MAY MONTH'!$B:$C,2,0)</f>
        <v>#N/A</v>
      </c>
      <c r="D175" s="3" t="s">
        <v>626</v>
      </c>
      <c r="E175" s="3" t="s">
        <v>625</v>
      </c>
      <c r="F175" s="10" t="s">
        <v>21</v>
      </c>
      <c r="G175" s="3" t="s">
        <v>624</v>
      </c>
      <c r="H175" s="3" t="s">
        <v>623</v>
      </c>
      <c r="I175" s="3" t="s">
        <v>622</v>
      </c>
      <c r="J175" s="13">
        <v>46145</v>
      </c>
      <c r="K175" s="22" t="s">
        <v>21</v>
      </c>
      <c r="L175" s="3" t="s">
        <v>35</v>
      </c>
      <c r="M175" s="3" t="s">
        <v>35</v>
      </c>
      <c r="N175" s="5">
        <v>0</v>
      </c>
      <c r="O175" s="5">
        <v>6163</v>
      </c>
      <c r="P175" s="5">
        <v>9163</v>
      </c>
      <c r="Q175" s="11">
        <f t="shared" si="6"/>
        <v>3000</v>
      </c>
      <c r="R175" s="11">
        <v>10000</v>
      </c>
      <c r="S175" s="11">
        <f t="shared" si="7"/>
        <v>3837</v>
      </c>
      <c r="T175" s="11">
        <v>0</v>
      </c>
      <c r="U175" s="3" t="s">
        <v>7</v>
      </c>
      <c r="V175" s="18">
        <v>46143</v>
      </c>
      <c r="W175" s="3" t="s">
        <v>6</v>
      </c>
      <c r="X175" s="3"/>
      <c r="Y175" s="3"/>
      <c r="Z175" s="3"/>
      <c r="AA175" s="3"/>
      <c r="AB175" s="3" t="str">
        <f t="shared" si="8"/>
        <v>Paid</v>
      </c>
      <c r="AC175" s="3"/>
    </row>
    <row r="176" spans="1:29" x14ac:dyDescent="0.25">
      <c r="A176" s="3" t="s">
        <v>19</v>
      </c>
      <c r="B176" s="3" t="s">
        <v>621</v>
      </c>
      <c r="C176" s="10" t="e">
        <f>VLOOKUP(B176,'[1]MAY MONTH'!$B:$C,2,0)</f>
        <v>#N/A</v>
      </c>
      <c r="D176" s="3" t="s">
        <v>620</v>
      </c>
      <c r="E176" s="3" t="s">
        <v>619</v>
      </c>
      <c r="F176" s="10" t="s">
        <v>21</v>
      </c>
      <c r="G176" s="3" t="s">
        <v>55</v>
      </c>
      <c r="H176" s="3" t="s">
        <v>618</v>
      </c>
      <c r="I176" s="3" t="s">
        <v>566</v>
      </c>
      <c r="J176" s="13">
        <v>46145</v>
      </c>
      <c r="K176" s="22" t="s">
        <v>21</v>
      </c>
      <c r="L176" s="3" t="s">
        <v>1</v>
      </c>
      <c r="M176" s="3" t="s">
        <v>1</v>
      </c>
      <c r="N176" s="5">
        <v>0</v>
      </c>
      <c r="O176" s="5">
        <v>15974</v>
      </c>
      <c r="P176" s="5">
        <v>21974</v>
      </c>
      <c r="Q176" s="11">
        <f t="shared" si="6"/>
        <v>6000</v>
      </c>
      <c r="R176" s="5">
        <v>22000</v>
      </c>
      <c r="S176" s="11">
        <f t="shared" si="7"/>
        <v>6026</v>
      </c>
      <c r="T176" s="11">
        <v>0</v>
      </c>
      <c r="U176" s="3" t="s">
        <v>7</v>
      </c>
      <c r="V176" s="18">
        <v>46143</v>
      </c>
      <c r="W176" s="3" t="s">
        <v>6</v>
      </c>
      <c r="X176" s="3"/>
      <c r="Y176" s="3"/>
      <c r="Z176" s="3"/>
      <c r="AA176" s="3"/>
      <c r="AB176" s="3" t="str">
        <f t="shared" si="8"/>
        <v>Paid</v>
      </c>
      <c r="AC176" s="3"/>
    </row>
    <row r="177" spans="1:29" x14ac:dyDescent="0.25">
      <c r="A177" s="7" t="s">
        <v>5</v>
      </c>
      <c r="B177" s="3" t="s">
        <v>617</v>
      </c>
      <c r="C177" s="10" t="e">
        <f>VLOOKUP(B177,'[1]MAY MONTH'!$B:$C,2,0)</f>
        <v>#N/A</v>
      </c>
      <c r="D177" s="3" t="s">
        <v>616</v>
      </c>
      <c r="E177" s="3" t="s">
        <v>615</v>
      </c>
      <c r="F177" s="10" t="s">
        <v>4</v>
      </c>
      <c r="G177" s="3" t="s">
        <v>614</v>
      </c>
      <c r="H177" s="3" t="s">
        <v>613</v>
      </c>
      <c r="I177" s="3" t="s">
        <v>612</v>
      </c>
      <c r="J177" s="13">
        <v>46145</v>
      </c>
      <c r="K177" s="22" t="s">
        <v>215</v>
      </c>
      <c r="L177" s="3" t="s">
        <v>1</v>
      </c>
      <c r="M177" s="3" t="s">
        <v>1</v>
      </c>
      <c r="N177" s="5">
        <v>11728</v>
      </c>
      <c r="O177" s="5">
        <f>100+6264</f>
        <v>6364</v>
      </c>
      <c r="P177" s="5">
        <v>10000</v>
      </c>
      <c r="Q177" s="11">
        <f t="shared" si="6"/>
        <v>3636</v>
      </c>
      <c r="R177" s="11">
        <v>10000</v>
      </c>
      <c r="S177" s="11">
        <f t="shared" si="7"/>
        <v>3636</v>
      </c>
      <c r="T177" s="11">
        <v>0</v>
      </c>
      <c r="U177" s="3" t="s">
        <v>7</v>
      </c>
      <c r="V177" s="18">
        <v>46143</v>
      </c>
      <c r="W177" s="3" t="s">
        <v>6</v>
      </c>
      <c r="X177" s="3"/>
      <c r="Y177" s="3"/>
      <c r="Z177" s="3"/>
      <c r="AA177" s="3"/>
      <c r="AB177" s="3" t="str">
        <f t="shared" si="8"/>
        <v>Paid</v>
      </c>
      <c r="AC177" s="3"/>
    </row>
    <row r="178" spans="1:29" x14ac:dyDescent="0.25">
      <c r="A178" s="7" t="s">
        <v>5</v>
      </c>
      <c r="B178" s="25" t="s">
        <v>611</v>
      </c>
      <c r="C178" s="10" t="e">
        <f>VLOOKUP(B178,'[1]MAY MONTH'!$B:$C,2,0)</f>
        <v>#N/A</v>
      </c>
      <c r="D178" s="25" t="s">
        <v>610</v>
      </c>
      <c r="E178" s="25" t="s">
        <v>609</v>
      </c>
      <c r="F178" s="10" t="s">
        <v>4</v>
      </c>
      <c r="G178" s="25" t="s">
        <v>608</v>
      </c>
      <c r="H178" s="25" t="s">
        <v>1463</v>
      </c>
      <c r="I178" s="25" t="s">
        <v>453</v>
      </c>
      <c r="J178" s="24">
        <v>46143</v>
      </c>
      <c r="K178" s="22" t="s">
        <v>215</v>
      </c>
      <c r="L178" s="25" t="s">
        <v>8</v>
      </c>
      <c r="M178" s="11" t="s">
        <v>0</v>
      </c>
      <c r="N178" s="5">
        <v>8703</v>
      </c>
      <c r="O178" s="5">
        <f>45+6728</f>
        <v>6773</v>
      </c>
      <c r="P178" s="5">
        <v>9442</v>
      </c>
      <c r="Q178" s="11">
        <f t="shared" si="6"/>
        <v>2669</v>
      </c>
      <c r="R178" s="11">
        <v>10000</v>
      </c>
      <c r="S178" s="11">
        <f t="shared" si="7"/>
        <v>3227</v>
      </c>
      <c r="T178" s="11">
        <v>0</v>
      </c>
      <c r="U178" s="3" t="s">
        <v>7</v>
      </c>
      <c r="V178" s="18">
        <v>46143</v>
      </c>
      <c r="W178" s="3" t="s">
        <v>6</v>
      </c>
      <c r="X178" s="3"/>
      <c r="Y178" s="3"/>
      <c r="Z178" s="3"/>
      <c r="AA178" s="3"/>
      <c r="AB178" s="3" t="str">
        <f t="shared" si="8"/>
        <v>Paid</v>
      </c>
      <c r="AC178" s="3"/>
    </row>
    <row r="179" spans="1:29" ht="30" x14ac:dyDescent="0.25">
      <c r="A179" s="7" t="s">
        <v>5</v>
      </c>
      <c r="B179" s="3" t="s">
        <v>607</v>
      </c>
      <c r="C179" s="10" t="e">
        <f>VLOOKUP(B179,'[1]MAY MONTH'!$B:$C,2,0)</f>
        <v>#N/A</v>
      </c>
      <c r="D179" s="3" t="s">
        <v>606</v>
      </c>
      <c r="E179" s="3" t="s">
        <v>605</v>
      </c>
      <c r="F179" s="10" t="s">
        <v>82</v>
      </c>
      <c r="G179" s="3" t="s">
        <v>78</v>
      </c>
      <c r="H179" s="3" t="s">
        <v>244</v>
      </c>
      <c r="I179" s="3" t="s">
        <v>29</v>
      </c>
      <c r="J179" s="13">
        <v>46144</v>
      </c>
      <c r="K179" s="28" t="s">
        <v>82</v>
      </c>
      <c r="L179" s="3" t="s">
        <v>28</v>
      </c>
      <c r="M179" s="3" t="s">
        <v>28</v>
      </c>
      <c r="N179" s="5">
        <v>0</v>
      </c>
      <c r="O179" s="5">
        <v>7380</v>
      </c>
      <c r="P179" s="5">
        <v>9870</v>
      </c>
      <c r="Q179" s="11">
        <f t="shared" si="6"/>
        <v>2490</v>
      </c>
      <c r="R179" s="11">
        <v>10000</v>
      </c>
      <c r="S179" s="11">
        <f t="shared" si="7"/>
        <v>2620</v>
      </c>
      <c r="T179" s="11">
        <v>0</v>
      </c>
      <c r="U179" s="17" t="s">
        <v>7</v>
      </c>
      <c r="V179" s="18">
        <v>46144</v>
      </c>
      <c r="W179" s="3" t="s">
        <v>6</v>
      </c>
      <c r="X179" s="3"/>
      <c r="Y179" s="3"/>
      <c r="Z179" s="3"/>
      <c r="AA179" s="3"/>
      <c r="AB179" s="3" t="str">
        <f t="shared" si="8"/>
        <v>Paid</v>
      </c>
      <c r="AC179" s="3"/>
    </row>
    <row r="180" spans="1:29" x14ac:dyDescent="0.25">
      <c r="A180" s="7" t="s">
        <v>5</v>
      </c>
      <c r="B180" s="3" t="s">
        <v>604</v>
      </c>
      <c r="C180" s="10" t="e">
        <f>VLOOKUP(B180,'[1]MAY MONTH'!$B:$C,2,0)</f>
        <v>#N/A</v>
      </c>
      <c r="D180" s="3" t="s">
        <v>603</v>
      </c>
      <c r="E180" s="3" t="s">
        <v>602</v>
      </c>
      <c r="F180" s="10" t="s">
        <v>21</v>
      </c>
      <c r="G180" s="3" t="s">
        <v>276</v>
      </c>
      <c r="H180" s="3" t="s">
        <v>402</v>
      </c>
      <c r="I180" s="3" t="s">
        <v>297</v>
      </c>
      <c r="J180" s="23">
        <v>46144</v>
      </c>
      <c r="K180" s="22" t="s">
        <v>21</v>
      </c>
      <c r="L180" s="3" t="s">
        <v>8</v>
      </c>
      <c r="M180" s="3" t="s">
        <v>8</v>
      </c>
      <c r="N180" s="5">
        <v>0</v>
      </c>
      <c r="O180" s="5">
        <v>9740</v>
      </c>
      <c r="P180" s="5">
        <v>9740</v>
      </c>
      <c r="Q180" s="11">
        <f t="shared" si="6"/>
        <v>0</v>
      </c>
      <c r="R180" s="11">
        <v>10000</v>
      </c>
      <c r="S180" s="11">
        <f t="shared" si="7"/>
        <v>260</v>
      </c>
      <c r="T180" s="11">
        <v>0</v>
      </c>
      <c r="U180" s="17" t="s">
        <v>7</v>
      </c>
      <c r="V180" s="18">
        <v>46144</v>
      </c>
      <c r="W180" s="3" t="s">
        <v>6</v>
      </c>
      <c r="X180" s="3"/>
      <c r="Y180" s="3"/>
      <c r="Z180" s="3"/>
      <c r="AA180" s="3"/>
      <c r="AB180" s="3" t="str">
        <f t="shared" si="8"/>
        <v>Paid</v>
      </c>
      <c r="AC180" s="3"/>
    </row>
    <row r="181" spans="1:29" x14ac:dyDescent="0.25">
      <c r="A181" s="7" t="s">
        <v>5</v>
      </c>
      <c r="B181" s="3" t="s">
        <v>601</v>
      </c>
      <c r="C181" s="10" t="e">
        <f>VLOOKUP(B181,'[1]MAY MONTH'!$B:$C,2,0)</f>
        <v>#N/A</v>
      </c>
      <c r="D181" s="3" t="s">
        <v>600</v>
      </c>
      <c r="E181" s="3" t="s">
        <v>599</v>
      </c>
      <c r="F181" s="10" t="s">
        <v>4</v>
      </c>
      <c r="G181" s="3" t="s">
        <v>598</v>
      </c>
      <c r="H181" s="3" t="s">
        <v>597</v>
      </c>
      <c r="I181" s="3" t="s">
        <v>10</v>
      </c>
      <c r="J181" s="13">
        <v>46144</v>
      </c>
      <c r="K181" s="22" t="s">
        <v>215</v>
      </c>
      <c r="L181" s="3" t="s">
        <v>8</v>
      </c>
      <c r="M181" s="3" t="s">
        <v>8</v>
      </c>
      <c r="N181" s="5">
        <v>0</v>
      </c>
      <c r="O181" s="5">
        <v>3847</v>
      </c>
      <c r="P181" s="5">
        <v>7147</v>
      </c>
      <c r="Q181" s="11">
        <f t="shared" si="6"/>
        <v>3300</v>
      </c>
      <c r="R181" s="11">
        <v>10000</v>
      </c>
      <c r="S181" s="11">
        <f t="shared" si="7"/>
        <v>6153</v>
      </c>
      <c r="T181" s="11">
        <v>0</v>
      </c>
      <c r="U181" s="17" t="s">
        <v>7</v>
      </c>
      <c r="V181" s="18">
        <v>46144</v>
      </c>
      <c r="W181" s="3" t="s">
        <v>6</v>
      </c>
      <c r="X181" s="3"/>
      <c r="Y181" s="3"/>
      <c r="Z181" s="3"/>
      <c r="AA181" s="3"/>
      <c r="AB181" s="3" t="str">
        <f t="shared" si="8"/>
        <v>Paid</v>
      </c>
      <c r="AC181" s="3"/>
    </row>
    <row r="182" spans="1:29" x14ac:dyDescent="0.25">
      <c r="A182" s="7" t="s">
        <v>5</v>
      </c>
      <c r="B182" s="12" t="s">
        <v>596</v>
      </c>
      <c r="C182" s="10" t="e">
        <f>VLOOKUP(B182,'[1]MAY MONTH'!$B:$C,2,0)</f>
        <v>#N/A</v>
      </c>
      <c r="D182" s="12" t="s">
        <v>595</v>
      </c>
      <c r="E182" s="12" t="s">
        <v>594</v>
      </c>
      <c r="F182" s="10" t="s">
        <v>82</v>
      </c>
      <c r="G182" s="12" t="s">
        <v>593</v>
      </c>
      <c r="H182" s="12" t="s">
        <v>592</v>
      </c>
      <c r="I182" s="25" t="s">
        <v>36</v>
      </c>
      <c r="J182" s="13">
        <v>46144</v>
      </c>
      <c r="K182" s="28" t="s">
        <v>82</v>
      </c>
      <c r="L182" s="12" t="s">
        <v>28</v>
      </c>
      <c r="M182" s="11" t="s">
        <v>0</v>
      </c>
      <c r="N182" s="5">
        <v>0</v>
      </c>
      <c r="O182" s="5">
        <v>6450</v>
      </c>
      <c r="P182" s="5">
        <v>9125</v>
      </c>
      <c r="Q182" s="11">
        <f t="shared" si="6"/>
        <v>2675</v>
      </c>
      <c r="R182" s="11">
        <v>10000</v>
      </c>
      <c r="S182" s="11">
        <f t="shared" si="7"/>
        <v>3550</v>
      </c>
      <c r="T182" s="11">
        <v>0</v>
      </c>
      <c r="U182" s="3" t="s">
        <v>7</v>
      </c>
      <c r="V182" s="18">
        <v>46144</v>
      </c>
      <c r="W182" s="3" t="s">
        <v>6</v>
      </c>
      <c r="X182" s="3"/>
      <c r="Y182" s="3"/>
      <c r="Z182" s="3"/>
      <c r="AA182" s="3"/>
      <c r="AB182" s="3" t="str">
        <f t="shared" si="8"/>
        <v>Paid</v>
      </c>
      <c r="AC182" s="3"/>
    </row>
    <row r="183" spans="1:29" x14ac:dyDescent="0.25">
      <c r="A183" s="7" t="s">
        <v>5</v>
      </c>
      <c r="B183" s="12" t="s">
        <v>591</v>
      </c>
      <c r="C183" s="10" t="e">
        <f>VLOOKUP(B183,'[1]MAY MONTH'!$B:$C,2,0)</f>
        <v>#N/A</v>
      </c>
      <c r="D183" s="12" t="s">
        <v>590</v>
      </c>
      <c r="E183" s="12" t="s">
        <v>589</v>
      </c>
      <c r="F183" s="10" t="s">
        <v>4</v>
      </c>
      <c r="G183" s="12" t="s">
        <v>78</v>
      </c>
      <c r="H183" s="12" t="s">
        <v>1441</v>
      </c>
      <c r="I183" s="12" t="s">
        <v>29</v>
      </c>
      <c r="J183" s="13">
        <v>46145</v>
      </c>
      <c r="K183" s="12" t="s">
        <v>9</v>
      </c>
      <c r="L183" s="12" t="s">
        <v>28</v>
      </c>
      <c r="M183" s="11" t="s">
        <v>0</v>
      </c>
      <c r="N183" s="5">
        <v>0</v>
      </c>
      <c r="O183" s="5">
        <v>5898</v>
      </c>
      <c r="P183" s="5">
        <v>5898</v>
      </c>
      <c r="Q183" s="11">
        <f t="shared" si="6"/>
        <v>0</v>
      </c>
      <c r="R183" s="11">
        <v>10000</v>
      </c>
      <c r="S183" s="11">
        <f t="shared" si="7"/>
        <v>4102</v>
      </c>
      <c r="T183" s="11">
        <v>0</v>
      </c>
      <c r="U183" s="3" t="s">
        <v>7</v>
      </c>
      <c r="V183" s="18">
        <v>46145</v>
      </c>
      <c r="W183" s="3" t="s">
        <v>6</v>
      </c>
      <c r="X183" s="3"/>
      <c r="Y183" s="3"/>
      <c r="Z183" s="3"/>
      <c r="AA183" s="3"/>
      <c r="AB183" s="3" t="str">
        <f t="shared" si="8"/>
        <v>Paid</v>
      </c>
      <c r="AC183" s="3"/>
    </row>
    <row r="184" spans="1:29" x14ac:dyDescent="0.25">
      <c r="A184" s="3" t="s">
        <v>19</v>
      </c>
      <c r="B184" s="3" t="s">
        <v>588</v>
      </c>
      <c r="C184" s="10" t="e">
        <f>VLOOKUP(B184,'[1]MAY MONTH'!$B:$C,2,0)</f>
        <v>#N/A</v>
      </c>
      <c r="D184" s="3" t="s">
        <v>587</v>
      </c>
      <c r="E184" s="3" t="s">
        <v>586</v>
      </c>
      <c r="F184" s="10" t="s">
        <v>82</v>
      </c>
      <c r="G184" s="3" t="s">
        <v>62</v>
      </c>
      <c r="H184" s="3" t="s">
        <v>244</v>
      </c>
      <c r="I184" s="3" t="s">
        <v>585</v>
      </c>
      <c r="J184" s="13">
        <v>46144</v>
      </c>
      <c r="K184" s="28" t="s">
        <v>82</v>
      </c>
      <c r="L184" s="3" t="s">
        <v>1</v>
      </c>
      <c r="M184" s="3" t="s">
        <v>20</v>
      </c>
      <c r="N184" s="5">
        <v>0</v>
      </c>
      <c r="O184" s="5">
        <v>19000</v>
      </c>
      <c r="P184" s="5">
        <v>22000</v>
      </c>
      <c r="Q184" s="11">
        <f t="shared" si="6"/>
        <v>3000</v>
      </c>
      <c r="R184" s="5">
        <v>22000</v>
      </c>
      <c r="S184" s="11">
        <f t="shared" si="7"/>
        <v>3000</v>
      </c>
      <c r="T184" s="11">
        <v>0</v>
      </c>
      <c r="U184" s="3" t="s">
        <v>7</v>
      </c>
      <c r="V184" s="18">
        <v>46143</v>
      </c>
      <c r="W184" s="3" t="s">
        <v>6</v>
      </c>
      <c r="X184" s="3"/>
      <c r="Y184" s="3"/>
      <c r="Z184" s="3"/>
      <c r="AA184" s="3"/>
      <c r="AB184" s="3" t="str">
        <f t="shared" si="8"/>
        <v>Paid</v>
      </c>
      <c r="AC184" s="3"/>
    </row>
    <row r="185" spans="1:29" x14ac:dyDescent="0.25">
      <c r="A185" s="29" t="s">
        <v>5</v>
      </c>
      <c r="B185" s="25" t="s">
        <v>584</v>
      </c>
      <c r="C185" s="10" t="e">
        <f>VLOOKUP(B185,'[1]MAY MONTH'!$B:$C,2,0)</f>
        <v>#N/A</v>
      </c>
      <c r="D185" s="25" t="s">
        <v>583</v>
      </c>
      <c r="E185" s="25" t="s">
        <v>582</v>
      </c>
      <c r="F185" s="10" t="s">
        <v>21</v>
      </c>
      <c r="G185" s="25" t="s">
        <v>581</v>
      </c>
      <c r="H185" s="25" t="s">
        <v>402</v>
      </c>
      <c r="I185" s="25" t="s">
        <v>36</v>
      </c>
      <c r="J185" s="13">
        <v>46145</v>
      </c>
      <c r="K185" s="22" t="s">
        <v>21</v>
      </c>
      <c r="L185" s="25" t="s">
        <v>35</v>
      </c>
      <c r="M185" s="11" t="s">
        <v>0</v>
      </c>
      <c r="N185" s="5">
        <v>0</v>
      </c>
      <c r="O185" s="5">
        <v>8339</v>
      </c>
      <c r="P185" s="5">
        <v>9129</v>
      </c>
      <c r="Q185" s="11">
        <f t="shared" si="6"/>
        <v>790</v>
      </c>
      <c r="R185" s="11">
        <v>10000</v>
      </c>
      <c r="S185" s="11">
        <f t="shared" si="7"/>
        <v>1661</v>
      </c>
      <c r="T185" s="11">
        <v>0</v>
      </c>
      <c r="U185" s="17" t="s">
        <v>7</v>
      </c>
      <c r="V185" s="18">
        <v>46144</v>
      </c>
      <c r="W185" s="3" t="s">
        <v>6</v>
      </c>
      <c r="X185" s="3"/>
      <c r="Y185" s="3"/>
      <c r="Z185" s="3"/>
      <c r="AA185" s="3"/>
      <c r="AB185" s="3" t="str">
        <f t="shared" si="8"/>
        <v>Paid</v>
      </c>
      <c r="AC185" s="3"/>
    </row>
    <row r="186" spans="1:29" x14ac:dyDescent="0.25">
      <c r="A186" s="3" t="s">
        <v>19</v>
      </c>
      <c r="B186" s="3" t="s">
        <v>580</v>
      </c>
      <c r="C186" s="10" t="e">
        <f>VLOOKUP(B186,'[1]MAY MONTH'!$B:$C,2,0)</f>
        <v>#N/A</v>
      </c>
      <c r="D186" s="3" t="s">
        <v>579</v>
      </c>
      <c r="E186" s="3" t="s">
        <v>578</v>
      </c>
      <c r="F186" s="10" t="s">
        <v>4</v>
      </c>
      <c r="G186" s="3" t="s">
        <v>577</v>
      </c>
      <c r="H186" s="3" t="s">
        <v>576</v>
      </c>
      <c r="I186" s="3" t="s">
        <v>575</v>
      </c>
      <c r="J186" s="13">
        <v>46144</v>
      </c>
      <c r="K186" s="3" t="s">
        <v>9</v>
      </c>
      <c r="L186" s="3" t="s">
        <v>8</v>
      </c>
      <c r="M186" s="3" t="s">
        <v>11</v>
      </c>
      <c r="N186" s="5">
        <v>0</v>
      </c>
      <c r="O186" s="5">
        <v>19057</v>
      </c>
      <c r="P186" s="5">
        <v>21457</v>
      </c>
      <c r="Q186" s="11">
        <f t="shared" si="6"/>
        <v>2400</v>
      </c>
      <c r="R186" s="5">
        <v>22000</v>
      </c>
      <c r="S186" s="11">
        <f t="shared" si="7"/>
        <v>2943</v>
      </c>
      <c r="T186" s="11">
        <v>0</v>
      </c>
      <c r="U186" s="17" t="s">
        <v>7</v>
      </c>
      <c r="V186" s="18">
        <v>46144</v>
      </c>
      <c r="W186" s="3" t="s">
        <v>6</v>
      </c>
      <c r="X186" s="3"/>
      <c r="Y186" s="3"/>
      <c r="Z186" s="3"/>
      <c r="AA186" s="3"/>
      <c r="AB186" s="3" t="str">
        <f t="shared" si="8"/>
        <v>Paid</v>
      </c>
      <c r="AC186" s="3"/>
    </row>
    <row r="187" spans="1:29" x14ac:dyDescent="0.25">
      <c r="A187" s="29" t="s">
        <v>5</v>
      </c>
      <c r="B187" s="3" t="s">
        <v>574</v>
      </c>
      <c r="C187" s="10" t="e">
        <f>VLOOKUP(B187,'[1]MAY MONTH'!$B:$C,2,0)</f>
        <v>#N/A</v>
      </c>
      <c r="D187" s="3" t="s">
        <v>573</v>
      </c>
      <c r="E187" s="3" t="s">
        <v>572</v>
      </c>
      <c r="F187" s="10" t="s">
        <v>82</v>
      </c>
      <c r="G187" s="3" t="s">
        <v>571</v>
      </c>
      <c r="H187" s="3" t="s">
        <v>570</v>
      </c>
      <c r="I187" s="3" t="s">
        <v>401</v>
      </c>
      <c r="J187" s="13">
        <v>46145</v>
      </c>
      <c r="K187" s="28" t="s">
        <v>82</v>
      </c>
      <c r="L187" s="3" t="s">
        <v>8</v>
      </c>
      <c r="M187" s="3" t="s">
        <v>8</v>
      </c>
      <c r="N187" s="5">
        <v>0</v>
      </c>
      <c r="O187" s="5">
        <v>7600</v>
      </c>
      <c r="P187" s="5">
        <v>8500</v>
      </c>
      <c r="Q187" s="11">
        <f t="shared" si="6"/>
        <v>900</v>
      </c>
      <c r="R187" s="11">
        <v>10000</v>
      </c>
      <c r="S187" s="11">
        <f t="shared" si="7"/>
        <v>2400</v>
      </c>
      <c r="T187" s="11">
        <v>0</v>
      </c>
      <c r="U187" s="17" t="s">
        <v>7</v>
      </c>
      <c r="V187" s="18">
        <v>46144</v>
      </c>
      <c r="W187" s="3" t="s">
        <v>6</v>
      </c>
      <c r="X187" s="3"/>
      <c r="Y187" s="3"/>
      <c r="Z187" s="3"/>
      <c r="AA187" s="3"/>
      <c r="AB187" s="3" t="str">
        <f t="shared" si="8"/>
        <v>Paid</v>
      </c>
      <c r="AC187" s="3"/>
    </row>
    <row r="188" spans="1:29" x14ac:dyDescent="0.25">
      <c r="A188" s="29" t="s">
        <v>5</v>
      </c>
      <c r="B188" s="29" t="s">
        <v>569</v>
      </c>
      <c r="C188" s="10" t="e">
        <f>VLOOKUP(B188,'[1]MAY MONTH'!$B:$C,2,0)</f>
        <v>#N/A</v>
      </c>
      <c r="D188" s="29" t="s">
        <v>568</v>
      </c>
      <c r="E188" s="29" t="s">
        <v>567</v>
      </c>
      <c r="F188" s="10" t="s">
        <v>4</v>
      </c>
      <c r="G188" s="29" t="s">
        <v>68</v>
      </c>
      <c r="H188" s="29" t="s">
        <v>1447</v>
      </c>
      <c r="I188" s="29" t="s">
        <v>566</v>
      </c>
      <c r="J188" s="13">
        <v>46144</v>
      </c>
      <c r="K188" s="3" t="s">
        <v>9</v>
      </c>
      <c r="L188" s="29" t="s">
        <v>1</v>
      </c>
      <c r="M188" s="11" t="s">
        <v>0</v>
      </c>
      <c r="N188" s="5">
        <v>0</v>
      </c>
      <c r="O188" s="5">
        <v>4481.6400000000003</v>
      </c>
      <c r="P188" s="5">
        <v>4981</v>
      </c>
      <c r="Q188" s="11">
        <f t="shared" si="6"/>
        <v>499.35999999999967</v>
      </c>
      <c r="R188" s="11">
        <v>10000</v>
      </c>
      <c r="S188" s="11">
        <f t="shared" si="7"/>
        <v>5518.36</v>
      </c>
      <c r="T188" s="11">
        <v>0</v>
      </c>
      <c r="U188" s="17" t="s">
        <v>7</v>
      </c>
      <c r="V188" s="18">
        <v>46144</v>
      </c>
      <c r="W188" s="3" t="s">
        <v>6</v>
      </c>
      <c r="X188" s="3"/>
      <c r="Y188" s="3"/>
      <c r="Z188" s="3"/>
      <c r="AA188" s="3"/>
      <c r="AB188" s="3" t="str">
        <f t="shared" si="8"/>
        <v>Paid</v>
      </c>
      <c r="AC188" s="3"/>
    </row>
    <row r="189" spans="1:29" x14ac:dyDescent="0.25">
      <c r="A189" s="29" t="s">
        <v>5</v>
      </c>
      <c r="B189" s="3" t="s">
        <v>565</v>
      </c>
      <c r="C189" s="10" t="e">
        <f>VLOOKUP(B189,'[1]MAY MONTH'!$B:$C,2,0)</f>
        <v>#N/A</v>
      </c>
      <c r="D189" s="3" t="s">
        <v>564</v>
      </c>
      <c r="E189" s="3" t="s">
        <v>563</v>
      </c>
      <c r="F189" s="10" t="s">
        <v>82</v>
      </c>
      <c r="G189" s="3" t="s">
        <v>562</v>
      </c>
      <c r="H189" s="29" t="s">
        <v>561</v>
      </c>
      <c r="I189" s="3" t="s">
        <v>297</v>
      </c>
      <c r="J189" s="20">
        <v>46145</v>
      </c>
      <c r="K189" s="28" t="s">
        <v>82</v>
      </c>
      <c r="L189" s="3" t="s">
        <v>8</v>
      </c>
      <c r="M189" s="3" t="s">
        <v>8</v>
      </c>
      <c r="N189" s="5">
        <v>0</v>
      </c>
      <c r="O189" s="5">
        <v>8000</v>
      </c>
      <c r="P189" s="5">
        <v>8955</v>
      </c>
      <c r="Q189" s="11">
        <f t="shared" si="6"/>
        <v>955</v>
      </c>
      <c r="R189" s="11">
        <v>10000</v>
      </c>
      <c r="S189" s="11">
        <f t="shared" si="7"/>
        <v>2000</v>
      </c>
      <c r="T189" s="11">
        <v>0</v>
      </c>
      <c r="U189" s="17" t="s">
        <v>7</v>
      </c>
      <c r="V189" s="18">
        <v>46144</v>
      </c>
      <c r="W189" s="3" t="s">
        <v>6</v>
      </c>
      <c r="X189" s="3"/>
      <c r="Y189" s="3"/>
      <c r="Z189" s="3"/>
      <c r="AA189" s="3"/>
      <c r="AB189" s="3" t="str">
        <f t="shared" si="8"/>
        <v>Paid</v>
      </c>
      <c r="AC189" s="3"/>
    </row>
    <row r="190" spans="1:29" x14ac:dyDescent="0.25">
      <c r="A190" s="29" t="s">
        <v>5</v>
      </c>
      <c r="B190" s="10" t="s">
        <v>560</v>
      </c>
      <c r="C190" s="10" t="e">
        <f>VLOOKUP(B190,'[1]MAY MONTH'!$B:$C,2,0)</f>
        <v>#N/A</v>
      </c>
      <c r="D190" s="10" t="s">
        <v>559</v>
      </c>
      <c r="E190" s="10" t="s">
        <v>558</v>
      </c>
      <c r="F190" s="10" t="s">
        <v>4</v>
      </c>
      <c r="G190" s="10" t="s">
        <v>557</v>
      </c>
      <c r="H190" s="10" t="s">
        <v>556</v>
      </c>
      <c r="I190" s="10" t="s">
        <v>555</v>
      </c>
      <c r="J190" s="22">
        <v>46145</v>
      </c>
      <c r="K190" s="3" t="s">
        <v>9</v>
      </c>
      <c r="L190" s="10" t="s">
        <v>8</v>
      </c>
      <c r="M190" s="10" t="s">
        <v>11</v>
      </c>
      <c r="N190" s="5">
        <v>0</v>
      </c>
      <c r="O190" s="5">
        <v>8127</v>
      </c>
      <c r="P190" s="5">
        <v>8727</v>
      </c>
      <c r="Q190" s="11">
        <f t="shared" si="6"/>
        <v>600</v>
      </c>
      <c r="R190" s="11">
        <v>10000</v>
      </c>
      <c r="S190" s="11">
        <f t="shared" si="7"/>
        <v>1873</v>
      </c>
      <c r="T190" s="11">
        <v>0</v>
      </c>
      <c r="U190" s="17" t="s">
        <v>7</v>
      </c>
      <c r="V190" s="18">
        <v>46145</v>
      </c>
      <c r="W190" s="3" t="s">
        <v>6</v>
      </c>
      <c r="X190" s="3"/>
      <c r="Y190" s="3"/>
      <c r="Z190" s="3"/>
      <c r="AA190" s="3"/>
      <c r="AB190" s="3" t="str">
        <f t="shared" si="8"/>
        <v>Paid</v>
      </c>
      <c r="AC190" s="3"/>
    </row>
    <row r="191" spans="1:29" x14ac:dyDescent="0.25">
      <c r="A191" s="29" t="s">
        <v>5</v>
      </c>
      <c r="B191" s="12" t="s">
        <v>554</v>
      </c>
      <c r="C191" s="10" t="e">
        <f>VLOOKUP(B191,'[1]MAY MONTH'!$B:$C,2,0)</f>
        <v>#N/A</v>
      </c>
      <c r="D191" s="12" t="s">
        <v>553</v>
      </c>
      <c r="E191" s="12" t="s">
        <v>552</v>
      </c>
      <c r="F191" s="10" t="s">
        <v>4</v>
      </c>
      <c r="G191" s="3" t="s">
        <v>49</v>
      </c>
      <c r="H191" s="3" t="s">
        <v>551</v>
      </c>
      <c r="I191" s="3" t="s">
        <v>397</v>
      </c>
      <c r="J191" s="13">
        <v>46145</v>
      </c>
      <c r="K191" s="3" t="s">
        <v>9</v>
      </c>
      <c r="L191" s="3" t="s">
        <v>28</v>
      </c>
      <c r="M191" s="10" t="s">
        <v>11</v>
      </c>
      <c r="N191" s="5">
        <v>0</v>
      </c>
      <c r="O191" s="5">
        <v>10000</v>
      </c>
      <c r="P191" s="11">
        <f>O191</f>
        <v>10000</v>
      </c>
      <c r="Q191" s="11">
        <f t="shared" si="6"/>
        <v>0</v>
      </c>
      <c r="R191" s="11">
        <v>10000</v>
      </c>
      <c r="S191" s="11">
        <f t="shared" si="7"/>
        <v>0</v>
      </c>
      <c r="T191" s="11">
        <v>0</v>
      </c>
      <c r="U191" s="17" t="s">
        <v>7</v>
      </c>
      <c r="V191" s="18">
        <v>46144</v>
      </c>
      <c r="W191" s="3" t="s">
        <v>6</v>
      </c>
      <c r="X191" s="3"/>
      <c r="Y191" s="3"/>
      <c r="Z191" s="3"/>
      <c r="AA191" s="3"/>
      <c r="AB191" s="3" t="str">
        <f t="shared" si="8"/>
        <v>Paid</v>
      </c>
      <c r="AC191" s="3"/>
    </row>
    <row r="192" spans="1:29" ht="30" x14ac:dyDescent="0.25">
      <c r="A192" s="29" t="s">
        <v>5</v>
      </c>
      <c r="B192" s="3" t="s">
        <v>550</v>
      </c>
      <c r="C192" s="10" t="e">
        <f>VLOOKUP(B192,'[1]MAY MONTH'!$B:$C,2,0)</f>
        <v>#N/A</v>
      </c>
      <c r="D192" s="3" t="s">
        <v>549</v>
      </c>
      <c r="E192" s="3" t="s">
        <v>548</v>
      </c>
      <c r="F192" s="10" t="s">
        <v>4</v>
      </c>
      <c r="G192" s="3" t="s">
        <v>435</v>
      </c>
      <c r="H192" s="3" t="s">
        <v>547</v>
      </c>
      <c r="I192" s="3" t="s">
        <v>546</v>
      </c>
      <c r="J192" s="13">
        <v>46145</v>
      </c>
      <c r="K192" s="3" t="s">
        <v>9</v>
      </c>
      <c r="L192" s="3" t="s">
        <v>35</v>
      </c>
      <c r="M192" s="10" t="s">
        <v>11</v>
      </c>
      <c r="N192" s="5">
        <v>0</v>
      </c>
      <c r="O192" s="5">
        <v>6441</v>
      </c>
      <c r="P192" s="5">
        <v>6841</v>
      </c>
      <c r="Q192" s="11">
        <f t="shared" si="6"/>
        <v>400</v>
      </c>
      <c r="R192" s="11">
        <v>10000</v>
      </c>
      <c r="S192" s="11">
        <f t="shared" si="7"/>
        <v>3559</v>
      </c>
      <c r="T192" s="11">
        <v>0</v>
      </c>
      <c r="U192" s="17" t="s">
        <v>7</v>
      </c>
      <c r="V192" s="18">
        <v>46144</v>
      </c>
      <c r="W192" s="3" t="s">
        <v>6</v>
      </c>
      <c r="X192" s="3"/>
      <c r="Y192" s="3"/>
      <c r="Z192" s="3"/>
      <c r="AA192" s="3"/>
      <c r="AB192" s="3" t="str">
        <f t="shared" si="8"/>
        <v>Paid</v>
      </c>
      <c r="AC192" s="3"/>
    </row>
    <row r="193" spans="1:30" x14ac:dyDescent="0.25">
      <c r="A193" s="29" t="s">
        <v>5</v>
      </c>
      <c r="B193" s="3" t="s">
        <v>545</v>
      </c>
      <c r="C193" s="10" t="e">
        <f>VLOOKUP(B193,'[1]MAY MONTH'!$B:$C,2,0)</f>
        <v>#N/A</v>
      </c>
      <c r="D193" s="3" t="s">
        <v>544</v>
      </c>
      <c r="E193" s="3" t="s">
        <v>543</v>
      </c>
      <c r="F193" s="10" t="s">
        <v>4</v>
      </c>
      <c r="G193" s="3" t="s">
        <v>12</v>
      </c>
      <c r="H193" s="3" t="s">
        <v>542</v>
      </c>
      <c r="I193" s="3" t="s">
        <v>10</v>
      </c>
      <c r="J193" s="13">
        <v>46145</v>
      </c>
      <c r="K193" s="3" t="s">
        <v>9</v>
      </c>
      <c r="L193" s="3" t="s">
        <v>8</v>
      </c>
      <c r="M193" s="10" t="s">
        <v>11</v>
      </c>
      <c r="N193" s="5">
        <v>0</v>
      </c>
      <c r="O193" s="5">
        <v>6596.2</v>
      </c>
      <c r="P193" s="5">
        <v>6596.2</v>
      </c>
      <c r="Q193" s="11">
        <f t="shared" si="6"/>
        <v>0</v>
      </c>
      <c r="R193" s="11">
        <v>10000</v>
      </c>
      <c r="S193" s="11">
        <f t="shared" si="7"/>
        <v>3403.8</v>
      </c>
      <c r="T193" s="11">
        <v>0</v>
      </c>
      <c r="U193" s="17" t="s">
        <v>7</v>
      </c>
      <c r="V193" s="18">
        <v>46145</v>
      </c>
      <c r="W193" s="3" t="s">
        <v>6</v>
      </c>
      <c r="X193" s="3"/>
      <c r="Y193" s="3"/>
      <c r="Z193" s="3"/>
      <c r="AA193" s="3"/>
      <c r="AB193" s="3" t="str">
        <f t="shared" si="8"/>
        <v>Paid</v>
      </c>
      <c r="AC193" s="3"/>
    </row>
    <row r="194" spans="1:30" x14ac:dyDescent="0.25">
      <c r="A194" s="29" t="s">
        <v>5</v>
      </c>
      <c r="B194" s="3" t="s">
        <v>541</v>
      </c>
      <c r="C194" s="10" t="e">
        <f>VLOOKUP(B194,'[1]MAY MONTH'!$B:$C,2,0)</f>
        <v>#N/A</v>
      </c>
      <c r="D194" s="3" t="s">
        <v>540</v>
      </c>
      <c r="E194" s="3" t="s">
        <v>539</v>
      </c>
      <c r="F194" s="10" t="s">
        <v>4</v>
      </c>
      <c r="G194" s="3" t="s">
        <v>538</v>
      </c>
      <c r="H194" s="3" t="s">
        <v>537</v>
      </c>
      <c r="I194" s="3" t="s">
        <v>10</v>
      </c>
      <c r="J194" s="13">
        <v>46145</v>
      </c>
      <c r="K194" s="3" t="s">
        <v>9</v>
      </c>
      <c r="L194" s="3" t="s">
        <v>8</v>
      </c>
      <c r="M194" s="10" t="s">
        <v>11</v>
      </c>
      <c r="N194" s="5">
        <v>0</v>
      </c>
      <c r="O194" s="5">
        <f>5535+308</f>
        <v>5843</v>
      </c>
      <c r="P194" s="5">
        <f>5535+308</f>
        <v>5843</v>
      </c>
      <c r="Q194" s="11">
        <f t="shared" ref="Q194:Q257" si="9">P194-O194</f>
        <v>0</v>
      </c>
      <c r="R194" s="11">
        <v>10000</v>
      </c>
      <c r="S194" s="11">
        <f t="shared" ref="S194:S257" si="10">R194-O194</f>
        <v>4157</v>
      </c>
      <c r="T194" s="11">
        <v>0</v>
      </c>
      <c r="U194" s="17" t="s">
        <v>7</v>
      </c>
      <c r="V194" s="18">
        <v>46144</v>
      </c>
      <c r="W194" s="3" t="s">
        <v>6</v>
      </c>
      <c r="X194" s="3"/>
      <c r="Y194" s="3"/>
      <c r="Z194" s="3"/>
      <c r="AA194" s="3"/>
      <c r="AB194" s="3" t="str">
        <f t="shared" ref="AB194:AB257" si="11">IF(O194,"Paid","Unpaid")</f>
        <v>Paid</v>
      </c>
      <c r="AC194" s="3"/>
    </row>
    <row r="195" spans="1:30" ht="30" x14ac:dyDescent="0.25">
      <c r="A195" s="29" t="s">
        <v>5</v>
      </c>
      <c r="B195" s="3" t="s">
        <v>536</v>
      </c>
      <c r="C195" s="10" t="e">
        <f>VLOOKUP(B195,'[1]MAY MONTH'!$B:$C,2,0)</f>
        <v>#N/A</v>
      </c>
      <c r="D195" s="3" t="s">
        <v>535</v>
      </c>
      <c r="E195" s="3" t="s">
        <v>534</v>
      </c>
      <c r="F195" s="10" t="s">
        <v>4</v>
      </c>
      <c r="G195" s="3" t="s">
        <v>533</v>
      </c>
      <c r="H195" s="3" t="s">
        <v>532</v>
      </c>
      <c r="I195" s="3" t="s">
        <v>169</v>
      </c>
      <c r="J195" s="13">
        <v>46144</v>
      </c>
      <c r="K195" s="22" t="s">
        <v>215</v>
      </c>
      <c r="L195" s="3" t="s">
        <v>35</v>
      </c>
      <c r="M195" s="10" t="s">
        <v>20</v>
      </c>
      <c r="N195" s="5">
        <v>0</v>
      </c>
      <c r="O195" s="5">
        <v>3643</v>
      </c>
      <c r="P195" s="5">
        <v>4743</v>
      </c>
      <c r="Q195" s="11">
        <f t="shared" si="9"/>
        <v>1100</v>
      </c>
      <c r="R195" s="11">
        <v>10000</v>
      </c>
      <c r="S195" s="11">
        <f t="shared" si="10"/>
        <v>6357</v>
      </c>
      <c r="T195" s="11">
        <v>0</v>
      </c>
      <c r="U195" s="17" t="s">
        <v>7</v>
      </c>
      <c r="V195" s="18">
        <v>46144</v>
      </c>
      <c r="W195" s="3" t="s">
        <v>6</v>
      </c>
      <c r="X195" s="3"/>
      <c r="Y195" s="3"/>
      <c r="Z195" s="3"/>
      <c r="AA195" s="3"/>
      <c r="AB195" s="3" t="str">
        <f t="shared" si="11"/>
        <v>Paid</v>
      </c>
      <c r="AC195" s="3"/>
    </row>
    <row r="196" spans="1:30" x14ac:dyDescent="0.25">
      <c r="A196" s="3" t="s">
        <v>19</v>
      </c>
      <c r="B196" s="3" t="s">
        <v>531</v>
      </c>
      <c r="C196" s="10" t="e">
        <f>VLOOKUP(B196,'[1]MAY MONTH'!$B:$C,2,0)</f>
        <v>#N/A</v>
      </c>
      <c r="D196" s="3" t="s">
        <v>530</v>
      </c>
      <c r="E196" s="3" t="s">
        <v>529</v>
      </c>
      <c r="F196" s="10" t="s">
        <v>4</v>
      </c>
      <c r="G196" s="3" t="s">
        <v>24</v>
      </c>
      <c r="H196" s="3" t="s">
        <v>528</v>
      </c>
      <c r="I196" s="3" t="s">
        <v>527</v>
      </c>
      <c r="J196" s="13">
        <v>46144</v>
      </c>
      <c r="K196" s="13" t="s">
        <v>9</v>
      </c>
      <c r="L196" s="3" t="s">
        <v>1</v>
      </c>
      <c r="M196" s="3" t="s">
        <v>1</v>
      </c>
      <c r="N196" s="5">
        <v>0</v>
      </c>
      <c r="O196" s="5">
        <v>13098</v>
      </c>
      <c r="P196" s="5">
        <v>18098</v>
      </c>
      <c r="Q196" s="11">
        <f t="shared" si="9"/>
        <v>5000</v>
      </c>
      <c r="R196" s="5">
        <v>22000</v>
      </c>
      <c r="S196" s="11">
        <f t="shared" si="10"/>
        <v>8902</v>
      </c>
      <c r="T196" s="11">
        <v>0</v>
      </c>
      <c r="U196" s="17" t="s">
        <v>7</v>
      </c>
      <c r="V196" s="18">
        <v>46144</v>
      </c>
      <c r="W196" s="3" t="s">
        <v>6</v>
      </c>
      <c r="X196" s="3"/>
      <c r="Y196" s="3"/>
      <c r="Z196" s="3"/>
      <c r="AA196" s="3"/>
      <c r="AB196" s="3" t="str">
        <f t="shared" si="11"/>
        <v>Paid</v>
      </c>
      <c r="AC196" s="3"/>
    </row>
    <row r="197" spans="1:30" x14ac:dyDescent="0.25">
      <c r="A197" s="3" t="s">
        <v>5</v>
      </c>
      <c r="B197" s="3" t="s">
        <v>526</v>
      </c>
      <c r="C197" s="10" t="e">
        <f>VLOOKUP(B197,'[1]MAY MONTH'!$B:$C,2,0)</f>
        <v>#N/A</v>
      </c>
      <c r="D197" s="3" t="s">
        <v>525</v>
      </c>
      <c r="E197" s="3" t="s">
        <v>524</v>
      </c>
      <c r="F197" s="10" t="s">
        <v>82</v>
      </c>
      <c r="G197" s="3" t="s">
        <v>523</v>
      </c>
      <c r="H197" s="3" t="s">
        <v>522</v>
      </c>
      <c r="I197" s="3" t="s">
        <v>122</v>
      </c>
      <c r="J197" s="13">
        <v>46145</v>
      </c>
      <c r="K197" s="28" t="s">
        <v>82</v>
      </c>
      <c r="L197" s="3" t="s">
        <v>8</v>
      </c>
      <c r="M197" s="3" t="s">
        <v>8</v>
      </c>
      <c r="N197" s="5">
        <v>0</v>
      </c>
      <c r="O197" s="5">
        <v>9870</v>
      </c>
      <c r="P197" s="5">
        <v>9870</v>
      </c>
      <c r="Q197" s="11">
        <f t="shared" si="9"/>
        <v>0</v>
      </c>
      <c r="R197" s="11">
        <v>10000</v>
      </c>
      <c r="S197" s="11">
        <f t="shared" si="10"/>
        <v>130</v>
      </c>
      <c r="T197" s="11">
        <v>0</v>
      </c>
      <c r="U197" s="17" t="s">
        <v>7</v>
      </c>
      <c r="V197" s="18">
        <v>46145</v>
      </c>
      <c r="W197" s="3" t="s">
        <v>6</v>
      </c>
      <c r="X197" s="3"/>
      <c r="Y197" s="3"/>
      <c r="Z197" s="3"/>
      <c r="AA197" s="3"/>
      <c r="AB197" s="3" t="str">
        <f t="shared" si="11"/>
        <v>Paid</v>
      </c>
      <c r="AC197" s="3"/>
    </row>
    <row r="198" spans="1:30" x14ac:dyDescent="0.25">
      <c r="A198" s="29" t="s">
        <v>5</v>
      </c>
      <c r="B198" s="3" t="s">
        <v>521</v>
      </c>
      <c r="C198" s="10" t="e">
        <f>VLOOKUP(B198,'[1]MAY MONTH'!$B:$C,2,0)</f>
        <v>#N/A</v>
      </c>
      <c r="D198" s="3" t="s">
        <v>520</v>
      </c>
      <c r="E198" s="3" t="s">
        <v>519</v>
      </c>
      <c r="F198" s="10" t="s">
        <v>4</v>
      </c>
      <c r="G198" s="3" t="s">
        <v>518</v>
      </c>
      <c r="H198" s="3" t="s">
        <v>517</v>
      </c>
      <c r="I198" s="3" t="s">
        <v>10</v>
      </c>
      <c r="J198" s="13">
        <v>46145</v>
      </c>
      <c r="K198" s="3" t="s">
        <v>9</v>
      </c>
      <c r="L198" s="3" t="s">
        <v>8</v>
      </c>
      <c r="M198" s="10" t="s">
        <v>11</v>
      </c>
      <c r="N198" s="5">
        <v>0</v>
      </c>
      <c r="O198" s="5">
        <v>7928</v>
      </c>
      <c r="P198" s="5">
        <v>7928</v>
      </c>
      <c r="Q198" s="11">
        <f t="shared" si="9"/>
        <v>0</v>
      </c>
      <c r="R198" s="11">
        <v>10000</v>
      </c>
      <c r="S198" s="11">
        <f t="shared" si="10"/>
        <v>2072</v>
      </c>
      <c r="T198" s="11">
        <v>0</v>
      </c>
      <c r="U198" s="17" t="s">
        <v>7</v>
      </c>
      <c r="V198" s="18">
        <v>46145</v>
      </c>
      <c r="W198" s="3" t="s">
        <v>6</v>
      </c>
      <c r="X198" s="3"/>
      <c r="Y198" s="3"/>
      <c r="Z198" s="3"/>
      <c r="AA198" s="3"/>
      <c r="AB198" s="3" t="str">
        <f t="shared" si="11"/>
        <v>Paid</v>
      </c>
      <c r="AC198" s="3"/>
    </row>
    <row r="199" spans="1:30" x14ac:dyDescent="0.25">
      <c r="A199" s="10" t="s">
        <v>5</v>
      </c>
      <c r="B199" s="3" t="s">
        <v>516</v>
      </c>
      <c r="C199" s="10" t="e">
        <f>VLOOKUP(B199,'[1]MAY MONTH'!$B:$C,2,0)</f>
        <v>#N/A</v>
      </c>
      <c r="D199" s="3" t="s">
        <v>515</v>
      </c>
      <c r="E199" s="3" t="s">
        <v>514</v>
      </c>
      <c r="F199" s="10" t="s">
        <v>4</v>
      </c>
      <c r="G199" s="3" t="s">
        <v>224</v>
      </c>
      <c r="H199" s="3" t="s">
        <v>223</v>
      </c>
      <c r="I199" s="3" t="s">
        <v>513</v>
      </c>
      <c r="J199" s="13">
        <v>46145</v>
      </c>
      <c r="K199" s="22" t="s">
        <v>215</v>
      </c>
      <c r="L199" s="3" t="s">
        <v>8</v>
      </c>
      <c r="M199" s="10" t="s">
        <v>11</v>
      </c>
      <c r="N199" s="11">
        <v>0</v>
      </c>
      <c r="O199" s="11">
        <v>5540</v>
      </c>
      <c r="P199" s="11">
        <v>8540</v>
      </c>
      <c r="Q199" s="11">
        <f t="shared" si="9"/>
        <v>3000</v>
      </c>
      <c r="R199" s="11">
        <v>10000</v>
      </c>
      <c r="S199" s="11">
        <f t="shared" si="10"/>
        <v>4460</v>
      </c>
      <c r="T199" s="11">
        <v>0</v>
      </c>
      <c r="U199" s="17" t="s">
        <v>7</v>
      </c>
      <c r="V199" s="18">
        <v>46145</v>
      </c>
      <c r="W199" s="3" t="s">
        <v>6</v>
      </c>
      <c r="X199" s="3"/>
      <c r="Y199" s="3"/>
      <c r="Z199" s="3"/>
      <c r="AA199" s="3"/>
      <c r="AB199" s="3" t="str">
        <f t="shared" si="11"/>
        <v>Paid</v>
      </c>
      <c r="AC199" s="3"/>
    </row>
    <row r="200" spans="1:30" x14ac:dyDescent="0.25">
      <c r="A200" s="7" t="s">
        <v>5</v>
      </c>
      <c r="B200" s="12" t="s">
        <v>512</v>
      </c>
      <c r="C200" s="10" t="e">
        <f>VLOOKUP(B200,'[1]MAY MONTH'!$B:$C,2,0)</f>
        <v>#N/A</v>
      </c>
      <c r="D200" s="12" t="s">
        <v>511</v>
      </c>
      <c r="E200" s="12" t="s">
        <v>510</v>
      </c>
      <c r="F200" s="10" t="s">
        <v>4</v>
      </c>
      <c r="G200" s="12" t="s">
        <v>509</v>
      </c>
      <c r="H200" s="56" t="s">
        <v>508</v>
      </c>
      <c r="I200" s="12" t="s">
        <v>507</v>
      </c>
      <c r="J200" s="13">
        <v>46145</v>
      </c>
      <c r="K200" s="22" t="s">
        <v>215</v>
      </c>
      <c r="L200" s="12" t="s">
        <v>1</v>
      </c>
      <c r="M200" s="11" t="s">
        <v>0</v>
      </c>
      <c r="N200" s="5">
        <v>0</v>
      </c>
      <c r="O200" s="5">
        <v>2236</v>
      </c>
      <c r="P200" s="5">
        <v>4122</v>
      </c>
      <c r="Q200" s="11">
        <f t="shared" si="9"/>
        <v>1886</v>
      </c>
      <c r="R200" s="11">
        <v>10000</v>
      </c>
      <c r="S200" s="11">
        <f t="shared" si="10"/>
        <v>7764</v>
      </c>
      <c r="T200" s="11">
        <v>0</v>
      </c>
      <c r="U200" s="3" t="s">
        <v>7</v>
      </c>
      <c r="V200" s="18">
        <v>46145</v>
      </c>
      <c r="W200" s="3" t="s">
        <v>6</v>
      </c>
      <c r="X200" s="3"/>
      <c r="Y200" s="3"/>
      <c r="Z200" s="3"/>
      <c r="AA200" s="3"/>
      <c r="AB200" s="3" t="str">
        <f t="shared" si="11"/>
        <v>Paid</v>
      </c>
      <c r="AC200" s="3"/>
    </row>
    <row r="201" spans="1:30" x14ac:dyDescent="0.25">
      <c r="A201" s="7" t="s">
        <v>5</v>
      </c>
      <c r="B201" s="12" t="s">
        <v>506</v>
      </c>
      <c r="C201" s="10" t="e">
        <f>VLOOKUP(B201,'[1]MAY MONTH'!$B:$C,2,0)</f>
        <v>#N/A</v>
      </c>
      <c r="D201" s="12" t="s">
        <v>505</v>
      </c>
      <c r="E201" s="12" t="s">
        <v>504</v>
      </c>
      <c r="F201" s="10" t="s">
        <v>4</v>
      </c>
      <c r="G201" s="12" t="s">
        <v>503</v>
      </c>
      <c r="H201" s="12" t="s">
        <v>502</v>
      </c>
      <c r="I201" s="12" t="s">
        <v>371</v>
      </c>
      <c r="J201" s="13">
        <v>46145</v>
      </c>
      <c r="K201" s="22" t="s">
        <v>215</v>
      </c>
      <c r="L201" s="12" t="s">
        <v>35</v>
      </c>
      <c r="M201" s="11" t="s">
        <v>0</v>
      </c>
      <c r="N201" s="5">
        <v>0</v>
      </c>
      <c r="O201" s="5">
        <v>7897</v>
      </c>
      <c r="P201" s="5">
        <v>9197</v>
      </c>
      <c r="Q201" s="11">
        <f t="shared" si="9"/>
        <v>1300</v>
      </c>
      <c r="R201" s="11">
        <v>10000</v>
      </c>
      <c r="S201" s="11">
        <f t="shared" si="10"/>
        <v>2103</v>
      </c>
      <c r="T201" s="11">
        <v>0</v>
      </c>
      <c r="U201" s="3" t="s">
        <v>7</v>
      </c>
      <c r="V201" s="18">
        <v>46145</v>
      </c>
      <c r="W201" s="3" t="s">
        <v>6</v>
      </c>
      <c r="X201" s="3"/>
      <c r="Y201" s="3"/>
      <c r="Z201" s="3"/>
      <c r="AA201" s="3"/>
      <c r="AB201" s="3" t="str">
        <f t="shared" si="11"/>
        <v>Paid</v>
      </c>
      <c r="AC201" s="3"/>
    </row>
    <row r="202" spans="1:30" x14ac:dyDescent="0.25">
      <c r="A202" s="29" t="s">
        <v>5</v>
      </c>
      <c r="B202" s="3" t="s">
        <v>501</v>
      </c>
      <c r="C202" s="10" t="e">
        <f>VLOOKUP(B202,'[1]MAY MONTH'!$B:$C,2,0)</f>
        <v>#N/A</v>
      </c>
      <c r="D202" s="3" t="s">
        <v>500</v>
      </c>
      <c r="E202" s="3" t="s">
        <v>499</v>
      </c>
      <c r="F202" s="10" t="s">
        <v>4</v>
      </c>
      <c r="G202" s="3" t="s">
        <v>498</v>
      </c>
      <c r="H202" s="3" t="s">
        <v>497</v>
      </c>
      <c r="I202" s="3" t="s">
        <v>496</v>
      </c>
      <c r="J202" s="13">
        <v>46144</v>
      </c>
      <c r="K202" s="22" t="s">
        <v>215</v>
      </c>
      <c r="L202" s="3" t="s">
        <v>35</v>
      </c>
      <c r="M202" s="3" t="s">
        <v>478</v>
      </c>
      <c r="N202" s="5">
        <v>0</v>
      </c>
      <c r="O202" s="5">
        <v>10000</v>
      </c>
      <c r="P202" s="11">
        <f>O202</f>
        <v>10000</v>
      </c>
      <c r="Q202" s="11">
        <f t="shared" si="9"/>
        <v>0</v>
      </c>
      <c r="R202" s="11">
        <v>10000</v>
      </c>
      <c r="S202" s="11">
        <f t="shared" si="10"/>
        <v>0</v>
      </c>
      <c r="T202" s="11">
        <v>0</v>
      </c>
      <c r="U202" s="3" t="s">
        <v>7</v>
      </c>
      <c r="V202" s="18">
        <v>46145</v>
      </c>
      <c r="W202" s="3" t="s">
        <v>6</v>
      </c>
      <c r="X202" s="3"/>
      <c r="Y202" s="3"/>
      <c r="Z202" s="3"/>
      <c r="AA202" s="3" t="s">
        <v>495</v>
      </c>
      <c r="AB202" s="3" t="str">
        <f t="shared" si="11"/>
        <v>Paid</v>
      </c>
      <c r="AC202" s="3"/>
    </row>
    <row r="203" spans="1:30" x14ac:dyDescent="0.25">
      <c r="A203" s="7" t="s">
        <v>5</v>
      </c>
      <c r="B203" s="3" t="s">
        <v>494</v>
      </c>
      <c r="C203" s="10" t="e">
        <f>VLOOKUP(B203,'[1]MAY MONTH'!$B:$C,2,0)</f>
        <v>#N/A</v>
      </c>
      <c r="D203" s="3" t="s">
        <v>493</v>
      </c>
      <c r="E203" s="3" t="s">
        <v>492</v>
      </c>
      <c r="F203" s="10" t="s">
        <v>4</v>
      </c>
      <c r="G203" s="3" t="s">
        <v>491</v>
      </c>
      <c r="H203" s="3" t="s">
        <v>490</v>
      </c>
      <c r="I203" s="3" t="s">
        <v>489</v>
      </c>
      <c r="J203" s="23">
        <v>46145</v>
      </c>
      <c r="K203" s="22" t="s">
        <v>215</v>
      </c>
      <c r="L203" s="3" t="s">
        <v>8</v>
      </c>
      <c r="M203" s="3" t="s">
        <v>8</v>
      </c>
      <c r="N203" s="5">
        <v>0</v>
      </c>
      <c r="O203" s="5">
        <v>5994</v>
      </c>
      <c r="P203" s="5">
        <v>6994</v>
      </c>
      <c r="Q203" s="11">
        <f t="shared" si="9"/>
        <v>1000</v>
      </c>
      <c r="R203" s="11">
        <v>10000</v>
      </c>
      <c r="S203" s="11">
        <f t="shared" si="10"/>
        <v>4006</v>
      </c>
      <c r="T203" s="11">
        <v>0</v>
      </c>
      <c r="U203" s="3" t="s">
        <v>7</v>
      </c>
      <c r="V203" s="18">
        <v>46145</v>
      </c>
      <c r="W203" s="3" t="s">
        <v>6</v>
      </c>
      <c r="X203" s="3"/>
      <c r="Y203" s="3"/>
      <c r="Z203" s="3"/>
      <c r="AA203" s="3"/>
      <c r="AB203" s="3" t="str">
        <f t="shared" si="11"/>
        <v>Paid</v>
      </c>
      <c r="AC203" s="3"/>
    </row>
    <row r="204" spans="1:30" x14ac:dyDescent="0.25">
      <c r="A204" s="7" t="s">
        <v>5</v>
      </c>
      <c r="B204" s="12" t="s">
        <v>488</v>
      </c>
      <c r="C204" s="10" t="e">
        <f>VLOOKUP(B204,'[1]MAY MONTH'!$B:$C,2,0)</f>
        <v>#N/A</v>
      </c>
      <c r="D204" s="12" t="s">
        <v>487</v>
      </c>
      <c r="E204" s="12" t="s">
        <v>486</v>
      </c>
      <c r="F204" s="10" t="s">
        <v>4</v>
      </c>
      <c r="G204" s="3" t="s">
        <v>352</v>
      </c>
      <c r="H204" s="3" t="s">
        <v>485</v>
      </c>
      <c r="I204" s="3" t="s">
        <v>110</v>
      </c>
      <c r="J204" s="13">
        <v>46144</v>
      </c>
      <c r="K204" s="22" t="s">
        <v>215</v>
      </c>
      <c r="L204" s="3" t="s">
        <v>28</v>
      </c>
      <c r="M204" s="3" t="s">
        <v>28</v>
      </c>
      <c r="N204" s="5">
        <v>0</v>
      </c>
      <c r="O204" s="5">
        <v>4010</v>
      </c>
      <c r="P204" s="5">
        <v>5410</v>
      </c>
      <c r="Q204" s="11">
        <f t="shared" si="9"/>
        <v>1400</v>
      </c>
      <c r="R204" s="11">
        <v>10000</v>
      </c>
      <c r="S204" s="11">
        <f t="shared" si="10"/>
        <v>5990</v>
      </c>
      <c r="T204" s="11">
        <v>0</v>
      </c>
      <c r="U204" s="3" t="s">
        <v>7</v>
      </c>
      <c r="V204" s="18">
        <v>46145</v>
      </c>
      <c r="W204" s="3" t="s">
        <v>6</v>
      </c>
      <c r="X204" s="3"/>
      <c r="Y204" s="3"/>
      <c r="Z204" s="3"/>
      <c r="AA204" s="3"/>
      <c r="AB204" s="3" t="str">
        <f t="shared" si="11"/>
        <v>Paid</v>
      </c>
      <c r="AC204" s="3"/>
    </row>
    <row r="205" spans="1:30" x14ac:dyDescent="0.25">
      <c r="A205" s="3" t="s">
        <v>5</v>
      </c>
      <c r="B205" s="3" t="s">
        <v>484</v>
      </c>
      <c r="C205" s="10" t="e">
        <f>VLOOKUP(B205,'[1]MAY MONTH'!$B:$C,2,0)</f>
        <v>#N/A</v>
      </c>
      <c r="D205" s="25" t="s">
        <v>483</v>
      </c>
      <c r="E205" s="3" t="s">
        <v>482</v>
      </c>
      <c r="F205" s="10" t="s">
        <v>4</v>
      </c>
      <c r="G205" s="3" t="s">
        <v>481</v>
      </c>
      <c r="H205" s="3" t="s">
        <v>480</v>
      </c>
      <c r="I205" s="3" t="s">
        <v>479</v>
      </c>
      <c r="J205" s="13">
        <v>46141</v>
      </c>
      <c r="K205" s="28" t="s">
        <v>82</v>
      </c>
      <c r="L205" s="3" t="s">
        <v>35</v>
      </c>
      <c r="M205" s="3" t="s">
        <v>478</v>
      </c>
      <c r="N205" s="5">
        <v>0</v>
      </c>
      <c r="O205" s="5">
        <v>8000</v>
      </c>
      <c r="P205" s="5">
        <v>9000</v>
      </c>
      <c r="Q205" s="11">
        <f t="shared" si="9"/>
        <v>1000</v>
      </c>
      <c r="R205" s="11">
        <v>10000</v>
      </c>
      <c r="S205" s="11">
        <f t="shared" si="10"/>
        <v>2000</v>
      </c>
      <c r="T205" s="11">
        <v>0</v>
      </c>
      <c r="U205" s="18" t="s">
        <v>7</v>
      </c>
      <c r="V205" s="18">
        <v>46145</v>
      </c>
      <c r="W205" s="3" t="s">
        <v>6</v>
      </c>
      <c r="X205" s="3"/>
      <c r="Y205" s="3"/>
      <c r="Z205" s="3"/>
      <c r="AA205" s="3"/>
      <c r="AB205" s="3" t="str">
        <f t="shared" si="11"/>
        <v>Paid</v>
      </c>
      <c r="AC205" s="3"/>
    </row>
    <row r="206" spans="1:30" x14ac:dyDescent="0.25">
      <c r="A206" s="3" t="s">
        <v>19</v>
      </c>
      <c r="B206" s="12" t="s">
        <v>477</v>
      </c>
      <c r="C206" s="10" t="e">
        <f>VLOOKUP(B206,'[1]MAY MONTH'!$B:$C,2,0)</f>
        <v>#N/A</v>
      </c>
      <c r="D206" s="12" t="s">
        <v>476</v>
      </c>
      <c r="E206" s="12" t="s">
        <v>475</v>
      </c>
      <c r="F206" s="10" t="s">
        <v>82</v>
      </c>
      <c r="G206" s="3" t="s">
        <v>181</v>
      </c>
      <c r="H206" s="3" t="s">
        <v>474</v>
      </c>
      <c r="I206" s="3" t="s">
        <v>89</v>
      </c>
      <c r="J206" s="13">
        <v>46145</v>
      </c>
      <c r="K206" s="28" t="s">
        <v>82</v>
      </c>
      <c r="L206" s="3" t="s">
        <v>28</v>
      </c>
      <c r="M206" s="3" t="s">
        <v>28</v>
      </c>
      <c r="N206" s="5">
        <v>0</v>
      </c>
      <c r="O206" s="5">
        <v>21200</v>
      </c>
      <c r="P206" s="5">
        <v>21200</v>
      </c>
      <c r="Q206" s="11">
        <f t="shared" si="9"/>
        <v>0</v>
      </c>
      <c r="R206" s="5">
        <v>22000</v>
      </c>
      <c r="S206" s="11">
        <f t="shared" si="10"/>
        <v>800</v>
      </c>
      <c r="T206" s="11">
        <v>0</v>
      </c>
      <c r="U206" s="3" t="s">
        <v>7</v>
      </c>
      <c r="V206" s="18">
        <v>46145</v>
      </c>
      <c r="W206" s="3"/>
      <c r="X206" s="3"/>
      <c r="Y206" s="3"/>
      <c r="Z206" s="3"/>
      <c r="AA206" s="3"/>
      <c r="AB206" s="3" t="str">
        <f t="shared" si="11"/>
        <v>Paid</v>
      </c>
      <c r="AC206" s="3"/>
    </row>
    <row r="207" spans="1:30" s="16" customFormat="1" x14ac:dyDescent="0.25">
      <c r="A207" s="7" t="s">
        <v>5</v>
      </c>
      <c r="B207" s="12" t="s">
        <v>473</v>
      </c>
      <c r="C207" s="10" t="e">
        <f>VLOOKUP(B207,'[1]MAY MONTH'!$B:$C,2,0)</f>
        <v>#N/A</v>
      </c>
      <c r="D207" s="12" t="s">
        <v>472</v>
      </c>
      <c r="E207" s="12" t="s">
        <v>471</v>
      </c>
      <c r="F207" s="10" t="s">
        <v>21</v>
      </c>
      <c r="G207" s="3" t="s">
        <v>470</v>
      </c>
      <c r="H207" s="3" t="s">
        <v>469</v>
      </c>
      <c r="I207" s="25" t="s">
        <v>36</v>
      </c>
      <c r="J207" s="13">
        <v>46144</v>
      </c>
      <c r="K207" s="22" t="s">
        <v>21</v>
      </c>
      <c r="L207" s="3" t="s">
        <v>28</v>
      </c>
      <c r="M207" s="10" t="s">
        <v>20</v>
      </c>
      <c r="N207" s="5">
        <v>0</v>
      </c>
      <c r="O207" s="11">
        <v>4725</v>
      </c>
      <c r="P207" s="11">
        <v>6925</v>
      </c>
      <c r="Q207" s="11">
        <f t="shared" si="9"/>
        <v>2200</v>
      </c>
      <c r="R207" s="11">
        <v>10000</v>
      </c>
      <c r="S207" s="11">
        <f t="shared" si="10"/>
        <v>5275</v>
      </c>
      <c r="T207" s="11">
        <v>0</v>
      </c>
      <c r="U207" s="5" t="s">
        <v>7</v>
      </c>
      <c r="V207" s="4">
        <v>46146</v>
      </c>
      <c r="W207" s="3" t="s">
        <v>6</v>
      </c>
      <c r="X207" s="17"/>
      <c r="Y207" s="17"/>
      <c r="Z207" s="17"/>
      <c r="AA207" s="17"/>
      <c r="AB207" s="3" t="str">
        <f t="shared" si="11"/>
        <v>Paid</v>
      </c>
      <c r="AC207" s="17"/>
      <c r="AD207" s="1"/>
    </row>
    <row r="208" spans="1:30" x14ac:dyDescent="0.25">
      <c r="A208" s="7" t="s">
        <v>5</v>
      </c>
      <c r="B208" s="3" t="s">
        <v>468</v>
      </c>
      <c r="C208" s="10" t="e">
        <f>VLOOKUP(B208,'[1]MAY MONTH'!$B:$C,2,0)</f>
        <v>#N/A</v>
      </c>
      <c r="D208" s="3" t="s">
        <v>467</v>
      </c>
      <c r="E208" s="3" t="s">
        <v>466</v>
      </c>
      <c r="F208" s="10" t="s">
        <v>4</v>
      </c>
      <c r="G208" s="3" t="s">
        <v>465</v>
      </c>
      <c r="H208" s="3" t="s">
        <v>464</v>
      </c>
      <c r="I208" s="3" t="s">
        <v>458</v>
      </c>
      <c r="J208" s="13">
        <v>46143</v>
      </c>
      <c r="K208" s="22" t="s">
        <v>215</v>
      </c>
      <c r="L208" s="3" t="s">
        <v>1</v>
      </c>
      <c r="M208" s="3" t="s">
        <v>1</v>
      </c>
      <c r="N208" s="5">
        <v>0</v>
      </c>
      <c r="O208" s="5">
        <v>4832</v>
      </c>
      <c r="P208" s="5">
        <v>6132</v>
      </c>
      <c r="Q208" s="11">
        <f t="shared" si="9"/>
        <v>1300</v>
      </c>
      <c r="R208" s="11">
        <v>10000</v>
      </c>
      <c r="S208" s="11">
        <f t="shared" si="10"/>
        <v>5168</v>
      </c>
      <c r="T208" s="11">
        <v>0</v>
      </c>
      <c r="U208" s="3" t="s">
        <v>7</v>
      </c>
      <c r="V208" s="18">
        <v>46146</v>
      </c>
      <c r="W208" s="3" t="s">
        <v>6</v>
      </c>
      <c r="X208" s="3"/>
      <c r="Y208" s="3"/>
      <c r="Z208" s="3"/>
      <c r="AA208" s="3"/>
      <c r="AB208" s="3" t="str">
        <f t="shared" si="11"/>
        <v>Paid</v>
      </c>
      <c r="AC208" s="3"/>
    </row>
    <row r="209" spans="1:29" x14ac:dyDescent="0.25">
      <c r="A209" s="7" t="s">
        <v>5</v>
      </c>
      <c r="B209" s="12" t="s">
        <v>463</v>
      </c>
      <c r="C209" s="10" t="e">
        <f>VLOOKUP(B209,'[1]MAY MONTH'!$B:$C,2,0)</f>
        <v>#N/A</v>
      </c>
      <c r="D209" s="12" t="s">
        <v>462</v>
      </c>
      <c r="E209" s="12" t="s">
        <v>461</v>
      </c>
      <c r="F209" s="10" t="s">
        <v>4</v>
      </c>
      <c r="G209" s="12" t="s">
        <v>460</v>
      </c>
      <c r="H209" s="12" t="s">
        <v>459</v>
      </c>
      <c r="I209" s="12" t="s">
        <v>458</v>
      </c>
      <c r="J209" s="13">
        <v>46145</v>
      </c>
      <c r="K209" s="22" t="s">
        <v>215</v>
      </c>
      <c r="L209" s="12" t="s">
        <v>1</v>
      </c>
      <c r="M209" s="11" t="s">
        <v>0</v>
      </c>
      <c r="N209" s="5">
        <v>0</v>
      </c>
      <c r="O209" s="5">
        <v>12852</v>
      </c>
      <c r="P209" s="11">
        <f>O209</f>
        <v>12852</v>
      </c>
      <c r="Q209" s="11">
        <f t="shared" si="9"/>
        <v>0</v>
      </c>
      <c r="R209" s="11">
        <v>10000</v>
      </c>
      <c r="S209" s="11">
        <f t="shared" si="10"/>
        <v>-2852</v>
      </c>
      <c r="T209" s="11">
        <f>VLOOKUP(B209,[2]Sheet1!$B:$J,9,0)</f>
        <v>2852</v>
      </c>
      <c r="U209" s="3" t="s">
        <v>7</v>
      </c>
      <c r="V209" s="18">
        <v>46146</v>
      </c>
      <c r="W209" s="3" t="s">
        <v>6</v>
      </c>
      <c r="X209" s="3"/>
      <c r="Y209" s="3"/>
      <c r="Z209" s="3"/>
      <c r="AA209" s="3"/>
      <c r="AB209" s="3" t="str">
        <f t="shared" si="11"/>
        <v>Paid</v>
      </c>
      <c r="AC209" s="3"/>
    </row>
    <row r="210" spans="1:29" x14ac:dyDescent="0.25">
      <c r="A210" s="57" t="s">
        <v>5</v>
      </c>
      <c r="B210" s="3" t="s">
        <v>457</v>
      </c>
      <c r="C210" s="10" t="e">
        <f>VLOOKUP(B210,'[1]MAY MONTH'!$B:$C,2,0)</f>
        <v>#N/A</v>
      </c>
      <c r="D210" s="3" t="s">
        <v>456</v>
      </c>
      <c r="E210" s="3" t="s">
        <v>455</v>
      </c>
      <c r="F210" s="10" t="s">
        <v>4</v>
      </c>
      <c r="G210" s="3" t="s">
        <v>263</v>
      </c>
      <c r="H210" s="3" t="s">
        <v>454</v>
      </c>
      <c r="I210" s="3" t="s">
        <v>453</v>
      </c>
      <c r="J210" s="13">
        <v>46146</v>
      </c>
      <c r="K210" s="3" t="s">
        <v>9</v>
      </c>
      <c r="L210" s="3" t="s">
        <v>8</v>
      </c>
      <c r="M210" s="10" t="s">
        <v>11</v>
      </c>
      <c r="N210" s="5">
        <v>0</v>
      </c>
      <c r="O210" s="5">
        <v>8846</v>
      </c>
      <c r="P210" s="5">
        <v>8846</v>
      </c>
      <c r="Q210" s="11">
        <f t="shared" si="9"/>
        <v>0</v>
      </c>
      <c r="R210" s="11">
        <v>10000</v>
      </c>
      <c r="S210" s="11">
        <f t="shared" si="10"/>
        <v>1154</v>
      </c>
      <c r="T210" s="11">
        <v>0</v>
      </c>
      <c r="U210" s="3" t="s">
        <v>7</v>
      </c>
      <c r="V210" s="18">
        <v>46146</v>
      </c>
      <c r="W210" s="3" t="s">
        <v>6</v>
      </c>
      <c r="X210" s="3"/>
      <c r="Y210" s="3"/>
      <c r="Z210" s="3"/>
      <c r="AA210" s="3"/>
      <c r="AB210" s="3" t="str">
        <f t="shared" si="11"/>
        <v>Paid</v>
      </c>
      <c r="AC210" s="3"/>
    </row>
    <row r="211" spans="1:29" x14ac:dyDescent="0.25">
      <c r="A211" s="57" t="s">
        <v>5</v>
      </c>
      <c r="B211" s="3" t="s">
        <v>452</v>
      </c>
      <c r="C211" s="10" t="e">
        <f>VLOOKUP(B211,'[1]MAY MONTH'!$B:$C,2,0)</f>
        <v>#N/A</v>
      </c>
      <c r="D211" s="3" t="s">
        <v>451</v>
      </c>
      <c r="E211" s="3" t="s">
        <v>450</v>
      </c>
      <c r="F211" s="10" t="s">
        <v>4</v>
      </c>
      <c r="G211" s="3" t="s">
        <v>449</v>
      </c>
      <c r="H211" s="3" t="s">
        <v>448</v>
      </c>
      <c r="I211" s="3" t="s">
        <v>36</v>
      </c>
      <c r="J211" s="13">
        <v>46146</v>
      </c>
      <c r="K211" s="22" t="s">
        <v>215</v>
      </c>
      <c r="L211" s="3" t="s">
        <v>1</v>
      </c>
      <c r="M211" s="3" t="s">
        <v>1</v>
      </c>
      <c r="N211" s="5">
        <v>0</v>
      </c>
      <c r="O211" s="5">
        <v>3934.12</v>
      </c>
      <c r="P211" s="5">
        <v>4434</v>
      </c>
      <c r="Q211" s="11">
        <f t="shared" si="9"/>
        <v>499.88000000000011</v>
      </c>
      <c r="R211" s="11">
        <v>10000</v>
      </c>
      <c r="S211" s="11">
        <f t="shared" si="10"/>
        <v>6065.88</v>
      </c>
      <c r="T211" s="11">
        <v>0</v>
      </c>
      <c r="U211" s="3" t="s">
        <v>7</v>
      </c>
      <c r="V211" s="18">
        <v>46146</v>
      </c>
      <c r="W211" s="3" t="s">
        <v>6</v>
      </c>
      <c r="X211" s="3"/>
      <c r="Y211" s="3"/>
      <c r="Z211" s="3"/>
      <c r="AA211" s="3"/>
      <c r="AB211" s="3" t="str">
        <f t="shared" si="11"/>
        <v>Paid</v>
      </c>
      <c r="AC211" s="3"/>
    </row>
    <row r="212" spans="1:29" x14ac:dyDescent="0.25">
      <c r="A212" s="29" t="s">
        <v>5</v>
      </c>
      <c r="B212" s="12" t="s">
        <v>447</v>
      </c>
      <c r="C212" s="10" t="e">
        <f>VLOOKUP(B212,'[1]MAY MONTH'!$B:$C,2,0)</f>
        <v>#N/A</v>
      </c>
      <c r="D212" s="12" t="s">
        <v>446</v>
      </c>
      <c r="E212" s="12" t="s">
        <v>445</v>
      </c>
      <c r="F212" s="10" t="s">
        <v>82</v>
      </c>
      <c r="G212" s="12" t="s">
        <v>276</v>
      </c>
      <c r="H212" s="12" t="s">
        <v>444</v>
      </c>
      <c r="I212" s="7" t="s">
        <v>2</v>
      </c>
      <c r="J212" s="23">
        <v>46146</v>
      </c>
      <c r="K212" s="28" t="s">
        <v>82</v>
      </c>
      <c r="L212" s="3" t="s">
        <v>8</v>
      </c>
      <c r="M212" s="11" t="s">
        <v>0</v>
      </c>
      <c r="N212" s="5">
        <v>0</v>
      </c>
      <c r="O212" s="5">
        <v>9600</v>
      </c>
      <c r="P212" s="5">
        <v>9600</v>
      </c>
      <c r="Q212" s="11">
        <f t="shared" si="9"/>
        <v>0</v>
      </c>
      <c r="R212" s="11">
        <v>10000</v>
      </c>
      <c r="S212" s="11">
        <f t="shared" si="10"/>
        <v>400</v>
      </c>
      <c r="T212" s="11">
        <v>0</v>
      </c>
      <c r="U212" s="3" t="s">
        <v>7</v>
      </c>
      <c r="V212" s="18">
        <v>46146</v>
      </c>
      <c r="W212" s="3" t="s">
        <v>6</v>
      </c>
      <c r="X212" s="3"/>
      <c r="Y212" s="3"/>
      <c r="Z212" s="3"/>
      <c r="AA212" s="3"/>
      <c r="AB212" s="3" t="str">
        <f t="shared" si="11"/>
        <v>Paid</v>
      </c>
      <c r="AC212" s="3"/>
    </row>
    <row r="213" spans="1:29" x14ac:dyDescent="0.25">
      <c r="A213" s="57" t="s">
        <v>5</v>
      </c>
      <c r="B213" s="3" t="s">
        <v>443</v>
      </c>
      <c r="C213" s="10" t="e">
        <f>VLOOKUP(B213,'[1]MAY MONTH'!$B:$C,2,0)</f>
        <v>#N/A</v>
      </c>
      <c r="D213" s="3" t="s">
        <v>442</v>
      </c>
      <c r="E213" s="3" t="s">
        <v>441</v>
      </c>
      <c r="F213" s="10" t="s">
        <v>4</v>
      </c>
      <c r="G213" s="3" t="s">
        <v>440</v>
      </c>
      <c r="H213" s="12" t="s">
        <v>439</v>
      </c>
      <c r="I213" s="3" t="s">
        <v>116</v>
      </c>
      <c r="J213" s="13">
        <v>46146</v>
      </c>
      <c r="K213" s="3" t="s">
        <v>9</v>
      </c>
      <c r="L213" s="3" t="s">
        <v>1</v>
      </c>
      <c r="M213" s="10" t="s">
        <v>20</v>
      </c>
      <c r="N213" s="5">
        <v>0</v>
      </c>
      <c r="O213" s="5">
        <v>8490</v>
      </c>
      <c r="P213" s="5">
        <v>9290</v>
      </c>
      <c r="Q213" s="11">
        <f t="shared" si="9"/>
        <v>800</v>
      </c>
      <c r="R213" s="11">
        <v>10000</v>
      </c>
      <c r="S213" s="11">
        <f t="shared" si="10"/>
        <v>1510</v>
      </c>
      <c r="T213" s="11">
        <v>0</v>
      </c>
      <c r="U213" s="3" t="s">
        <v>7</v>
      </c>
      <c r="V213" s="18">
        <v>46147</v>
      </c>
      <c r="W213" s="3" t="s">
        <v>6</v>
      </c>
      <c r="X213" s="3"/>
      <c r="Y213" s="3"/>
      <c r="Z213" s="3"/>
      <c r="AA213" s="3"/>
      <c r="AB213" s="3" t="str">
        <f t="shared" si="11"/>
        <v>Paid</v>
      </c>
      <c r="AC213" s="3"/>
    </row>
    <row r="214" spans="1:29" x14ac:dyDescent="0.25">
      <c r="A214" s="3" t="s">
        <v>19</v>
      </c>
      <c r="B214" s="3" t="s">
        <v>438</v>
      </c>
      <c r="C214" s="10" t="e">
        <f>VLOOKUP(B214,'[1]MAY MONTH'!$B:$C,2,0)</f>
        <v>#N/A</v>
      </c>
      <c r="D214" s="3" t="s">
        <v>437</v>
      </c>
      <c r="E214" s="3" t="s">
        <v>436</v>
      </c>
      <c r="F214" s="10" t="s">
        <v>21</v>
      </c>
      <c r="G214" s="3" t="s">
        <v>435</v>
      </c>
      <c r="H214" s="3" t="s">
        <v>434</v>
      </c>
      <c r="I214" s="3" t="s">
        <v>1138</v>
      </c>
      <c r="J214" s="20">
        <v>46147</v>
      </c>
      <c r="K214" s="22" t="s">
        <v>21</v>
      </c>
      <c r="L214" s="3" t="s">
        <v>8</v>
      </c>
      <c r="M214" s="3" t="s">
        <v>8</v>
      </c>
      <c r="N214" s="11">
        <v>0</v>
      </c>
      <c r="O214" s="11">
        <f>7371+14742</f>
        <v>22113</v>
      </c>
      <c r="P214" s="11">
        <f>7371+14742</f>
        <v>22113</v>
      </c>
      <c r="Q214" s="11">
        <f t="shared" si="9"/>
        <v>0</v>
      </c>
      <c r="R214" s="11">
        <v>22000</v>
      </c>
      <c r="S214" s="11">
        <f t="shared" si="10"/>
        <v>-113</v>
      </c>
      <c r="T214" s="11">
        <f>VLOOKUP(B214,[2]Sheet1!$B:$J,9,0)</f>
        <v>113</v>
      </c>
      <c r="U214" s="3" t="s">
        <v>7</v>
      </c>
      <c r="V214" s="18">
        <v>46147</v>
      </c>
      <c r="W214" s="3" t="s">
        <v>6</v>
      </c>
      <c r="X214" s="3"/>
      <c r="Y214" s="3"/>
      <c r="Z214" s="3"/>
      <c r="AA214" s="3" t="s">
        <v>433</v>
      </c>
      <c r="AB214" s="3" t="str">
        <f t="shared" si="11"/>
        <v>Paid</v>
      </c>
      <c r="AC214" s="3"/>
    </row>
    <row r="215" spans="1:29" x14ac:dyDescent="0.25">
      <c r="A215" s="7" t="s">
        <v>5</v>
      </c>
      <c r="B215" s="25" t="s">
        <v>432</v>
      </c>
      <c r="C215" s="10" t="e">
        <f>VLOOKUP(B215,'[1]MAY MONTH'!$B:$C,2,0)</f>
        <v>#N/A</v>
      </c>
      <c r="D215" s="25" t="s">
        <v>431</v>
      </c>
      <c r="E215" s="25" t="s">
        <v>430</v>
      </c>
      <c r="F215" s="10" t="s">
        <v>4</v>
      </c>
      <c r="G215" s="25" t="s">
        <v>429</v>
      </c>
      <c r="H215" s="25" t="s">
        <v>1461</v>
      </c>
      <c r="I215" s="25" t="s">
        <v>36</v>
      </c>
      <c r="J215" s="24">
        <v>46145</v>
      </c>
      <c r="K215" s="22" t="s">
        <v>215</v>
      </c>
      <c r="L215" s="25" t="s">
        <v>35</v>
      </c>
      <c r="M215" s="11" t="s">
        <v>0</v>
      </c>
      <c r="N215" s="5">
        <v>0</v>
      </c>
      <c r="O215" s="5">
        <v>2431</v>
      </c>
      <c r="P215" s="5">
        <v>3431</v>
      </c>
      <c r="Q215" s="11">
        <f t="shared" si="9"/>
        <v>1000</v>
      </c>
      <c r="R215" s="11">
        <v>10000</v>
      </c>
      <c r="S215" s="11">
        <f t="shared" si="10"/>
        <v>7569</v>
      </c>
      <c r="T215" s="11">
        <v>0</v>
      </c>
      <c r="U215" s="3" t="s">
        <v>7</v>
      </c>
      <c r="V215" s="18">
        <v>46153</v>
      </c>
      <c r="W215" s="3" t="s">
        <v>6</v>
      </c>
      <c r="X215" s="3"/>
      <c r="Y215" s="3"/>
      <c r="Z215" s="3"/>
      <c r="AA215" s="3"/>
      <c r="AB215" s="3" t="str">
        <f t="shared" si="11"/>
        <v>Paid</v>
      </c>
      <c r="AC215" s="3"/>
    </row>
    <row r="216" spans="1:29" x14ac:dyDescent="0.25">
      <c r="A216" s="7" t="s">
        <v>5</v>
      </c>
      <c r="B216" s="10" t="s">
        <v>428</v>
      </c>
      <c r="C216" s="10" t="e">
        <f>VLOOKUP(B216,'[1]MAY MONTH'!$B:$C,2,0)</f>
        <v>#N/A</v>
      </c>
      <c r="D216" s="10" t="s">
        <v>427</v>
      </c>
      <c r="E216" s="10" t="s">
        <v>426</v>
      </c>
      <c r="F216" s="10" t="s">
        <v>82</v>
      </c>
      <c r="G216" s="10" t="s">
        <v>425</v>
      </c>
      <c r="H216" s="10" t="s">
        <v>424</v>
      </c>
      <c r="I216" s="25" t="s">
        <v>36</v>
      </c>
      <c r="J216" s="22">
        <v>46147</v>
      </c>
      <c r="K216" s="28" t="s">
        <v>82</v>
      </c>
      <c r="L216" s="10" t="s">
        <v>1</v>
      </c>
      <c r="M216" s="10" t="s">
        <v>20</v>
      </c>
      <c r="N216" s="5">
        <v>0</v>
      </c>
      <c r="O216" s="5">
        <v>10000</v>
      </c>
      <c r="P216" s="11">
        <f>O216</f>
        <v>10000</v>
      </c>
      <c r="Q216" s="11">
        <f t="shared" si="9"/>
        <v>0</v>
      </c>
      <c r="R216" s="11">
        <v>10000</v>
      </c>
      <c r="S216" s="11">
        <f t="shared" si="10"/>
        <v>0</v>
      </c>
      <c r="T216" s="11">
        <v>0</v>
      </c>
      <c r="U216" s="3" t="s">
        <v>7</v>
      </c>
      <c r="V216" s="18">
        <v>46147</v>
      </c>
      <c r="W216" s="3" t="s">
        <v>6</v>
      </c>
      <c r="X216" s="3"/>
      <c r="Y216" s="3"/>
      <c r="Z216" s="3"/>
      <c r="AA216" s="3"/>
      <c r="AB216" s="3" t="str">
        <f t="shared" si="11"/>
        <v>Paid</v>
      </c>
      <c r="AC216" s="3"/>
    </row>
    <row r="217" spans="1:29" x14ac:dyDescent="0.25">
      <c r="A217" s="7" t="s">
        <v>5</v>
      </c>
      <c r="B217" s="3" t="s">
        <v>423</v>
      </c>
      <c r="C217" s="10" t="e">
        <f>VLOOKUP(B217,'[1]MAY MONTH'!$B:$C,2,0)</f>
        <v>#N/A</v>
      </c>
      <c r="D217" s="3" t="s">
        <v>422</v>
      </c>
      <c r="E217" s="3" t="s">
        <v>421</v>
      </c>
      <c r="F217" s="10" t="s">
        <v>82</v>
      </c>
      <c r="G217" s="3" t="s">
        <v>420</v>
      </c>
      <c r="H217" s="3" t="s">
        <v>419</v>
      </c>
      <c r="I217" s="3" t="s">
        <v>297</v>
      </c>
      <c r="J217" s="22">
        <v>46147</v>
      </c>
      <c r="K217" s="28" t="s">
        <v>82</v>
      </c>
      <c r="L217" s="3" t="s">
        <v>8</v>
      </c>
      <c r="M217" s="3" t="s">
        <v>8</v>
      </c>
      <c r="N217" s="5">
        <v>0</v>
      </c>
      <c r="O217" s="5">
        <v>7300</v>
      </c>
      <c r="P217" s="5">
        <v>8760</v>
      </c>
      <c r="Q217" s="11">
        <f t="shared" si="9"/>
        <v>1460</v>
      </c>
      <c r="R217" s="11">
        <v>10000</v>
      </c>
      <c r="S217" s="11">
        <f t="shared" si="10"/>
        <v>2700</v>
      </c>
      <c r="T217" s="11">
        <v>0</v>
      </c>
      <c r="U217" s="3" t="s">
        <v>7</v>
      </c>
      <c r="V217" s="18">
        <v>46147</v>
      </c>
      <c r="W217" s="3" t="s">
        <v>6</v>
      </c>
      <c r="X217" s="3"/>
      <c r="Y217" s="3"/>
      <c r="Z217" s="3"/>
      <c r="AA217" s="3"/>
      <c r="AB217" s="3" t="str">
        <f t="shared" si="11"/>
        <v>Paid</v>
      </c>
      <c r="AC217" s="3"/>
    </row>
    <row r="218" spans="1:29" x14ac:dyDescent="0.25">
      <c r="A218" s="7" t="s">
        <v>5</v>
      </c>
      <c r="B218" s="3" t="s">
        <v>418</v>
      </c>
      <c r="C218" s="10" t="e">
        <f>VLOOKUP(B218,'[1]MAY MONTH'!$B:$C,2,0)</f>
        <v>#N/A</v>
      </c>
      <c r="D218" s="3" t="s">
        <v>417</v>
      </c>
      <c r="E218" s="3" t="s">
        <v>416</v>
      </c>
      <c r="F218" s="10" t="s">
        <v>21</v>
      </c>
      <c r="G218" s="3" t="s">
        <v>415</v>
      </c>
      <c r="H218" s="3" t="s">
        <v>402</v>
      </c>
      <c r="I218" s="3" t="s">
        <v>83</v>
      </c>
      <c r="J218" s="22">
        <v>46145</v>
      </c>
      <c r="K218" s="22" t="s">
        <v>21</v>
      </c>
      <c r="L218" s="3" t="s">
        <v>1</v>
      </c>
      <c r="M218" s="3" t="s">
        <v>1</v>
      </c>
      <c r="N218" s="5">
        <v>0</v>
      </c>
      <c r="O218" s="11">
        <v>6884</v>
      </c>
      <c r="P218" s="11">
        <v>7884</v>
      </c>
      <c r="Q218" s="11">
        <f t="shared" si="9"/>
        <v>1000</v>
      </c>
      <c r="R218" s="11">
        <v>10000</v>
      </c>
      <c r="S218" s="11">
        <f t="shared" si="10"/>
        <v>3116</v>
      </c>
      <c r="T218" s="11">
        <v>0</v>
      </c>
      <c r="U218" s="3" t="s">
        <v>7</v>
      </c>
      <c r="V218" s="18">
        <v>46147</v>
      </c>
      <c r="W218" s="3" t="s">
        <v>6</v>
      </c>
      <c r="X218" s="3"/>
      <c r="Y218" s="3"/>
      <c r="Z218" s="3"/>
      <c r="AA218" s="3"/>
      <c r="AB218" s="3" t="str">
        <f t="shared" si="11"/>
        <v>Paid</v>
      </c>
      <c r="AC218" s="3"/>
    </row>
    <row r="219" spans="1:29" x14ac:dyDescent="0.25">
      <c r="A219" s="7" t="s">
        <v>5</v>
      </c>
      <c r="B219" s="3" t="s">
        <v>414</v>
      </c>
      <c r="C219" s="10" t="e">
        <f>VLOOKUP(B219,'[1]MAY MONTH'!$B:$C,2,0)</f>
        <v>#N/A</v>
      </c>
      <c r="D219" s="3" t="s">
        <v>413</v>
      </c>
      <c r="E219" s="3" t="s">
        <v>412</v>
      </c>
      <c r="F219" s="10" t="s">
        <v>4</v>
      </c>
      <c r="G219" s="3" t="s">
        <v>411</v>
      </c>
      <c r="H219" s="3" t="s">
        <v>410</v>
      </c>
      <c r="I219" s="3" t="s">
        <v>409</v>
      </c>
      <c r="J219" s="22">
        <v>46147</v>
      </c>
      <c r="K219" s="22" t="s">
        <v>215</v>
      </c>
      <c r="L219" s="3" t="s">
        <v>35</v>
      </c>
      <c r="M219" s="10" t="s">
        <v>20</v>
      </c>
      <c r="N219" s="5">
        <v>0</v>
      </c>
      <c r="O219" s="5">
        <v>5198</v>
      </c>
      <c r="P219" s="5">
        <v>8167</v>
      </c>
      <c r="Q219" s="11">
        <f t="shared" si="9"/>
        <v>2969</v>
      </c>
      <c r="R219" s="11">
        <v>10000</v>
      </c>
      <c r="S219" s="11">
        <f t="shared" si="10"/>
        <v>4802</v>
      </c>
      <c r="T219" s="11">
        <v>0</v>
      </c>
      <c r="U219" s="3" t="s">
        <v>7</v>
      </c>
      <c r="V219" s="18">
        <v>46147</v>
      </c>
      <c r="W219" s="3" t="s">
        <v>6</v>
      </c>
      <c r="X219" s="3"/>
      <c r="Y219" s="3"/>
      <c r="Z219" s="3"/>
      <c r="AA219" s="3"/>
      <c r="AB219" s="3" t="str">
        <f t="shared" si="11"/>
        <v>Paid</v>
      </c>
      <c r="AC219" s="3"/>
    </row>
    <row r="220" spans="1:29" x14ac:dyDescent="0.25">
      <c r="A220" s="3" t="s">
        <v>19</v>
      </c>
      <c r="B220" s="12" t="s">
        <v>408</v>
      </c>
      <c r="C220" s="10" t="e">
        <f>VLOOKUP(B220,'[1]MAY MONTH'!$B:$C,2,0)</f>
        <v>#N/A</v>
      </c>
      <c r="D220" s="12" t="s">
        <v>407</v>
      </c>
      <c r="E220" s="12" t="s">
        <v>406</v>
      </c>
      <c r="F220" s="10" t="s">
        <v>4</v>
      </c>
      <c r="G220" s="3" t="s">
        <v>78</v>
      </c>
      <c r="H220" s="3" t="s">
        <v>267</v>
      </c>
      <c r="I220" s="3" t="s">
        <v>185</v>
      </c>
      <c r="J220" s="22">
        <v>46148</v>
      </c>
      <c r="K220" s="3" t="s">
        <v>9</v>
      </c>
      <c r="L220" s="3" t="s">
        <v>28</v>
      </c>
      <c r="M220" s="3" t="s">
        <v>20</v>
      </c>
      <c r="N220" s="5">
        <v>0</v>
      </c>
      <c r="O220" s="5">
        <v>10832.4</v>
      </c>
      <c r="P220" s="5">
        <v>14832</v>
      </c>
      <c r="Q220" s="11">
        <f t="shared" si="9"/>
        <v>3999.6000000000004</v>
      </c>
      <c r="R220" s="5">
        <v>22000</v>
      </c>
      <c r="S220" s="11">
        <f t="shared" si="10"/>
        <v>11167.6</v>
      </c>
      <c r="T220" s="11">
        <v>0</v>
      </c>
      <c r="U220" s="3" t="s">
        <v>7</v>
      </c>
      <c r="V220" s="18">
        <v>46149</v>
      </c>
      <c r="W220" s="3" t="s">
        <v>6</v>
      </c>
      <c r="X220" s="3"/>
      <c r="Y220" s="3"/>
      <c r="Z220" s="3"/>
      <c r="AA220" s="3"/>
      <c r="AB220" s="3" t="str">
        <f t="shared" si="11"/>
        <v>Paid</v>
      </c>
      <c r="AC220" s="3"/>
    </row>
    <row r="221" spans="1:29" x14ac:dyDescent="0.25">
      <c r="A221" s="7" t="s">
        <v>5</v>
      </c>
      <c r="B221" s="3" t="s">
        <v>405</v>
      </c>
      <c r="C221" s="10" t="e">
        <f>VLOOKUP(B221,'[1]MAY MONTH'!$B:$C,2,0)</f>
        <v>#N/A</v>
      </c>
      <c r="D221" s="3" t="s">
        <v>404</v>
      </c>
      <c r="E221" s="3" t="s">
        <v>403</v>
      </c>
      <c r="F221" s="10" t="s">
        <v>21</v>
      </c>
      <c r="G221" s="3" t="s">
        <v>276</v>
      </c>
      <c r="H221" s="3" t="s">
        <v>402</v>
      </c>
      <c r="I221" s="3" t="s">
        <v>401</v>
      </c>
      <c r="J221" s="22">
        <v>46148</v>
      </c>
      <c r="K221" s="22" t="s">
        <v>21</v>
      </c>
      <c r="L221" s="12" t="s">
        <v>8</v>
      </c>
      <c r="M221" s="3" t="s">
        <v>8</v>
      </c>
      <c r="N221" s="5">
        <v>0</v>
      </c>
      <c r="O221" s="5">
        <v>9740</v>
      </c>
      <c r="P221" s="5">
        <v>9740</v>
      </c>
      <c r="Q221" s="11">
        <f t="shared" si="9"/>
        <v>0</v>
      </c>
      <c r="R221" s="11">
        <v>10000</v>
      </c>
      <c r="S221" s="11">
        <f t="shared" si="10"/>
        <v>260</v>
      </c>
      <c r="T221" s="11">
        <v>0</v>
      </c>
      <c r="U221" s="3" t="s">
        <v>7</v>
      </c>
      <c r="V221" s="18">
        <v>46149</v>
      </c>
      <c r="W221" s="3" t="s">
        <v>6</v>
      </c>
      <c r="X221" s="3"/>
      <c r="Y221" s="3"/>
      <c r="Z221" s="3"/>
      <c r="AA221" s="3"/>
      <c r="AB221" s="3" t="str">
        <f t="shared" si="11"/>
        <v>Paid</v>
      </c>
      <c r="AC221" s="3"/>
    </row>
    <row r="222" spans="1:29" x14ac:dyDescent="0.25">
      <c r="A222" s="57" t="s">
        <v>5</v>
      </c>
      <c r="B222" s="57" t="s">
        <v>400</v>
      </c>
      <c r="C222" s="10" t="e">
        <f>VLOOKUP(B222,'[1]MAY MONTH'!$B:$C,2,0)</f>
        <v>#N/A</v>
      </c>
      <c r="D222" s="57" t="s">
        <v>399</v>
      </c>
      <c r="E222" s="57" t="s">
        <v>398</v>
      </c>
      <c r="F222" s="10" t="s">
        <v>4</v>
      </c>
      <c r="G222" s="57" t="s">
        <v>49</v>
      </c>
      <c r="H222" s="57" t="s">
        <v>1455</v>
      </c>
      <c r="I222" s="57" t="s">
        <v>397</v>
      </c>
      <c r="J222" s="22">
        <v>46148</v>
      </c>
      <c r="K222" s="3" t="s">
        <v>9</v>
      </c>
      <c r="L222" s="57" t="s">
        <v>28</v>
      </c>
      <c r="M222" s="11" t="s">
        <v>0</v>
      </c>
      <c r="N222" s="5">
        <v>10974</v>
      </c>
      <c r="O222" s="11">
        <v>8815</v>
      </c>
      <c r="P222" s="11">
        <v>10000</v>
      </c>
      <c r="Q222" s="11">
        <f t="shared" si="9"/>
        <v>1185</v>
      </c>
      <c r="R222" s="11">
        <v>10000</v>
      </c>
      <c r="S222" s="11">
        <f t="shared" si="10"/>
        <v>1185</v>
      </c>
      <c r="T222" s="11">
        <v>0</v>
      </c>
      <c r="U222" s="3" t="s">
        <v>7</v>
      </c>
      <c r="V222" s="18">
        <v>46150</v>
      </c>
      <c r="W222" s="3" t="s">
        <v>6</v>
      </c>
      <c r="X222" s="3"/>
      <c r="Y222" s="3"/>
      <c r="Z222" s="3"/>
      <c r="AA222" s="3"/>
      <c r="AB222" s="3" t="str">
        <f t="shared" si="11"/>
        <v>Paid</v>
      </c>
      <c r="AC222" s="3"/>
    </row>
    <row r="223" spans="1:29" x14ac:dyDescent="0.25">
      <c r="A223" s="7" t="s">
        <v>5</v>
      </c>
      <c r="B223" s="12" t="s">
        <v>396</v>
      </c>
      <c r="C223" s="10" t="e">
        <f>VLOOKUP(B223,'[1]MAY MONTH'!$B:$C,2,0)</f>
        <v>#N/A</v>
      </c>
      <c r="D223" s="12" t="s">
        <v>395</v>
      </c>
      <c r="E223" s="12" t="s">
        <v>394</v>
      </c>
      <c r="F223" s="10" t="s">
        <v>4</v>
      </c>
      <c r="G223" s="3" t="s">
        <v>393</v>
      </c>
      <c r="H223" s="3" t="s">
        <v>392</v>
      </c>
      <c r="I223" s="3" t="s">
        <v>391</v>
      </c>
      <c r="J223" s="22">
        <v>46147</v>
      </c>
      <c r="K223" s="22" t="s">
        <v>215</v>
      </c>
      <c r="L223" s="3" t="s">
        <v>28</v>
      </c>
      <c r="M223" s="3" t="s">
        <v>28</v>
      </c>
      <c r="N223" s="5">
        <v>0</v>
      </c>
      <c r="O223" s="5">
        <v>2903</v>
      </c>
      <c r="P223" s="5">
        <v>4005</v>
      </c>
      <c r="Q223" s="11">
        <f t="shared" si="9"/>
        <v>1102</v>
      </c>
      <c r="R223" s="11">
        <v>10000</v>
      </c>
      <c r="S223" s="11">
        <f t="shared" si="10"/>
        <v>7097</v>
      </c>
      <c r="T223" s="11">
        <v>0</v>
      </c>
      <c r="U223" s="3" t="s">
        <v>7</v>
      </c>
      <c r="V223" s="18">
        <v>46147</v>
      </c>
      <c r="W223" s="3" t="s">
        <v>6</v>
      </c>
      <c r="X223" s="3"/>
      <c r="Y223" s="3"/>
      <c r="Z223" s="3"/>
      <c r="AA223" s="3"/>
      <c r="AB223" s="3" t="str">
        <f t="shared" si="11"/>
        <v>Paid</v>
      </c>
      <c r="AC223" s="3"/>
    </row>
    <row r="224" spans="1:29" x14ac:dyDescent="0.25">
      <c r="A224" s="3" t="s">
        <v>5</v>
      </c>
      <c r="B224" s="3" t="s">
        <v>386</v>
      </c>
      <c r="C224" s="10" t="e">
        <f>VLOOKUP(B224,'[1]MAY MONTH'!$B:$C,2,0)</f>
        <v>#N/A</v>
      </c>
      <c r="D224" s="3" t="s">
        <v>385</v>
      </c>
      <c r="E224" s="12" t="s">
        <v>384</v>
      </c>
      <c r="F224" s="10" t="s">
        <v>4</v>
      </c>
      <c r="G224" s="3" t="s">
        <v>383</v>
      </c>
      <c r="H224" s="3" t="s">
        <v>382</v>
      </c>
      <c r="I224" s="3" t="s">
        <v>381</v>
      </c>
      <c r="J224" s="13">
        <v>46148</v>
      </c>
      <c r="K224" s="3" t="s">
        <v>215</v>
      </c>
      <c r="L224" s="3" t="s">
        <v>1</v>
      </c>
      <c r="M224" s="3" t="s">
        <v>1</v>
      </c>
      <c r="N224" s="5">
        <v>0</v>
      </c>
      <c r="O224" s="5">
        <v>8358</v>
      </c>
      <c r="P224" s="5">
        <v>9358</v>
      </c>
      <c r="Q224" s="11">
        <f t="shared" si="9"/>
        <v>1000</v>
      </c>
      <c r="R224" s="11">
        <v>10000</v>
      </c>
      <c r="S224" s="11">
        <f t="shared" si="10"/>
        <v>1642</v>
      </c>
      <c r="T224" s="11">
        <v>0</v>
      </c>
      <c r="U224" s="3" t="s">
        <v>7</v>
      </c>
      <c r="V224" s="18">
        <v>46149</v>
      </c>
      <c r="W224" s="3" t="s">
        <v>6</v>
      </c>
      <c r="X224" s="3"/>
      <c r="Y224" s="3"/>
      <c r="Z224" s="3"/>
      <c r="AA224" s="3"/>
      <c r="AB224" s="3" t="str">
        <f t="shared" si="11"/>
        <v>Paid</v>
      </c>
      <c r="AC224" s="3"/>
    </row>
    <row r="225" spans="1:30" s="21" customFormat="1" ht="15.75" x14ac:dyDescent="0.25">
      <c r="A225" s="7" t="s">
        <v>5</v>
      </c>
      <c r="B225" s="25" t="s">
        <v>380</v>
      </c>
      <c r="C225" s="10" t="e">
        <f>VLOOKUP(B225,'[1]MAY MONTH'!$B:$C,2,0)</f>
        <v>#N/A</v>
      </c>
      <c r="D225" s="25" t="s">
        <v>379</v>
      </c>
      <c r="E225" s="25" t="s">
        <v>378</v>
      </c>
      <c r="F225" s="10" t="s">
        <v>4</v>
      </c>
      <c r="G225" s="25" t="s">
        <v>49</v>
      </c>
      <c r="H225" s="7" t="s">
        <v>1455</v>
      </c>
      <c r="I225" s="25" t="s">
        <v>377</v>
      </c>
      <c r="J225" s="24">
        <v>46148</v>
      </c>
      <c r="K225" s="22" t="s">
        <v>215</v>
      </c>
      <c r="L225" s="25" t="s">
        <v>28</v>
      </c>
      <c r="M225" s="11" t="s">
        <v>0</v>
      </c>
      <c r="N225" s="5">
        <v>10974</v>
      </c>
      <c r="O225" s="5">
        <v>8420</v>
      </c>
      <c r="P225" s="5">
        <v>10000</v>
      </c>
      <c r="Q225" s="11">
        <f t="shared" si="9"/>
        <v>1580</v>
      </c>
      <c r="R225" s="11">
        <v>10000</v>
      </c>
      <c r="S225" s="11">
        <f t="shared" si="10"/>
        <v>1580</v>
      </c>
      <c r="T225" s="11">
        <v>0</v>
      </c>
      <c r="U225" s="3" t="s">
        <v>7</v>
      </c>
      <c r="V225" s="18">
        <v>46150</v>
      </c>
      <c r="W225" s="3" t="s">
        <v>6</v>
      </c>
      <c r="X225" s="3"/>
      <c r="Y225" s="3"/>
      <c r="Z225" s="3"/>
      <c r="AA225" s="3"/>
      <c r="AB225" s="3" t="str">
        <f t="shared" si="11"/>
        <v>Paid</v>
      </c>
      <c r="AC225" s="3"/>
      <c r="AD225" s="1"/>
    </row>
    <row r="226" spans="1:30" s="21" customFormat="1" ht="15.75" x14ac:dyDescent="0.25">
      <c r="A226" s="7" t="s">
        <v>5</v>
      </c>
      <c r="B226" s="12" t="s">
        <v>376</v>
      </c>
      <c r="C226" s="10" t="e">
        <f>VLOOKUP(B226,'[1]MAY MONTH'!$B:$C,2,0)</f>
        <v>#N/A</v>
      </c>
      <c r="D226" s="12" t="s">
        <v>375</v>
      </c>
      <c r="E226" s="12" t="s">
        <v>374</v>
      </c>
      <c r="F226" s="10" t="s">
        <v>4</v>
      </c>
      <c r="G226" s="12" t="s">
        <v>373</v>
      </c>
      <c r="H226" s="12" t="s">
        <v>372</v>
      </c>
      <c r="I226" s="12" t="s">
        <v>371</v>
      </c>
      <c r="J226" s="23">
        <v>46147</v>
      </c>
      <c r="K226" s="22" t="s">
        <v>215</v>
      </c>
      <c r="L226" s="12" t="s">
        <v>35</v>
      </c>
      <c r="M226" s="11" t="s">
        <v>0</v>
      </c>
      <c r="N226" s="5">
        <v>0</v>
      </c>
      <c r="O226" s="5">
        <v>2925</v>
      </c>
      <c r="P226" s="5">
        <v>4163</v>
      </c>
      <c r="Q226" s="11">
        <f t="shared" si="9"/>
        <v>1238</v>
      </c>
      <c r="R226" s="11">
        <v>10000</v>
      </c>
      <c r="S226" s="11">
        <f t="shared" si="10"/>
        <v>7075</v>
      </c>
      <c r="T226" s="11">
        <v>0</v>
      </c>
      <c r="U226" s="3" t="s">
        <v>7</v>
      </c>
      <c r="V226" s="18">
        <v>46147</v>
      </c>
      <c r="W226" s="3" t="s">
        <v>6</v>
      </c>
      <c r="X226" s="3"/>
      <c r="Y226" s="3"/>
      <c r="Z226" s="3"/>
      <c r="AA226" s="3"/>
      <c r="AB226" s="3" t="str">
        <f t="shared" si="11"/>
        <v>Paid</v>
      </c>
      <c r="AC226" s="3"/>
      <c r="AD226" s="1"/>
    </row>
    <row r="227" spans="1:30" s="21" customFormat="1" ht="15.75" x14ac:dyDescent="0.25">
      <c r="A227" s="7" t="s">
        <v>5</v>
      </c>
      <c r="B227" s="12" t="s">
        <v>370</v>
      </c>
      <c r="C227" s="10" t="e">
        <f>VLOOKUP(B227,'[1]MAY MONTH'!$B:$C,2,0)</f>
        <v>#N/A</v>
      </c>
      <c r="D227" s="12" t="s">
        <v>369</v>
      </c>
      <c r="E227" s="12" t="s">
        <v>368</v>
      </c>
      <c r="F227" s="10" t="s">
        <v>4</v>
      </c>
      <c r="G227" s="12" t="s">
        <v>367</v>
      </c>
      <c r="H227" s="12" t="s">
        <v>366</v>
      </c>
      <c r="I227" s="12" t="s">
        <v>365</v>
      </c>
      <c r="J227" s="23">
        <v>46147</v>
      </c>
      <c r="K227" s="22" t="s">
        <v>215</v>
      </c>
      <c r="L227" s="12" t="s">
        <v>8</v>
      </c>
      <c r="M227" s="11" t="s">
        <v>0</v>
      </c>
      <c r="N227" s="5">
        <v>0</v>
      </c>
      <c r="O227" s="5">
        <v>1713</v>
      </c>
      <c r="P227" s="5">
        <v>3713</v>
      </c>
      <c r="Q227" s="11">
        <f t="shared" si="9"/>
        <v>2000</v>
      </c>
      <c r="R227" s="11">
        <v>10000</v>
      </c>
      <c r="S227" s="11">
        <f t="shared" si="10"/>
        <v>8287</v>
      </c>
      <c r="T227" s="11">
        <v>0</v>
      </c>
      <c r="U227" s="3" t="s">
        <v>7</v>
      </c>
      <c r="V227" s="18">
        <v>46147</v>
      </c>
      <c r="W227" s="3" t="s">
        <v>6</v>
      </c>
      <c r="X227" s="3"/>
      <c r="Y227" s="3"/>
      <c r="Z227" s="3"/>
      <c r="AA227" s="3"/>
      <c r="AB227" s="3" t="str">
        <f t="shared" si="11"/>
        <v>Paid</v>
      </c>
      <c r="AC227" s="3"/>
      <c r="AD227" s="1"/>
    </row>
    <row r="228" spans="1:30" x14ac:dyDescent="0.25">
      <c r="A228" s="7" t="s">
        <v>5</v>
      </c>
      <c r="B228" s="3" t="s">
        <v>364</v>
      </c>
      <c r="C228" s="10" t="e">
        <f>VLOOKUP(B228,'[1]MAY MONTH'!$B:$C,2,0)</f>
        <v>#N/A</v>
      </c>
      <c r="D228" s="3" t="s">
        <v>363</v>
      </c>
      <c r="E228" s="3" t="s">
        <v>362</v>
      </c>
      <c r="F228" s="10" t="s">
        <v>4</v>
      </c>
      <c r="G228" s="3" t="s">
        <v>276</v>
      </c>
      <c r="H228" s="3" t="s">
        <v>361</v>
      </c>
      <c r="I228" s="3" t="s">
        <v>10</v>
      </c>
      <c r="J228" s="13">
        <v>46147</v>
      </c>
      <c r="K228" s="3" t="s">
        <v>9</v>
      </c>
      <c r="L228" s="3" t="s">
        <v>8</v>
      </c>
      <c r="M228" s="10" t="s">
        <v>11</v>
      </c>
      <c r="N228" s="5">
        <v>0</v>
      </c>
      <c r="O228" s="5">
        <v>4720</v>
      </c>
      <c r="P228" s="5">
        <v>4720</v>
      </c>
      <c r="Q228" s="11">
        <f t="shared" si="9"/>
        <v>0</v>
      </c>
      <c r="R228" s="11">
        <v>10000</v>
      </c>
      <c r="S228" s="11">
        <f t="shared" si="10"/>
        <v>5280</v>
      </c>
      <c r="T228" s="11">
        <v>0</v>
      </c>
      <c r="U228" s="3" t="s">
        <v>7</v>
      </c>
      <c r="V228" s="18">
        <v>46147</v>
      </c>
      <c r="W228" s="3" t="s">
        <v>6</v>
      </c>
      <c r="X228" s="3"/>
      <c r="Y228" s="3"/>
      <c r="Z228" s="3"/>
      <c r="AA228" s="3"/>
      <c r="AB228" s="3" t="str">
        <f t="shared" si="11"/>
        <v>Paid</v>
      </c>
      <c r="AC228" s="3"/>
    </row>
    <row r="229" spans="1:30" x14ac:dyDescent="0.25">
      <c r="A229" s="3" t="s">
        <v>5</v>
      </c>
      <c r="B229" s="3" t="s">
        <v>360</v>
      </c>
      <c r="C229" s="10" t="e">
        <f>VLOOKUP(B229,'[1]MAY MONTH'!$B:$C,2,0)</f>
        <v>#N/A</v>
      </c>
      <c r="D229" s="3" t="s">
        <v>359</v>
      </c>
      <c r="E229" s="3" t="s">
        <v>358</v>
      </c>
      <c r="F229" s="10" t="s">
        <v>4</v>
      </c>
      <c r="G229" s="3" t="s">
        <v>357</v>
      </c>
      <c r="H229" s="3" t="s">
        <v>1462</v>
      </c>
      <c r="I229" s="3" t="s">
        <v>356</v>
      </c>
      <c r="J229" s="13">
        <v>46147</v>
      </c>
      <c r="K229" s="22" t="s">
        <v>215</v>
      </c>
      <c r="L229" s="3" t="s">
        <v>1</v>
      </c>
      <c r="M229" s="3" t="s">
        <v>1</v>
      </c>
      <c r="N229" s="5">
        <v>0</v>
      </c>
      <c r="O229" s="5">
        <v>3738</v>
      </c>
      <c r="P229" s="5">
        <v>4638</v>
      </c>
      <c r="Q229" s="11">
        <f t="shared" si="9"/>
        <v>900</v>
      </c>
      <c r="R229" s="11">
        <v>10000</v>
      </c>
      <c r="S229" s="11">
        <f t="shared" si="10"/>
        <v>6262</v>
      </c>
      <c r="T229" s="11">
        <v>0</v>
      </c>
      <c r="U229" s="3" t="s">
        <v>7</v>
      </c>
      <c r="V229" s="18">
        <v>46147</v>
      </c>
      <c r="W229" s="3" t="s">
        <v>6</v>
      </c>
      <c r="X229" s="3"/>
      <c r="Y229" s="3"/>
      <c r="Z229" s="3"/>
      <c r="AA229" s="3"/>
      <c r="AB229" s="3" t="str">
        <f t="shared" si="11"/>
        <v>Paid</v>
      </c>
      <c r="AC229" s="3"/>
    </row>
    <row r="230" spans="1:30" x14ac:dyDescent="0.25">
      <c r="A230" s="7" t="s">
        <v>5</v>
      </c>
      <c r="B230" s="10" t="s">
        <v>355</v>
      </c>
      <c r="C230" s="10" t="e">
        <f>VLOOKUP(B230,'[1]MAY MONTH'!$B:$C,2,0)</f>
        <v>#N/A</v>
      </c>
      <c r="D230" s="12" t="s">
        <v>354</v>
      </c>
      <c r="E230" s="12" t="s">
        <v>353</v>
      </c>
      <c r="F230" s="10" t="s">
        <v>4</v>
      </c>
      <c r="G230" s="10" t="s">
        <v>352</v>
      </c>
      <c r="H230" s="10" t="s">
        <v>351</v>
      </c>
      <c r="I230" s="3" t="s">
        <v>110</v>
      </c>
      <c r="J230" s="22">
        <v>46148</v>
      </c>
      <c r="K230" s="3" t="s">
        <v>9</v>
      </c>
      <c r="L230" s="3" t="s">
        <v>28</v>
      </c>
      <c r="M230" s="3" t="s">
        <v>28</v>
      </c>
      <c r="N230" s="5">
        <v>0</v>
      </c>
      <c r="O230" s="5">
        <v>10620</v>
      </c>
      <c r="P230" s="11">
        <f>O230</f>
        <v>10620</v>
      </c>
      <c r="Q230" s="11">
        <f t="shared" si="9"/>
        <v>0</v>
      </c>
      <c r="R230" s="11">
        <v>10000</v>
      </c>
      <c r="S230" s="11">
        <f t="shared" si="10"/>
        <v>-620</v>
      </c>
      <c r="T230" s="11">
        <f>VLOOKUP(B230,[2]Sheet1!$B:$J,9,0)</f>
        <v>620</v>
      </c>
      <c r="U230" s="3" t="s">
        <v>7</v>
      </c>
      <c r="V230" s="18">
        <v>46149</v>
      </c>
      <c r="W230" s="3" t="s">
        <v>6</v>
      </c>
      <c r="X230" s="3"/>
      <c r="Y230" s="3"/>
      <c r="Z230" s="3"/>
      <c r="AA230" s="3"/>
      <c r="AB230" s="3" t="str">
        <f t="shared" si="11"/>
        <v>Paid</v>
      </c>
      <c r="AC230" s="3"/>
    </row>
    <row r="231" spans="1:30" x14ac:dyDescent="0.25">
      <c r="A231" s="3" t="s">
        <v>5</v>
      </c>
      <c r="B231" s="10" t="s">
        <v>350</v>
      </c>
      <c r="C231" s="10" t="e">
        <f>VLOOKUP(B231,'[1]MAY MONTH'!$B:$C,2,0)</f>
        <v>#N/A</v>
      </c>
      <c r="D231" s="10" t="s">
        <v>349</v>
      </c>
      <c r="E231" s="10" t="s">
        <v>348</v>
      </c>
      <c r="F231" s="10" t="s">
        <v>21</v>
      </c>
      <c r="G231" s="3" t="s">
        <v>347</v>
      </c>
      <c r="H231" s="3" t="s">
        <v>1480</v>
      </c>
      <c r="I231" s="3" t="s">
        <v>346</v>
      </c>
      <c r="J231" s="13">
        <v>46149</v>
      </c>
      <c r="K231" s="22" t="s">
        <v>21</v>
      </c>
      <c r="L231" s="3" t="s">
        <v>35</v>
      </c>
      <c r="M231" s="3" t="s">
        <v>35</v>
      </c>
      <c r="N231" s="5">
        <v>0</v>
      </c>
      <c r="O231" s="5">
        <v>13000</v>
      </c>
      <c r="P231" s="11">
        <f>O231</f>
        <v>13000</v>
      </c>
      <c r="Q231" s="11">
        <f t="shared" si="9"/>
        <v>0</v>
      </c>
      <c r="R231" s="11">
        <v>10000</v>
      </c>
      <c r="S231" s="11">
        <f t="shared" si="10"/>
        <v>-3000</v>
      </c>
      <c r="T231" s="11">
        <f>VLOOKUP(B231,[2]Sheet1!$B:$J,9,0)</f>
        <v>3230</v>
      </c>
      <c r="U231" s="3" t="s">
        <v>7</v>
      </c>
      <c r="V231" s="18">
        <v>46150</v>
      </c>
      <c r="W231" s="3" t="s">
        <v>6</v>
      </c>
      <c r="X231" s="3"/>
      <c r="Y231" s="3"/>
      <c r="Z231" s="3"/>
      <c r="AA231" s="3"/>
      <c r="AB231" s="3" t="str">
        <f t="shared" si="11"/>
        <v>Paid</v>
      </c>
      <c r="AC231" s="3"/>
    </row>
    <row r="232" spans="1:30" x14ac:dyDescent="0.25">
      <c r="A232" s="3" t="s">
        <v>19</v>
      </c>
      <c r="B232" s="12" t="s">
        <v>27</v>
      </c>
      <c r="C232" s="10" t="e">
        <f>VLOOKUP(B232,'[1]MAY MONTH'!$B:$C,2,0)</f>
        <v>#N/A</v>
      </c>
      <c r="D232" s="3" t="s">
        <v>26</v>
      </c>
      <c r="E232" s="3" t="s">
        <v>25</v>
      </c>
      <c r="F232" s="10" t="s">
        <v>21</v>
      </c>
      <c r="G232" s="3" t="s">
        <v>24</v>
      </c>
      <c r="H232" s="3" t="s">
        <v>23</v>
      </c>
      <c r="I232" s="3" t="s">
        <v>931</v>
      </c>
      <c r="J232" s="13">
        <v>46149</v>
      </c>
      <c r="K232" s="22" t="s">
        <v>21</v>
      </c>
      <c r="L232" s="3" t="s">
        <v>1</v>
      </c>
      <c r="M232" s="3" t="s">
        <v>20</v>
      </c>
      <c r="N232" s="11">
        <v>0</v>
      </c>
      <c r="O232" s="11">
        <f>10000+10000</f>
        <v>20000</v>
      </c>
      <c r="P232" s="11">
        <v>21000</v>
      </c>
      <c r="Q232" s="11">
        <f t="shared" si="9"/>
        <v>1000</v>
      </c>
      <c r="R232" s="11">
        <v>22000</v>
      </c>
      <c r="S232" s="11">
        <f t="shared" si="10"/>
        <v>2000</v>
      </c>
      <c r="T232" s="11">
        <v>0</v>
      </c>
      <c r="U232" s="3" t="s">
        <v>7</v>
      </c>
      <c r="V232" s="18">
        <v>46149</v>
      </c>
      <c r="W232" s="3" t="s">
        <v>6</v>
      </c>
      <c r="X232" s="3"/>
      <c r="Y232" s="3"/>
      <c r="Z232" s="3"/>
      <c r="AA232" s="3"/>
      <c r="AB232" s="3" t="str">
        <f t="shared" si="11"/>
        <v>Paid</v>
      </c>
      <c r="AC232" s="3"/>
    </row>
    <row r="233" spans="1:30" x14ac:dyDescent="0.25">
      <c r="A233" s="3" t="s">
        <v>5</v>
      </c>
      <c r="B233" s="12" t="s">
        <v>345</v>
      </c>
      <c r="C233" s="10" t="e">
        <f>VLOOKUP(B233,'[1]MAY MONTH'!$B:$C,2,0)</f>
        <v>#N/A</v>
      </c>
      <c r="D233" s="12" t="s">
        <v>344</v>
      </c>
      <c r="E233" s="12" t="s">
        <v>343</v>
      </c>
      <c r="F233" s="10" t="s">
        <v>82</v>
      </c>
      <c r="G233" s="3" t="s">
        <v>342</v>
      </c>
      <c r="H233" s="3" t="s">
        <v>1477</v>
      </c>
      <c r="I233" s="3" t="s">
        <v>29</v>
      </c>
      <c r="J233" s="13">
        <v>46149</v>
      </c>
      <c r="K233" s="28" t="s">
        <v>82</v>
      </c>
      <c r="L233" s="3" t="s">
        <v>1</v>
      </c>
      <c r="M233" s="10" t="s">
        <v>20</v>
      </c>
      <c r="N233" s="5">
        <v>0</v>
      </c>
      <c r="O233" s="5">
        <v>9713</v>
      </c>
      <c r="P233" s="5">
        <v>9715</v>
      </c>
      <c r="Q233" s="11">
        <f t="shared" si="9"/>
        <v>2</v>
      </c>
      <c r="R233" s="11">
        <v>10000</v>
      </c>
      <c r="S233" s="11">
        <f t="shared" si="10"/>
        <v>287</v>
      </c>
      <c r="T233" s="11">
        <v>0</v>
      </c>
      <c r="U233" s="3" t="s">
        <v>7</v>
      </c>
      <c r="V233" s="18">
        <v>46149</v>
      </c>
      <c r="W233" s="3" t="s">
        <v>6</v>
      </c>
      <c r="X233" s="3"/>
      <c r="Y233" s="3"/>
      <c r="Z233" s="3"/>
      <c r="AA233" s="3"/>
      <c r="AB233" s="3" t="str">
        <f t="shared" si="11"/>
        <v>Paid</v>
      </c>
      <c r="AC233" s="3"/>
    </row>
    <row r="234" spans="1:30" x14ac:dyDescent="0.25">
      <c r="A234" s="7" t="s">
        <v>5</v>
      </c>
      <c r="B234" s="3" t="s">
        <v>341</v>
      </c>
      <c r="C234" s="10" t="e">
        <f>VLOOKUP(B234,'[1]MAY MONTH'!$B:$C,2,0)</f>
        <v>#N/A</v>
      </c>
      <c r="D234" s="3" t="s">
        <v>340</v>
      </c>
      <c r="E234" s="3" t="s">
        <v>339</v>
      </c>
      <c r="F234" s="10" t="s">
        <v>82</v>
      </c>
      <c r="G234" s="3" t="s">
        <v>299</v>
      </c>
      <c r="H234" s="3" t="s">
        <v>338</v>
      </c>
      <c r="I234" s="3" t="s">
        <v>22</v>
      </c>
      <c r="J234" s="13">
        <v>46147</v>
      </c>
      <c r="K234" s="28" t="s">
        <v>82</v>
      </c>
      <c r="L234" s="3" t="s">
        <v>1</v>
      </c>
      <c r="M234" s="10" t="s">
        <v>20</v>
      </c>
      <c r="N234" s="5">
        <v>0</v>
      </c>
      <c r="O234" s="5">
        <v>9500</v>
      </c>
      <c r="P234" s="5">
        <v>10000</v>
      </c>
      <c r="Q234" s="11">
        <f t="shared" si="9"/>
        <v>500</v>
      </c>
      <c r="R234" s="11">
        <v>10000</v>
      </c>
      <c r="S234" s="11">
        <f t="shared" si="10"/>
        <v>500</v>
      </c>
      <c r="T234" s="11">
        <v>0</v>
      </c>
      <c r="U234" s="3" t="s">
        <v>7</v>
      </c>
      <c r="V234" s="18">
        <v>46149</v>
      </c>
      <c r="W234" s="3" t="s">
        <v>6</v>
      </c>
      <c r="X234" s="3"/>
      <c r="Y234" s="3"/>
      <c r="Z234" s="3"/>
      <c r="AA234" s="3"/>
      <c r="AB234" s="3" t="str">
        <f t="shared" si="11"/>
        <v>Paid</v>
      </c>
      <c r="AC234" s="3"/>
    </row>
    <row r="235" spans="1:30" x14ac:dyDescent="0.25">
      <c r="A235" s="3" t="s">
        <v>19</v>
      </c>
      <c r="B235" s="12" t="s">
        <v>337</v>
      </c>
      <c r="C235" s="10" t="e">
        <f>VLOOKUP(B235,'[1]MAY MONTH'!$B:$C,2,0)</f>
        <v>#N/A</v>
      </c>
      <c r="D235" s="12" t="s">
        <v>336</v>
      </c>
      <c r="E235" s="12" t="s">
        <v>335</v>
      </c>
      <c r="F235" s="3" t="s">
        <v>332</v>
      </c>
      <c r="G235" s="3" t="s">
        <v>334</v>
      </c>
      <c r="H235" s="3" t="s">
        <v>333</v>
      </c>
      <c r="I235" s="3" t="s">
        <v>22</v>
      </c>
      <c r="J235" s="13">
        <v>46147</v>
      </c>
      <c r="K235" s="3" t="s">
        <v>332</v>
      </c>
      <c r="L235" s="3" t="s">
        <v>28</v>
      </c>
      <c r="M235" s="3" t="s">
        <v>20</v>
      </c>
      <c r="N235" s="5">
        <v>0</v>
      </c>
      <c r="O235" s="5">
        <v>16000</v>
      </c>
      <c r="P235" s="5">
        <v>17000</v>
      </c>
      <c r="Q235" s="11">
        <f t="shared" si="9"/>
        <v>1000</v>
      </c>
      <c r="R235" s="5">
        <v>22000</v>
      </c>
      <c r="S235" s="11">
        <f t="shared" si="10"/>
        <v>6000</v>
      </c>
      <c r="T235" s="11">
        <v>0</v>
      </c>
      <c r="U235" s="3" t="s">
        <v>7</v>
      </c>
      <c r="V235" s="18">
        <v>46149</v>
      </c>
      <c r="W235" s="3" t="s">
        <v>6</v>
      </c>
      <c r="X235" s="3"/>
      <c r="Y235" s="3"/>
      <c r="Z235" s="3"/>
      <c r="AA235" s="3"/>
      <c r="AB235" s="3" t="str">
        <f t="shared" si="11"/>
        <v>Paid</v>
      </c>
      <c r="AC235" s="3"/>
    </row>
    <row r="236" spans="1:30" ht="30" x14ac:dyDescent="0.25">
      <c r="A236" s="3" t="s">
        <v>5</v>
      </c>
      <c r="B236" s="3" t="s">
        <v>331</v>
      </c>
      <c r="C236" s="10" t="e">
        <f>VLOOKUP(B236,'[1]MAY MONTH'!$B:$C,2,0)</f>
        <v>#N/A</v>
      </c>
      <c r="D236" s="3" t="s">
        <v>330</v>
      </c>
      <c r="E236" s="3" t="s">
        <v>329</v>
      </c>
      <c r="F236" s="10" t="s">
        <v>82</v>
      </c>
      <c r="G236" s="3" t="s">
        <v>328</v>
      </c>
      <c r="H236" s="3" t="s">
        <v>1478</v>
      </c>
      <c r="I236" s="3" t="s">
        <v>327</v>
      </c>
      <c r="J236" s="13">
        <v>46148</v>
      </c>
      <c r="K236" s="28" t="s">
        <v>82</v>
      </c>
      <c r="L236" s="3" t="s">
        <v>1</v>
      </c>
      <c r="M236" s="10" t="s">
        <v>20</v>
      </c>
      <c r="N236" s="5">
        <v>0</v>
      </c>
      <c r="O236" s="5">
        <v>9500</v>
      </c>
      <c r="P236" s="5">
        <v>10000</v>
      </c>
      <c r="Q236" s="11">
        <f t="shared" si="9"/>
        <v>500</v>
      </c>
      <c r="R236" s="11">
        <v>10000</v>
      </c>
      <c r="S236" s="11">
        <f t="shared" si="10"/>
        <v>500</v>
      </c>
      <c r="T236" s="11">
        <v>0</v>
      </c>
      <c r="U236" s="3" t="s">
        <v>7</v>
      </c>
      <c r="V236" s="18">
        <v>46149</v>
      </c>
      <c r="W236" s="3" t="s">
        <v>6</v>
      </c>
      <c r="X236" s="3"/>
      <c r="Y236" s="3"/>
      <c r="Z236" s="3"/>
      <c r="AA236" s="3"/>
      <c r="AB236" s="3" t="str">
        <f t="shared" si="11"/>
        <v>Paid</v>
      </c>
      <c r="AC236" s="3"/>
    </row>
    <row r="237" spans="1:30" ht="30" x14ac:dyDescent="0.25">
      <c r="A237" s="12" t="s">
        <v>5</v>
      </c>
      <c r="B237" s="3" t="s">
        <v>326</v>
      </c>
      <c r="C237" s="10" t="e">
        <f>VLOOKUP(B237,'[1]MAY MONTH'!$B:$C,2,0)</f>
        <v>#N/A</v>
      </c>
      <c r="D237" s="3" t="s">
        <v>325</v>
      </c>
      <c r="E237" s="3" t="s">
        <v>324</v>
      </c>
      <c r="F237" s="10" t="s">
        <v>4</v>
      </c>
      <c r="G237" s="3" t="s">
        <v>323</v>
      </c>
      <c r="H237" s="3" t="s">
        <v>1472</v>
      </c>
      <c r="I237" s="3" t="s">
        <v>10</v>
      </c>
      <c r="J237" s="13">
        <v>46150</v>
      </c>
      <c r="K237" s="3" t="s">
        <v>215</v>
      </c>
      <c r="L237" s="3" t="s">
        <v>8</v>
      </c>
      <c r="M237" s="3" t="s">
        <v>8</v>
      </c>
      <c r="N237" s="11">
        <v>0</v>
      </c>
      <c r="O237" s="11">
        <f>1000+2904</f>
        <v>3904</v>
      </c>
      <c r="P237" s="11">
        <v>4604</v>
      </c>
      <c r="Q237" s="11">
        <f t="shared" si="9"/>
        <v>700</v>
      </c>
      <c r="R237" s="11">
        <v>10000</v>
      </c>
      <c r="S237" s="11">
        <f t="shared" si="10"/>
        <v>6096</v>
      </c>
      <c r="T237" s="11">
        <v>0</v>
      </c>
      <c r="U237" s="3" t="s">
        <v>7</v>
      </c>
      <c r="V237" s="18">
        <v>46150</v>
      </c>
      <c r="W237" s="3" t="s">
        <v>6</v>
      </c>
      <c r="X237" s="3"/>
      <c r="Y237" s="3"/>
      <c r="Z237" s="3"/>
      <c r="AA237" s="3"/>
      <c r="AB237" s="3" t="str">
        <f t="shared" si="11"/>
        <v>Paid</v>
      </c>
      <c r="AC237" s="3"/>
    </row>
    <row r="238" spans="1:30" x14ac:dyDescent="0.25">
      <c r="A238" s="8" t="s">
        <v>5</v>
      </c>
      <c r="B238" s="3" t="s">
        <v>322</v>
      </c>
      <c r="C238" s="10" t="e">
        <f>VLOOKUP(B238,'[1]MAY MONTH'!$B:$C,2,0)</f>
        <v>#N/A</v>
      </c>
      <c r="D238" s="3" t="s">
        <v>321</v>
      </c>
      <c r="E238" s="3" t="s">
        <v>320</v>
      </c>
      <c r="F238" s="10" t="s">
        <v>4</v>
      </c>
      <c r="G238" s="3" t="s">
        <v>134</v>
      </c>
      <c r="H238" s="3" t="s">
        <v>319</v>
      </c>
      <c r="I238" s="3" t="s">
        <v>318</v>
      </c>
      <c r="J238" s="13">
        <v>46149</v>
      </c>
      <c r="K238" s="22" t="s">
        <v>215</v>
      </c>
      <c r="L238" s="3" t="s">
        <v>1</v>
      </c>
      <c r="M238" s="3" t="s">
        <v>1</v>
      </c>
      <c r="N238" s="5">
        <v>0</v>
      </c>
      <c r="O238" s="5">
        <v>10000</v>
      </c>
      <c r="P238" s="11">
        <f>O238</f>
        <v>10000</v>
      </c>
      <c r="Q238" s="11">
        <f t="shared" si="9"/>
        <v>0</v>
      </c>
      <c r="R238" s="11">
        <v>10000</v>
      </c>
      <c r="S238" s="11">
        <f t="shared" si="10"/>
        <v>0</v>
      </c>
      <c r="T238" s="11">
        <v>0</v>
      </c>
      <c r="U238" s="3" t="s">
        <v>7</v>
      </c>
      <c r="V238" s="18">
        <v>46149</v>
      </c>
      <c r="W238" s="3" t="s">
        <v>6</v>
      </c>
      <c r="X238" s="3"/>
      <c r="Y238" s="3"/>
      <c r="Z238" s="3"/>
      <c r="AA238" s="3"/>
      <c r="AB238" s="3" t="str">
        <f t="shared" si="11"/>
        <v>Paid</v>
      </c>
      <c r="AC238" s="3"/>
    </row>
    <row r="239" spans="1:30" x14ac:dyDescent="0.25">
      <c r="A239" s="12" t="s">
        <v>5</v>
      </c>
      <c r="B239" s="3" t="s">
        <v>317</v>
      </c>
      <c r="C239" s="10" t="e">
        <f>VLOOKUP(B239,'[1]MAY MONTH'!$B:$C,2,0)</f>
        <v>#N/A</v>
      </c>
      <c r="D239" s="3" t="s">
        <v>316</v>
      </c>
      <c r="E239" s="3" t="s">
        <v>315</v>
      </c>
      <c r="F239" s="10" t="s">
        <v>4</v>
      </c>
      <c r="G239" s="3" t="s">
        <v>314</v>
      </c>
      <c r="H239" s="3" t="s">
        <v>67</v>
      </c>
      <c r="I239" s="3" t="s">
        <v>313</v>
      </c>
      <c r="J239" s="20">
        <v>46150</v>
      </c>
      <c r="K239" s="3" t="s">
        <v>9</v>
      </c>
      <c r="L239" s="3" t="s">
        <v>1</v>
      </c>
      <c r="M239" s="3" t="s">
        <v>8</v>
      </c>
      <c r="N239" s="11">
        <v>12508</v>
      </c>
      <c r="O239" s="11">
        <f>75+9671</f>
        <v>9746</v>
      </c>
      <c r="P239" s="11">
        <v>9950</v>
      </c>
      <c r="Q239" s="11">
        <f t="shared" si="9"/>
        <v>204</v>
      </c>
      <c r="R239" s="11">
        <v>10000</v>
      </c>
      <c r="S239" s="11">
        <f t="shared" si="10"/>
        <v>254</v>
      </c>
      <c r="T239" s="11">
        <v>0</v>
      </c>
      <c r="U239" s="3" t="s">
        <v>7</v>
      </c>
      <c r="V239" s="18">
        <v>46151</v>
      </c>
      <c r="W239" s="3" t="s">
        <v>6</v>
      </c>
      <c r="X239" s="3"/>
      <c r="Y239" s="3"/>
      <c r="Z239" s="3"/>
      <c r="AA239" s="3"/>
      <c r="AB239" s="3" t="str">
        <f t="shared" si="11"/>
        <v>Paid</v>
      </c>
      <c r="AC239" s="3"/>
    </row>
    <row r="240" spans="1:30" s="21" customFormat="1" ht="15.75" x14ac:dyDescent="0.25">
      <c r="A240" s="7" t="s">
        <v>5</v>
      </c>
      <c r="B240" s="25" t="s">
        <v>312</v>
      </c>
      <c r="C240" s="10" t="e">
        <f>VLOOKUP(B240,'[1]MAY MONTH'!$B:$C,2,0)</f>
        <v>#N/A</v>
      </c>
      <c r="D240" s="12" t="s">
        <v>311</v>
      </c>
      <c r="E240" s="12" t="s">
        <v>310</v>
      </c>
      <c r="F240" s="10" t="s">
        <v>4</v>
      </c>
      <c r="G240" s="12" t="s">
        <v>309</v>
      </c>
      <c r="H240" s="8" t="s">
        <v>308</v>
      </c>
      <c r="I240" s="12" t="s">
        <v>2</v>
      </c>
      <c r="J240" s="23">
        <v>46150</v>
      </c>
      <c r="K240" s="22" t="s">
        <v>215</v>
      </c>
      <c r="L240" s="12" t="s">
        <v>307</v>
      </c>
      <c r="M240" s="11" t="s">
        <v>0</v>
      </c>
      <c r="N240" s="5">
        <v>0</v>
      </c>
      <c r="O240" s="5">
        <v>1355</v>
      </c>
      <c r="P240" s="5">
        <v>2355</v>
      </c>
      <c r="Q240" s="11">
        <f t="shared" si="9"/>
        <v>1000</v>
      </c>
      <c r="R240" s="11">
        <v>10000</v>
      </c>
      <c r="S240" s="11">
        <f t="shared" si="10"/>
        <v>8645</v>
      </c>
      <c r="T240" s="11">
        <v>0</v>
      </c>
      <c r="U240" s="3" t="s">
        <v>7</v>
      </c>
      <c r="V240" s="18">
        <v>46150</v>
      </c>
      <c r="W240" s="3" t="s">
        <v>6</v>
      </c>
      <c r="X240" s="3"/>
      <c r="Y240" s="3"/>
      <c r="Z240" s="3"/>
      <c r="AA240" s="3"/>
      <c r="AB240" s="3" t="str">
        <f t="shared" si="11"/>
        <v>Paid</v>
      </c>
      <c r="AC240" s="3"/>
      <c r="AD240" s="1"/>
    </row>
    <row r="241" spans="1:30" x14ac:dyDescent="0.25">
      <c r="A241" s="12" t="s">
        <v>5</v>
      </c>
      <c r="B241" s="3" t="s">
        <v>306</v>
      </c>
      <c r="C241" s="10" t="e">
        <f>VLOOKUP(B241,'[1]MAY MONTH'!$B:$C,2,0)</f>
        <v>#N/A</v>
      </c>
      <c r="D241" s="3" t="s">
        <v>305</v>
      </c>
      <c r="E241" s="3" t="s">
        <v>304</v>
      </c>
      <c r="F241" s="10" t="s">
        <v>4</v>
      </c>
      <c r="G241" s="3" t="s">
        <v>68</v>
      </c>
      <c r="H241" s="3" t="s">
        <v>67</v>
      </c>
      <c r="I241" s="3" t="s">
        <v>303</v>
      </c>
      <c r="J241" s="13">
        <v>46152</v>
      </c>
      <c r="K241" s="3" t="s">
        <v>9</v>
      </c>
      <c r="L241" s="3" t="s">
        <v>1</v>
      </c>
      <c r="M241" s="3" t="s">
        <v>8</v>
      </c>
      <c r="N241" s="11">
        <v>8319</v>
      </c>
      <c r="O241" s="11">
        <f>45+6499</f>
        <v>6544</v>
      </c>
      <c r="P241" s="11">
        <v>8400</v>
      </c>
      <c r="Q241" s="11">
        <f t="shared" si="9"/>
        <v>1856</v>
      </c>
      <c r="R241" s="11">
        <v>10000</v>
      </c>
      <c r="S241" s="11">
        <f t="shared" si="10"/>
        <v>3456</v>
      </c>
      <c r="T241" s="11">
        <v>0</v>
      </c>
      <c r="U241" s="3" t="s">
        <v>7</v>
      </c>
      <c r="V241" s="18">
        <v>46153</v>
      </c>
      <c r="W241" s="3" t="s">
        <v>6</v>
      </c>
      <c r="X241" s="3"/>
      <c r="Y241" s="3"/>
      <c r="Z241" s="3"/>
      <c r="AA241" s="3"/>
      <c r="AB241" s="3" t="str">
        <f t="shared" si="11"/>
        <v>Paid</v>
      </c>
      <c r="AC241" s="3"/>
    </row>
    <row r="242" spans="1:30" x14ac:dyDescent="0.25">
      <c r="A242" s="3" t="s">
        <v>19</v>
      </c>
      <c r="B242" s="3" t="s">
        <v>302</v>
      </c>
      <c r="C242" s="10" t="e">
        <f>VLOOKUP(B242,'[1]MAY MONTH'!$B:$C,2,0)</f>
        <v>#N/A</v>
      </c>
      <c r="D242" s="3" t="s">
        <v>301</v>
      </c>
      <c r="E242" s="3" t="s">
        <v>300</v>
      </c>
      <c r="F242" s="10" t="s">
        <v>82</v>
      </c>
      <c r="G242" s="3" t="s">
        <v>299</v>
      </c>
      <c r="H242" s="3" t="s">
        <v>298</v>
      </c>
      <c r="I242" s="3" t="s">
        <v>297</v>
      </c>
      <c r="J242" s="20">
        <v>46151</v>
      </c>
      <c r="K242" s="28" t="s">
        <v>82</v>
      </c>
      <c r="L242" s="3" t="s">
        <v>8</v>
      </c>
      <c r="M242" s="3" t="s">
        <v>20</v>
      </c>
      <c r="N242" s="5">
        <v>0</v>
      </c>
      <c r="O242" s="5">
        <v>19500</v>
      </c>
      <c r="P242" s="5">
        <v>20500</v>
      </c>
      <c r="Q242" s="11">
        <f t="shared" si="9"/>
        <v>1000</v>
      </c>
      <c r="R242" s="5">
        <v>22000</v>
      </c>
      <c r="S242" s="11">
        <f t="shared" si="10"/>
        <v>2500</v>
      </c>
      <c r="T242" s="11">
        <v>0</v>
      </c>
      <c r="U242" s="3" t="s">
        <v>7</v>
      </c>
      <c r="V242" s="18">
        <v>46150</v>
      </c>
      <c r="W242" s="3" t="s">
        <v>6</v>
      </c>
      <c r="X242" s="3"/>
      <c r="Y242" s="3"/>
      <c r="Z242" s="3"/>
      <c r="AA242" s="3"/>
      <c r="AB242" s="3" t="str">
        <f t="shared" si="11"/>
        <v>Paid</v>
      </c>
      <c r="AC242" s="3"/>
    </row>
    <row r="243" spans="1:30" x14ac:dyDescent="0.25">
      <c r="A243" s="29" t="s">
        <v>5</v>
      </c>
      <c r="B243" s="12" t="s">
        <v>296</v>
      </c>
      <c r="C243" s="10" t="e">
        <f>VLOOKUP(B243,'[1]MAY MONTH'!$B:$C,2,0)</f>
        <v>#N/A</v>
      </c>
      <c r="D243" s="12" t="s">
        <v>295</v>
      </c>
      <c r="E243" s="12" t="s">
        <v>294</v>
      </c>
      <c r="F243" s="10" t="s">
        <v>4</v>
      </c>
      <c r="G243" s="12" t="s">
        <v>293</v>
      </c>
      <c r="H243" s="12" t="s">
        <v>1454</v>
      </c>
      <c r="I243" s="7" t="s">
        <v>2</v>
      </c>
      <c r="J243" s="20">
        <v>46151</v>
      </c>
      <c r="K243" s="3" t="s">
        <v>9</v>
      </c>
      <c r="L243" s="12" t="s">
        <v>28</v>
      </c>
      <c r="M243" s="11" t="s">
        <v>0</v>
      </c>
      <c r="N243" s="5">
        <v>0</v>
      </c>
      <c r="O243" s="5">
        <v>7156.6</v>
      </c>
      <c r="P243" s="5">
        <v>7156.6</v>
      </c>
      <c r="Q243" s="11">
        <f t="shared" si="9"/>
        <v>0</v>
      </c>
      <c r="R243" s="11">
        <v>10000</v>
      </c>
      <c r="S243" s="11">
        <f t="shared" si="10"/>
        <v>2843.3999999999996</v>
      </c>
      <c r="T243" s="11">
        <v>0</v>
      </c>
      <c r="U243" s="3" t="s">
        <v>7</v>
      </c>
      <c r="V243" s="18">
        <v>46150</v>
      </c>
      <c r="W243" s="3" t="s">
        <v>6</v>
      </c>
      <c r="X243" s="3"/>
      <c r="Y243" s="3"/>
      <c r="Z243" s="3"/>
      <c r="AA243" s="3"/>
      <c r="AB243" s="3" t="str">
        <f t="shared" si="11"/>
        <v>Paid</v>
      </c>
      <c r="AC243" s="3"/>
    </row>
    <row r="244" spans="1:30" x14ac:dyDescent="0.25">
      <c r="A244" s="29" t="s">
        <v>5</v>
      </c>
      <c r="B244" s="25" t="s">
        <v>292</v>
      </c>
      <c r="C244" s="10" t="e">
        <f>VLOOKUP(B244,'[1]MAY MONTH'!$B:$C,2,0)</f>
        <v>#N/A</v>
      </c>
      <c r="D244" s="25" t="s">
        <v>291</v>
      </c>
      <c r="E244" s="25" t="s">
        <v>290</v>
      </c>
      <c r="F244" s="10" t="s">
        <v>82</v>
      </c>
      <c r="G244" s="29" t="s">
        <v>289</v>
      </c>
      <c r="H244" s="3" t="s">
        <v>244</v>
      </c>
      <c r="I244" s="7" t="s">
        <v>2</v>
      </c>
      <c r="J244" s="20">
        <v>46152</v>
      </c>
      <c r="K244" s="28" t="s">
        <v>82</v>
      </c>
      <c r="L244" s="29" t="s">
        <v>28</v>
      </c>
      <c r="M244" s="11" t="s">
        <v>0</v>
      </c>
      <c r="N244" s="5">
        <v>0</v>
      </c>
      <c r="O244" s="5">
        <v>10000</v>
      </c>
      <c r="P244" s="11">
        <f>O244</f>
        <v>10000</v>
      </c>
      <c r="Q244" s="11">
        <f t="shared" si="9"/>
        <v>0</v>
      </c>
      <c r="R244" s="11">
        <v>10000</v>
      </c>
      <c r="S244" s="11">
        <f t="shared" si="10"/>
        <v>0</v>
      </c>
      <c r="T244" s="11">
        <v>0</v>
      </c>
      <c r="U244" s="3" t="s">
        <v>7</v>
      </c>
      <c r="V244" s="18">
        <v>46150</v>
      </c>
      <c r="W244" s="3" t="s">
        <v>6</v>
      </c>
      <c r="X244" s="3"/>
      <c r="Y244" s="3"/>
      <c r="Z244" s="3"/>
      <c r="AA244" s="3"/>
      <c r="AB244" s="3" t="str">
        <f t="shared" si="11"/>
        <v>Paid</v>
      </c>
      <c r="AC244" s="3"/>
    </row>
    <row r="245" spans="1:30" x14ac:dyDescent="0.25">
      <c r="A245" s="29" t="s">
        <v>5</v>
      </c>
      <c r="B245" s="12" t="s">
        <v>288</v>
      </c>
      <c r="C245" s="10" t="e">
        <f>VLOOKUP(B245,'[1]MAY MONTH'!$B:$C,2,0)</f>
        <v>#N/A</v>
      </c>
      <c r="D245" s="12" t="s">
        <v>287</v>
      </c>
      <c r="E245" s="12" t="s">
        <v>286</v>
      </c>
      <c r="F245" s="10" t="s">
        <v>4</v>
      </c>
      <c r="G245" s="3" t="s">
        <v>285</v>
      </c>
      <c r="H245" s="3" t="s">
        <v>1457</v>
      </c>
      <c r="I245" s="3" t="s">
        <v>185</v>
      </c>
      <c r="J245" s="13">
        <v>46150</v>
      </c>
      <c r="K245" s="3" t="s">
        <v>9</v>
      </c>
      <c r="L245" s="3" t="s">
        <v>35</v>
      </c>
      <c r="M245" s="3" t="s">
        <v>35</v>
      </c>
      <c r="N245" s="5">
        <v>0</v>
      </c>
      <c r="O245" s="5">
        <v>8732</v>
      </c>
      <c r="P245" s="5">
        <v>9332</v>
      </c>
      <c r="Q245" s="11">
        <f t="shared" si="9"/>
        <v>600</v>
      </c>
      <c r="R245" s="11">
        <v>10000</v>
      </c>
      <c r="S245" s="11">
        <f t="shared" si="10"/>
        <v>1268</v>
      </c>
      <c r="T245" s="11">
        <v>0</v>
      </c>
      <c r="U245" s="3" t="s">
        <v>7</v>
      </c>
      <c r="V245" s="18">
        <v>46150</v>
      </c>
      <c r="W245" s="3" t="s">
        <v>6</v>
      </c>
      <c r="X245" s="3"/>
      <c r="Y245" s="3"/>
      <c r="Z245" s="3"/>
      <c r="AA245" s="3"/>
      <c r="AB245" s="3" t="str">
        <f t="shared" si="11"/>
        <v>Paid</v>
      </c>
      <c r="AC245" s="3"/>
    </row>
    <row r="246" spans="1:30" x14ac:dyDescent="0.25">
      <c r="A246" s="10" t="s">
        <v>5</v>
      </c>
      <c r="B246" s="12" t="s">
        <v>284</v>
      </c>
      <c r="C246" s="10" t="e">
        <f>VLOOKUP(B246,'[1]MAY MONTH'!$B:$C,2,0)</f>
        <v>#N/A</v>
      </c>
      <c r="D246" s="12" t="s">
        <v>283</v>
      </c>
      <c r="E246" s="12" t="s">
        <v>282</v>
      </c>
      <c r="F246" s="10" t="s">
        <v>4</v>
      </c>
      <c r="G246" s="12" t="s">
        <v>281</v>
      </c>
      <c r="H246" s="12" t="s">
        <v>1453</v>
      </c>
      <c r="I246" s="12" t="s">
        <v>280</v>
      </c>
      <c r="J246" s="13">
        <v>46152</v>
      </c>
      <c r="K246" s="3" t="s">
        <v>9</v>
      </c>
      <c r="L246" s="12" t="s">
        <v>28</v>
      </c>
      <c r="M246" s="11" t="s">
        <v>0</v>
      </c>
      <c r="N246" s="11">
        <v>0</v>
      </c>
      <c r="O246" s="6">
        <v>8850</v>
      </c>
      <c r="P246" s="6">
        <v>8850</v>
      </c>
      <c r="Q246" s="11">
        <f t="shared" si="9"/>
        <v>0</v>
      </c>
      <c r="R246" s="11">
        <v>10000</v>
      </c>
      <c r="S246" s="11">
        <f t="shared" si="10"/>
        <v>1150</v>
      </c>
      <c r="T246" s="11">
        <v>0</v>
      </c>
      <c r="U246" s="3" t="s">
        <v>7</v>
      </c>
      <c r="V246" s="18">
        <v>46150</v>
      </c>
      <c r="W246" s="3" t="s">
        <v>6</v>
      </c>
      <c r="X246" s="3"/>
      <c r="Y246" s="3"/>
      <c r="Z246" s="3"/>
      <c r="AA246" s="3"/>
      <c r="AB246" s="3" t="str">
        <f t="shared" si="11"/>
        <v>Paid</v>
      </c>
      <c r="AC246" s="3"/>
    </row>
    <row r="247" spans="1:30" x14ac:dyDescent="0.25">
      <c r="A247" s="10" t="s">
        <v>5</v>
      </c>
      <c r="B247" s="3" t="s">
        <v>279</v>
      </c>
      <c r="C247" s="10" t="e">
        <f>VLOOKUP(B247,'[1]MAY MONTH'!$B:$C,2,0)</f>
        <v>#N/A</v>
      </c>
      <c r="D247" s="3" t="s">
        <v>278</v>
      </c>
      <c r="E247" s="3" t="s">
        <v>277</v>
      </c>
      <c r="F247" s="10" t="s">
        <v>4</v>
      </c>
      <c r="G247" s="3" t="s">
        <v>276</v>
      </c>
      <c r="H247" s="3" t="s">
        <v>275</v>
      </c>
      <c r="I247" s="3" t="s">
        <v>10</v>
      </c>
      <c r="J247" s="13">
        <v>46152</v>
      </c>
      <c r="K247" s="3" t="s">
        <v>9</v>
      </c>
      <c r="L247" s="3" t="s">
        <v>8</v>
      </c>
      <c r="M247" s="3" t="s">
        <v>8</v>
      </c>
      <c r="N247" s="11">
        <v>0</v>
      </c>
      <c r="O247" s="6">
        <v>7900</v>
      </c>
      <c r="P247" s="6">
        <v>7900</v>
      </c>
      <c r="Q247" s="11">
        <f t="shared" si="9"/>
        <v>0</v>
      </c>
      <c r="R247" s="11">
        <v>10000</v>
      </c>
      <c r="S247" s="11">
        <f t="shared" si="10"/>
        <v>2100</v>
      </c>
      <c r="T247" s="11">
        <v>0</v>
      </c>
      <c r="U247" s="3" t="s">
        <v>7</v>
      </c>
      <c r="V247" s="18">
        <v>46151</v>
      </c>
      <c r="W247" s="3" t="s">
        <v>6</v>
      </c>
      <c r="X247" s="3"/>
      <c r="Y247" s="3"/>
      <c r="Z247" s="3"/>
      <c r="AA247" s="3"/>
      <c r="AB247" s="3" t="str">
        <f t="shared" si="11"/>
        <v>Paid</v>
      </c>
      <c r="AC247" s="3"/>
    </row>
    <row r="248" spans="1:30" x14ac:dyDescent="0.25">
      <c r="A248" s="10" t="s">
        <v>5</v>
      </c>
      <c r="B248" s="3" t="s">
        <v>274</v>
      </c>
      <c r="C248" s="10" t="e">
        <f>VLOOKUP(B248,'[1]MAY MONTH'!$B:$C,2,0)</f>
        <v>#N/A</v>
      </c>
      <c r="D248" s="3" t="s">
        <v>273</v>
      </c>
      <c r="E248" s="3" t="s">
        <v>272</v>
      </c>
      <c r="F248" s="10" t="s">
        <v>4</v>
      </c>
      <c r="G248" s="3" t="s">
        <v>43</v>
      </c>
      <c r="H248" s="3" t="s">
        <v>271</v>
      </c>
      <c r="I248" s="3" t="s">
        <v>36</v>
      </c>
      <c r="J248" s="13">
        <v>46150</v>
      </c>
      <c r="K248" s="22" t="s">
        <v>215</v>
      </c>
      <c r="L248" s="3" t="s">
        <v>35</v>
      </c>
      <c r="M248" s="3" t="s">
        <v>35</v>
      </c>
      <c r="N248" s="5">
        <v>0</v>
      </c>
      <c r="O248" s="6">
        <v>2607</v>
      </c>
      <c r="P248" s="6">
        <v>3607</v>
      </c>
      <c r="Q248" s="11">
        <f t="shared" si="9"/>
        <v>1000</v>
      </c>
      <c r="R248" s="11">
        <v>10000</v>
      </c>
      <c r="S248" s="11">
        <f t="shared" si="10"/>
        <v>7393</v>
      </c>
      <c r="T248" s="11">
        <v>0</v>
      </c>
      <c r="U248" s="3" t="s">
        <v>7</v>
      </c>
      <c r="V248" s="18">
        <v>46150</v>
      </c>
      <c r="W248" s="3" t="s">
        <v>6</v>
      </c>
      <c r="X248" s="3"/>
      <c r="Y248" s="3"/>
      <c r="Z248" s="3"/>
      <c r="AA248" s="3"/>
      <c r="AB248" s="3" t="str">
        <f t="shared" si="11"/>
        <v>Paid</v>
      </c>
      <c r="AC248" s="3"/>
    </row>
    <row r="249" spans="1:30" x14ac:dyDescent="0.25">
      <c r="A249" s="10" t="s">
        <v>5</v>
      </c>
      <c r="B249" s="3" t="s">
        <v>270</v>
      </c>
      <c r="C249" s="10" t="e">
        <f>VLOOKUP(B249,'[1]MAY MONTH'!$B:$C,2,0)</f>
        <v>#N/A</v>
      </c>
      <c r="D249" s="3" t="s">
        <v>269</v>
      </c>
      <c r="E249" s="3" t="s">
        <v>268</v>
      </c>
      <c r="F249" s="10" t="s">
        <v>4</v>
      </c>
      <c r="G249" s="3" t="s">
        <v>78</v>
      </c>
      <c r="H249" s="3" t="s">
        <v>267</v>
      </c>
      <c r="I249" s="3" t="s">
        <v>110</v>
      </c>
      <c r="J249" s="13">
        <v>46151</v>
      </c>
      <c r="K249" s="3" t="s">
        <v>9</v>
      </c>
      <c r="L249" s="3" t="s">
        <v>28</v>
      </c>
      <c r="M249" s="10" t="s">
        <v>20</v>
      </c>
      <c r="N249" s="11">
        <v>12744</v>
      </c>
      <c r="O249" s="11">
        <f>100+6722+941</f>
        <v>7763</v>
      </c>
      <c r="P249" s="11">
        <v>9864</v>
      </c>
      <c r="Q249" s="11">
        <f t="shared" si="9"/>
        <v>2101</v>
      </c>
      <c r="R249" s="11">
        <v>10000</v>
      </c>
      <c r="S249" s="11">
        <f t="shared" si="10"/>
        <v>2237</v>
      </c>
      <c r="T249" s="11">
        <v>0</v>
      </c>
      <c r="U249" s="3" t="s">
        <v>7</v>
      </c>
      <c r="V249" s="18">
        <v>46151</v>
      </c>
      <c r="W249" s="3" t="s">
        <v>6</v>
      </c>
      <c r="X249" s="3"/>
      <c r="Y249" s="3"/>
      <c r="Z249" s="3"/>
      <c r="AA249" s="3"/>
      <c r="AB249" s="3" t="str">
        <f t="shared" si="11"/>
        <v>Paid</v>
      </c>
      <c r="AC249" s="3"/>
    </row>
    <row r="250" spans="1:30" x14ac:dyDescent="0.25">
      <c r="A250" s="10" t="s">
        <v>5</v>
      </c>
      <c r="B250" s="3" t="s">
        <v>266</v>
      </c>
      <c r="C250" s="10" t="e">
        <f>VLOOKUP(B250,'[1]MAY MONTH'!$B:$C,2,0)</f>
        <v>#N/A</v>
      </c>
      <c r="D250" s="3" t="s">
        <v>265</v>
      </c>
      <c r="E250" s="3" t="s">
        <v>264</v>
      </c>
      <c r="F250" s="10" t="s">
        <v>4</v>
      </c>
      <c r="G250" s="3" t="s">
        <v>263</v>
      </c>
      <c r="H250" s="3" t="s">
        <v>262</v>
      </c>
      <c r="I250" s="3" t="s">
        <v>10</v>
      </c>
      <c r="J250" s="13">
        <v>46151</v>
      </c>
      <c r="K250" s="22" t="s">
        <v>215</v>
      </c>
      <c r="L250" s="3" t="s">
        <v>8</v>
      </c>
      <c r="M250" s="10" t="s">
        <v>20</v>
      </c>
      <c r="N250" s="11">
        <v>0</v>
      </c>
      <c r="O250" s="11">
        <f>2000+6024</f>
        <v>8024</v>
      </c>
      <c r="P250" s="11">
        <v>8847</v>
      </c>
      <c r="Q250" s="11">
        <f t="shared" si="9"/>
        <v>823</v>
      </c>
      <c r="R250" s="11">
        <v>10000</v>
      </c>
      <c r="S250" s="11">
        <f t="shared" si="10"/>
        <v>1976</v>
      </c>
      <c r="T250" s="11">
        <v>0</v>
      </c>
      <c r="U250" s="3" t="s">
        <v>7</v>
      </c>
      <c r="V250" s="18">
        <v>46153</v>
      </c>
      <c r="W250" s="3" t="s">
        <v>6</v>
      </c>
      <c r="X250" s="3"/>
      <c r="Y250" s="3"/>
      <c r="Z250" s="3"/>
      <c r="AA250" s="3"/>
      <c r="AB250" s="3" t="str">
        <f t="shared" si="11"/>
        <v>Paid</v>
      </c>
      <c r="AC250" s="3"/>
    </row>
    <row r="251" spans="1:30" x14ac:dyDescent="0.25">
      <c r="A251" s="10" t="s">
        <v>5</v>
      </c>
      <c r="B251" s="10" t="s">
        <v>261</v>
      </c>
      <c r="C251" s="10" t="e">
        <f>VLOOKUP(B251,'[1]MAY MONTH'!$B:$C,2,0)</f>
        <v>#N/A</v>
      </c>
      <c r="D251" s="10" t="s">
        <v>260</v>
      </c>
      <c r="E251" s="10" t="s">
        <v>259</v>
      </c>
      <c r="F251" s="10" t="s">
        <v>4</v>
      </c>
      <c r="G251" s="10" t="s">
        <v>258</v>
      </c>
      <c r="H251" s="10" t="s">
        <v>257</v>
      </c>
      <c r="I251" s="10" t="s">
        <v>10</v>
      </c>
      <c r="J251" s="19">
        <v>46150</v>
      </c>
      <c r="K251" s="22" t="s">
        <v>215</v>
      </c>
      <c r="L251" s="13" t="s">
        <v>1</v>
      </c>
      <c r="M251" s="3" t="s">
        <v>1</v>
      </c>
      <c r="N251" s="11">
        <v>0</v>
      </c>
      <c r="O251" s="11">
        <f>45+4250</f>
        <v>4295</v>
      </c>
      <c r="P251" s="11">
        <v>4895</v>
      </c>
      <c r="Q251" s="11">
        <f t="shared" si="9"/>
        <v>600</v>
      </c>
      <c r="R251" s="11">
        <v>10000</v>
      </c>
      <c r="S251" s="11">
        <f t="shared" si="10"/>
        <v>5705</v>
      </c>
      <c r="T251" s="11">
        <v>0</v>
      </c>
      <c r="U251" s="3" t="s">
        <v>7</v>
      </c>
      <c r="V251" s="18">
        <v>46164</v>
      </c>
      <c r="W251" s="3" t="s">
        <v>6</v>
      </c>
      <c r="X251" s="3"/>
      <c r="Y251" s="3"/>
      <c r="Z251" s="3"/>
      <c r="AA251" s="3"/>
      <c r="AB251" s="3" t="str">
        <f t="shared" si="11"/>
        <v>Paid</v>
      </c>
      <c r="AC251" s="3"/>
    </row>
    <row r="252" spans="1:30" x14ac:dyDescent="0.25">
      <c r="A252" s="10" t="s">
        <v>5</v>
      </c>
      <c r="B252" s="3" t="s">
        <v>256</v>
      </c>
      <c r="C252" s="10" t="e">
        <f>VLOOKUP(B252,'[1]MAY MONTH'!$B:$C,2,0)</f>
        <v>#N/A</v>
      </c>
      <c r="D252" s="3" t="s">
        <v>255</v>
      </c>
      <c r="E252" s="3" t="s">
        <v>254</v>
      </c>
      <c r="F252" s="10" t="s">
        <v>4</v>
      </c>
      <c r="G252" s="3" t="s">
        <v>253</v>
      </c>
      <c r="H252" s="3" t="s">
        <v>252</v>
      </c>
      <c r="I252" s="3" t="s">
        <v>453</v>
      </c>
      <c r="J252" s="18">
        <v>46150</v>
      </c>
      <c r="K252" s="22" t="s">
        <v>215</v>
      </c>
      <c r="L252" s="3" t="s">
        <v>1</v>
      </c>
      <c r="M252" s="3" t="s">
        <v>1</v>
      </c>
      <c r="N252" s="5">
        <v>0</v>
      </c>
      <c r="O252" s="5">
        <v>2749</v>
      </c>
      <c r="P252" s="5">
        <v>4147</v>
      </c>
      <c r="Q252" s="11">
        <f t="shared" si="9"/>
        <v>1398</v>
      </c>
      <c r="R252" s="11">
        <v>10000</v>
      </c>
      <c r="S252" s="11">
        <f t="shared" si="10"/>
        <v>7251</v>
      </c>
      <c r="T252" s="11">
        <v>0</v>
      </c>
      <c r="U252" s="3" t="s">
        <v>7</v>
      </c>
      <c r="V252" s="18">
        <v>46150</v>
      </c>
      <c r="W252" s="3" t="s">
        <v>6</v>
      </c>
      <c r="X252" s="3"/>
      <c r="Y252" s="3"/>
      <c r="Z252" s="3"/>
      <c r="AA252" s="3"/>
      <c r="AB252" s="3" t="str">
        <f t="shared" si="11"/>
        <v>Paid</v>
      </c>
      <c r="AC252" s="3"/>
    </row>
    <row r="253" spans="1:30" x14ac:dyDescent="0.25">
      <c r="A253" s="10" t="s">
        <v>5</v>
      </c>
      <c r="B253" s="3" t="s">
        <v>251</v>
      </c>
      <c r="C253" s="10" t="e">
        <f>VLOOKUP(B253,'[1]MAY MONTH'!$B:$C,2,0)</f>
        <v>#N/A</v>
      </c>
      <c r="D253" s="3" t="s">
        <v>250</v>
      </c>
      <c r="E253" s="3" t="s">
        <v>249</v>
      </c>
      <c r="F253" s="10" t="s">
        <v>82</v>
      </c>
      <c r="G253" s="3" t="s">
        <v>3</v>
      </c>
      <c r="H253" s="3" t="s">
        <v>1479</v>
      </c>
      <c r="I253" s="3" t="s">
        <v>122</v>
      </c>
      <c r="J253" s="20">
        <v>46152</v>
      </c>
      <c r="K253" s="28" t="s">
        <v>82</v>
      </c>
      <c r="L253" s="3" t="s">
        <v>8</v>
      </c>
      <c r="M253" s="3" t="s">
        <v>8</v>
      </c>
      <c r="N253" s="5">
        <v>0</v>
      </c>
      <c r="O253" s="5">
        <v>9765</v>
      </c>
      <c r="P253" s="5">
        <v>9765</v>
      </c>
      <c r="Q253" s="11">
        <f t="shared" si="9"/>
        <v>0</v>
      </c>
      <c r="R253" s="11">
        <v>10000</v>
      </c>
      <c r="S253" s="11">
        <f t="shared" si="10"/>
        <v>235</v>
      </c>
      <c r="T253" s="11">
        <v>0</v>
      </c>
      <c r="U253" s="3" t="s">
        <v>7</v>
      </c>
      <c r="V253" s="18">
        <v>46151</v>
      </c>
      <c r="W253" s="3" t="s">
        <v>6</v>
      </c>
      <c r="X253" s="3"/>
      <c r="Y253" s="3"/>
      <c r="Z253" s="3"/>
      <c r="AA253" s="3"/>
      <c r="AB253" s="3" t="str">
        <f t="shared" si="11"/>
        <v>Paid</v>
      </c>
      <c r="AC253" s="3"/>
    </row>
    <row r="254" spans="1:30" x14ac:dyDescent="0.25">
      <c r="A254" s="10" t="s">
        <v>5</v>
      </c>
      <c r="B254" s="12" t="s">
        <v>248</v>
      </c>
      <c r="C254" s="10" t="e">
        <f>VLOOKUP(B254,'[1]MAY MONTH'!$B:$C,2,0)</f>
        <v>#N/A</v>
      </c>
      <c r="D254" s="12" t="s">
        <v>247</v>
      </c>
      <c r="E254" s="12" t="s">
        <v>246</v>
      </c>
      <c r="F254" s="10" t="s">
        <v>82</v>
      </c>
      <c r="G254" s="12" t="s">
        <v>245</v>
      </c>
      <c r="H254" s="12" t="s">
        <v>244</v>
      </c>
      <c r="I254" s="7" t="s">
        <v>2</v>
      </c>
      <c r="J254" s="13">
        <v>46151</v>
      </c>
      <c r="K254" s="28" t="s">
        <v>82</v>
      </c>
      <c r="L254" s="12" t="s">
        <v>1</v>
      </c>
      <c r="M254" s="11" t="s">
        <v>0</v>
      </c>
      <c r="N254" s="5">
        <v>0</v>
      </c>
      <c r="O254" s="5">
        <v>10000</v>
      </c>
      <c r="P254" s="11">
        <f>O254</f>
        <v>10000</v>
      </c>
      <c r="Q254" s="11">
        <f t="shared" si="9"/>
        <v>0</v>
      </c>
      <c r="R254" s="11">
        <v>10000</v>
      </c>
      <c r="S254" s="11">
        <f t="shared" si="10"/>
        <v>0</v>
      </c>
      <c r="T254" s="11">
        <v>0</v>
      </c>
      <c r="U254" s="3" t="s">
        <v>7</v>
      </c>
      <c r="V254" s="18">
        <v>46151</v>
      </c>
      <c r="W254" s="3" t="s">
        <v>6</v>
      </c>
      <c r="X254" s="3"/>
      <c r="Y254" s="3"/>
      <c r="Z254" s="3"/>
      <c r="AA254" s="3"/>
      <c r="AB254" s="3" t="str">
        <f t="shared" si="11"/>
        <v>Paid</v>
      </c>
      <c r="AC254" s="3"/>
    </row>
    <row r="255" spans="1:30" s="16" customFormat="1" x14ac:dyDescent="0.25">
      <c r="A255" s="7" t="s">
        <v>5</v>
      </c>
      <c r="B255" s="8" t="s">
        <v>243</v>
      </c>
      <c r="C255" s="10" t="e">
        <f>VLOOKUP(B255,'[1]MAY MONTH'!$B:$C,2,0)</f>
        <v>#N/A</v>
      </c>
      <c r="D255" s="8" t="s">
        <v>242</v>
      </c>
      <c r="E255" s="8" t="s">
        <v>241</v>
      </c>
      <c r="F255" s="10" t="s">
        <v>82</v>
      </c>
      <c r="G255" s="8" t="s">
        <v>240</v>
      </c>
      <c r="H255" s="8" t="s">
        <v>239</v>
      </c>
      <c r="I255" s="7" t="s">
        <v>2</v>
      </c>
      <c r="J255" s="55">
        <v>46152</v>
      </c>
      <c r="K255" s="28" t="s">
        <v>82</v>
      </c>
      <c r="L255" s="8" t="s">
        <v>1</v>
      </c>
      <c r="M255" s="11" t="s">
        <v>0</v>
      </c>
      <c r="N255" s="6">
        <v>0</v>
      </c>
      <c r="O255" s="6">
        <v>10233</v>
      </c>
      <c r="P255" s="11">
        <f>O255</f>
        <v>10233</v>
      </c>
      <c r="Q255" s="11">
        <f t="shared" si="9"/>
        <v>0</v>
      </c>
      <c r="R255" s="11">
        <v>10000</v>
      </c>
      <c r="S255" s="11">
        <f t="shared" si="10"/>
        <v>-233</v>
      </c>
      <c r="T255" s="11">
        <f>VLOOKUP(B255,[2]Sheet1!$B:$J,9,0)</f>
        <v>233</v>
      </c>
      <c r="U255" s="3" t="s">
        <v>7</v>
      </c>
      <c r="V255" s="18">
        <v>46151</v>
      </c>
      <c r="W255" s="3" t="s">
        <v>6</v>
      </c>
      <c r="X255" s="17"/>
      <c r="Y255" s="17"/>
      <c r="Z255" s="17"/>
      <c r="AA255" s="17"/>
      <c r="AB255" s="3" t="str">
        <f t="shared" si="11"/>
        <v>Paid</v>
      </c>
      <c r="AC255" s="17"/>
      <c r="AD255" s="1"/>
    </row>
    <row r="256" spans="1:30" x14ac:dyDescent="0.25">
      <c r="A256" s="3" t="s">
        <v>19</v>
      </c>
      <c r="B256" s="3" t="s">
        <v>238</v>
      </c>
      <c r="C256" s="10" t="str">
        <f>VLOOKUP(B256,'[1]MAY MONTH'!$B:$C,2,0)</f>
        <v>Elmec</v>
      </c>
      <c r="D256" s="3" t="s">
        <v>237</v>
      </c>
      <c r="E256" s="3" t="s">
        <v>236</v>
      </c>
      <c r="F256" s="10" t="s">
        <v>4</v>
      </c>
      <c r="G256" s="3" t="s">
        <v>38</v>
      </c>
      <c r="H256" s="3" t="s">
        <v>235</v>
      </c>
      <c r="I256" s="3" t="s">
        <v>234</v>
      </c>
      <c r="J256" s="13">
        <v>46152</v>
      </c>
      <c r="K256" s="3" t="s">
        <v>9</v>
      </c>
      <c r="L256" s="3" t="s">
        <v>8</v>
      </c>
      <c r="M256" s="3" t="s">
        <v>11</v>
      </c>
      <c r="N256" s="5">
        <v>0</v>
      </c>
      <c r="O256" s="5">
        <f>4596+360</f>
        <v>4956</v>
      </c>
      <c r="P256" s="5">
        <v>4956</v>
      </c>
      <c r="Q256" s="11">
        <f t="shared" si="9"/>
        <v>0</v>
      </c>
      <c r="R256" s="5">
        <v>22000</v>
      </c>
      <c r="S256" s="11">
        <f t="shared" si="10"/>
        <v>17044</v>
      </c>
      <c r="T256" s="11">
        <v>0</v>
      </c>
      <c r="U256" s="3" t="s">
        <v>7</v>
      </c>
      <c r="V256" s="18">
        <v>46151</v>
      </c>
      <c r="W256" s="3" t="s">
        <v>6</v>
      </c>
      <c r="X256" s="3"/>
      <c r="Y256" s="3"/>
      <c r="Z256" s="3"/>
      <c r="AA256" s="3"/>
      <c r="AB256" s="3" t="str">
        <f t="shared" si="11"/>
        <v>Paid</v>
      </c>
      <c r="AC256" s="3"/>
    </row>
    <row r="257" spans="1:30" x14ac:dyDescent="0.25">
      <c r="A257" s="29" t="s">
        <v>5</v>
      </c>
      <c r="B257" s="3" t="s">
        <v>233</v>
      </c>
      <c r="C257" s="10" t="e">
        <f>VLOOKUP(B257,'[1]MAY MONTH'!$B:$C,2,0)</f>
        <v>#N/A</v>
      </c>
      <c r="D257" s="3" t="s">
        <v>232</v>
      </c>
      <c r="E257" s="3" t="s">
        <v>231</v>
      </c>
      <c r="F257" s="10" t="s">
        <v>4</v>
      </c>
      <c r="G257" s="3" t="s">
        <v>230</v>
      </c>
      <c r="H257" s="3" t="s">
        <v>229</v>
      </c>
      <c r="I257" s="3" t="s">
        <v>228</v>
      </c>
      <c r="J257" s="13">
        <v>46151</v>
      </c>
      <c r="K257" s="3" t="s">
        <v>9</v>
      </c>
      <c r="L257" s="3" t="s">
        <v>8</v>
      </c>
      <c r="M257" s="10" t="s">
        <v>11</v>
      </c>
      <c r="N257" s="5">
        <v>0</v>
      </c>
      <c r="O257" s="5">
        <v>4954</v>
      </c>
      <c r="P257" s="5">
        <v>5454</v>
      </c>
      <c r="Q257" s="11">
        <f t="shared" si="9"/>
        <v>500</v>
      </c>
      <c r="R257" s="11">
        <v>10000</v>
      </c>
      <c r="S257" s="11">
        <f t="shared" si="10"/>
        <v>5046</v>
      </c>
      <c r="T257" s="11">
        <v>0</v>
      </c>
      <c r="U257" s="3" t="s">
        <v>7</v>
      </c>
      <c r="V257" s="18">
        <v>46151</v>
      </c>
      <c r="W257" s="3" t="s">
        <v>6</v>
      </c>
      <c r="X257" s="3"/>
      <c r="Y257" s="3"/>
      <c r="Z257" s="3"/>
      <c r="AA257" s="3"/>
      <c r="AB257" s="3" t="str">
        <f t="shared" si="11"/>
        <v>Paid</v>
      </c>
      <c r="AC257" s="3"/>
    </row>
    <row r="258" spans="1:30" x14ac:dyDescent="0.25">
      <c r="A258" s="29" t="s">
        <v>5</v>
      </c>
      <c r="B258" s="3" t="s">
        <v>227</v>
      </c>
      <c r="C258" s="10" t="e">
        <f>VLOOKUP(B258,'[1]MAY MONTH'!$B:$C,2,0)</f>
        <v>#N/A</v>
      </c>
      <c r="D258" s="3" t="s">
        <v>226</v>
      </c>
      <c r="E258" s="3" t="s">
        <v>225</v>
      </c>
      <c r="F258" s="10" t="s">
        <v>21</v>
      </c>
      <c r="G258" s="3" t="s">
        <v>224</v>
      </c>
      <c r="H258" s="3" t="s">
        <v>223</v>
      </c>
      <c r="I258" s="3" t="s">
        <v>222</v>
      </c>
      <c r="J258" s="23">
        <v>46152</v>
      </c>
      <c r="K258" s="22" t="s">
        <v>215</v>
      </c>
      <c r="L258" s="3" t="s">
        <v>8</v>
      </c>
      <c r="M258" s="10" t="s">
        <v>11</v>
      </c>
      <c r="N258" s="5">
        <v>0</v>
      </c>
      <c r="O258" s="5">
        <v>6166</v>
      </c>
      <c r="P258" s="5">
        <v>8666</v>
      </c>
      <c r="Q258" s="11">
        <f t="shared" ref="Q258:Q295" si="12">P258-O258</f>
        <v>2500</v>
      </c>
      <c r="R258" s="11">
        <v>10000</v>
      </c>
      <c r="S258" s="11">
        <f t="shared" ref="S258:S295" si="13">R258-O258</f>
        <v>3834</v>
      </c>
      <c r="T258" s="11">
        <v>0</v>
      </c>
      <c r="U258" s="3" t="s">
        <v>7</v>
      </c>
      <c r="V258" s="18">
        <v>46152</v>
      </c>
      <c r="W258" s="3" t="s">
        <v>6</v>
      </c>
      <c r="X258" s="3"/>
      <c r="Y258" s="3"/>
      <c r="Z258" s="3"/>
      <c r="AA258" s="3"/>
      <c r="AB258" s="3" t="str">
        <f t="shared" ref="AB258:AB295" si="14">IF(O258,"Paid","Unpaid")</f>
        <v>Paid</v>
      </c>
      <c r="AC258" s="3"/>
    </row>
    <row r="259" spans="1:30" x14ac:dyDescent="0.25">
      <c r="A259" s="29" t="s">
        <v>5</v>
      </c>
      <c r="B259" s="3" t="s">
        <v>221</v>
      </c>
      <c r="C259" s="10" t="e">
        <f>VLOOKUP(B259,'[1]MAY MONTH'!$B:$C,2,0)</f>
        <v>#N/A</v>
      </c>
      <c r="D259" s="3" t="s">
        <v>220</v>
      </c>
      <c r="E259" s="3" t="s">
        <v>219</v>
      </c>
      <c r="F259" s="10" t="s">
        <v>4</v>
      </c>
      <c r="G259" s="12" t="s">
        <v>218</v>
      </c>
      <c r="H259" s="12" t="s">
        <v>217</v>
      </c>
      <c r="I259" s="12" t="s">
        <v>216</v>
      </c>
      <c r="J259" s="23">
        <v>46152</v>
      </c>
      <c r="K259" s="22" t="s">
        <v>215</v>
      </c>
      <c r="L259" s="3" t="s">
        <v>35</v>
      </c>
      <c r="M259" s="10" t="s">
        <v>11</v>
      </c>
      <c r="N259" s="5">
        <v>0</v>
      </c>
      <c r="O259" s="5">
        <v>6302</v>
      </c>
      <c r="P259" s="5">
        <v>8401</v>
      </c>
      <c r="Q259" s="11">
        <f t="shared" si="12"/>
        <v>2099</v>
      </c>
      <c r="R259" s="11">
        <v>10000</v>
      </c>
      <c r="S259" s="11">
        <f t="shared" si="13"/>
        <v>3698</v>
      </c>
      <c r="T259" s="11">
        <v>0</v>
      </c>
      <c r="U259" s="3" t="s">
        <v>7</v>
      </c>
      <c r="V259" s="18">
        <v>46152</v>
      </c>
      <c r="W259" s="3" t="s">
        <v>6</v>
      </c>
      <c r="X259" s="3"/>
      <c r="Y259" s="3"/>
      <c r="Z259" s="3"/>
      <c r="AA259" s="3"/>
      <c r="AB259" s="3" t="str">
        <f t="shared" si="14"/>
        <v>Paid</v>
      </c>
      <c r="AC259" s="3"/>
    </row>
    <row r="260" spans="1:30" x14ac:dyDescent="0.25">
      <c r="A260" s="29" t="s">
        <v>5</v>
      </c>
      <c r="B260" s="3" t="s">
        <v>214</v>
      </c>
      <c r="C260" s="10" t="e">
        <f>VLOOKUP(B260,'[1]MAY MONTH'!$B:$C,2,0)</f>
        <v>#N/A</v>
      </c>
      <c r="D260" s="3" t="s">
        <v>213</v>
      </c>
      <c r="E260" s="3" t="s">
        <v>212</v>
      </c>
      <c r="F260" s="10" t="s">
        <v>4</v>
      </c>
      <c r="G260" s="3" t="s">
        <v>211</v>
      </c>
      <c r="H260" s="3" t="s">
        <v>210</v>
      </c>
      <c r="I260" s="3" t="s">
        <v>10</v>
      </c>
      <c r="J260" s="13">
        <v>46152</v>
      </c>
      <c r="K260" s="3" t="s">
        <v>9</v>
      </c>
      <c r="L260" s="3" t="s">
        <v>8</v>
      </c>
      <c r="M260" s="10" t="s">
        <v>11</v>
      </c>
      <c r="N260" s="5">
        <v>0</v>
      </c>
      <c r="O260" s="5">
        <v>5898</v>
      </c>
      <c r="P260" s="5">
        <v>5898</v>
      </c>
      <c r="Q260" s="11">
        <f t="shared" si="12"/>
        <v>0</v>
      </c>
      <c r="R260" s="11">
        <v>10000</v>
      </c>
      <c r="S260" s="11">
        <f t="shared" si="13"/>
        <v>4102</v>
      </c>
      <c r="T260" s="11">
        <v>0</v>
      </c>
      <c r="U260" s="3" t="s">
        <v>7</v>
      </c>
      <c r="V260" s="18">
        <v>46152</v>
      </c>
      <c r="W260" s="3" t="s">
        <v>6</v>
      </c>
      <c r="X260" s="3"/>
      <c r="Y260" s="3"/>
      <c r="Z260" s="3"/>
      <c r="AA260" s="3"/>
      <c r="AB260" s="3" t="str">
        <f t="shared" si="14"/>
        <v>Paid</v>
      </c>
      <c r="AC260" s="3"/>
    </row>
    <row r="261" spans="1:30" x14ac:dyDescent="0.25">
      <c r="A261" s="10" t="s">
        <v>5</v>
      </c>
      <c r="B261" s="12" t="s">
        <v>209</v>
      </c>
      <c r="C261" s="10" t="e">
        <f>VLOOKUP(B261,'[1]MAY MONTH'!$B:$C,2,0)</f>
        <v>#N/A</v>
      </c>
      <c r="D261" s="12" t="s">
        <v>208</v>
      </c>
      <c r="E261" s="12" t="s">
        <v>207</v>
      </c>
      <c r="F261" s="10" t="s">
        <v>4</v>
      </c>
      <c r="G261" s="3" t="s">
        <v>206</v>
      </c>
      <c r="H261" s="10" t="s">
        <v>205</v>
      </c>
      <c r="I261" s="12" t="s">
        <v>204</v>
      </c>
      <c r="J261" s="23">
        <v>46150</v>
      </c>
      <c r="K261" s="22" t="s">
        <v>215</v>
      </c>
      <c r="L261" s="58" t="s">
        <v>35</v>
      </c>
      <c r="M261" s="3" t="s">
        <v>35</v>
      </c>
      <c r="N261" s="5">
        <v>0</v>
      </c>
      <c r="O261" s="5">
        <v>4799</v>
      </c>
      <c r="P261" s="5">
        <v>6122</v>
      </c>
      <c r="Q261" s="11">
        <f t="shared" si="12"/>
        <v>1323</v>
      </c>
      <c r="R261" s="11">
        <v>10000</v>
      </c>
      <c r="S261" s="11">
        <f t="shared" si="13"/>
        <v>5201</v>
      </c>
      <c r="T261" s="11">
        <v>0</v>
      </c>
      <c r="U261" s="3" t="s">
        <v>7</v>
      </c>
      <c r="V261" s="18">
        <v>46151</v>
      </c>
      <c r="W261" s="3" t="s">
        <v>6</v>
      </c>
      <c r="X261" s="3"/>
      <c r="Y261" s="3"/>
      <c r="Z261" s="3"/>
      <c r="AA261" s="3"/>
      <c r="AB261" s="3" t="str">
        <f t="shared" si="14"/>
        <v>Paid</v>
      </c>
      <c r="AC261" s="3"/>
    </row>
    <row r="262" spans="1:30" x14ac:dyDescent="0.25">
      <c r="A262" s="10" t="s">
        <v>5</v>
      </c>
      <c r="B262" s="3" t="s">
        <v>203</v>
      </c>
      <c r="C262" s="10" t="e">
        <f>VLOOKUP(B262,'[1]MAY MONTH'!$B:$C,2,0)</f>
        <v>#N/A</v>
      </c>
      <c r="D262" s="3" t="s">
        <v>202</v>
      </c>
      <c r="E262" s="3" t="s">
        <v>201</v>
      </c>
      <c r="F262" s="10" t="s">
        <v>4</v>
      </c>
      <c r="G262" s="3" t="s">
        <v>49</v>
      </c>
      <c r="H262" s="3" t="s">
        <v>196</v>
      </c>
      <c r="I262" s="3" t="s">
        <v>200</v>
      </c>
      <c r="J262" s="13">
        <v>46151</v>
      </c>
      <c r="K262" s="3" t="s">
        <v>9</v>
      </c>
      <c r="L262" s="3" t="s">
        <v>28</v>
      </c>
      <c r="M262" s="10" t="s">
        <v>20</v>
      </c>
      <c r="N262" s="11">
        <v>0</v>
      </c>
      <c r="O262" s="11">
        <v>13747</v>
      </c>
      <c r="P262" s="11">
        <f>O262</f>
        <v>13747</v>
      </c>
      <c r="Q262" s="11">
        <f t="shared" si="12"/>
        <v>0</v>
      </c>
      <c r="R262" s="11">
        <v>10000</v>
      </c>
      <c r="S262" s="11">
        <f t="shared" si="13"/>
        <v>-3747</v>
      </c>
      <c r="T262" s="11">
        <v>0</v>
      </c>
      <c r="U262" s="3" t="s">
        <v>7</v>
      </c>
      <c r="V262" s="18">
        <v>46151</v>
      </c>
      <c r="W262" s="3" t="s">
        <v>6</v>
      </c>
      <c r="X262" s="3"/>
      <c r="Y262" s="3"/>
      <c r="Z262" s="3"/>
      <c r="AA262" s="3"/>
      <c r="AB262" s="3" t="str">
        <f t="shared" si="14"/>
        <v>Paid</v>
      </c>
      <c r="AC262" s="3"/>
    </row>
    <row r="263" spans="1:30" x14ac:dyDescent="0.25">
      <c r="A263" s="10" t="s">
        <v>5</v>
      </c>
      <c r="B263" s="3" t="s">
        <v>199</v>
      </c>
      <c r="C263" s="10" t="e">
        <f>VLOOKUP(B263,'[1]MAY MONTH'!$B:$C,2,0)</f>
        <v>#N/A</v>
      </c>
      <c r="D263" s="3" t="s">
        <v>198</v>
      </c>
      <c r="E263" s="3" t="s">
        <v>197</v>
      </c>
      <c r="F263" s="10" t="s">
        <v>4</v>
      </c>
      <c r="G263" s="3" t="s">
        <v>49</v>
      </c>
      <c r="H263" s="3" t="s">
        <v>196</v>
      </c>
      <c r="I263" s="3" t="s">
        <v>195</v>
      </c>
      <c r="J263" s="13">
        <v>46151</v>
      </c>
      <c r="K263" s="3" t="s">
        <v>9</v>
      </c>
      <c r="L263" s="3" t="s">
        <v>28</v>
      </c>
      <c r="M263" s="10" t="s">
        <v>20</v>
      </c>
      <c r="N263" s="11">
        <v>0</v>
      </c>
      <c r="O263" s="11">
        <v>13747</v>
      </c>
      <c r="P263" s="11">
        <f>O263</f>
        <v>13747</v>
      </c>
      <c r="Q263" s="11">
        <f t="shared" si="12"/>
        <v>0</v>
      </c>
      <c r="R263" s="11">
        <v>10000</v>
      </c>
      <c r="S263" s="11">
        <f t="shared" si="13"/>
        <v>-3747</v>
      </c>
      <c r="T263" s="11">
        <v>0</v>
      </c>
      <c r="U263" s="3" t="s">
        <v>7</v>
      </c>
      <c r="V263" s="18">
        <v>46151</v>
      </c>
      <c r="W263" s="3" t="s">
        <v>6</v>
      </c>
      <c r="X263" s="3"/>
      <c r="Y263" s="3"/>
      <c r="Z263" s="3"/>
      <c r="AA263" s="3"/>
      <c r="AB263" s="3" t="str">
        <f t="shared" si="14"/>
        <v>Paid</v>
      </c>
      <c r="AC263" s="3"/>
    </row>
    <row r="264" spans="1:30" x14ac:dyDescent="0.25">
      <c r="A264" s="10" t="s">
        <v>5</v>
      </c>
      <c r="B264" s="3" t="s">
        <v>1438</v>
      </c>
      <c r="C264" s="10" t="e">
        <f>VLOOKUP(B264,'[1]MAY MONTH'!$B:$C,2,0)</f>
        <v>#N/A</v>
      </c>
      <c r="D264" s="3" t="s">
        <v>1439</v>
      </c>
      <c r="E264" s="3" t="s">
        <v>1440</v>
      </c>
      <c r="F264" s="10" t="s">
        <v>4</v>
      </c>
      <c r="G264" s="3" t="s">
        <v>49</v>
      </c>
      <c r="H264" s="3" t="s">
        <v>196</v>
      </c>
      <c r="I264" s="3" t="s">
        <v>29</v>
      </c>
      <c r="J264" s="13">
        <v>46151</v>
      </c>
      <c r="K264" s="3" t="s">
        <v>9</v>
      </c>
      <c r="L264" s="3" t="s">
        <v>28</v>
      </c>
      <c r="M264" s="10" t="s">
        <v>20</v>
      </c>
      <c r="N264" s="11">
        <v>0</v>
      </c>
      <c r="O264" s="11">
        <v>0</v>
      </c>
      <c r="P264" s="11">
        <f>O264</f>
        <v>0</v>
      </c>
      <c r="Q264" s="11">
        <f t="shared" si="12"/>
        <v>0</v>
      </c>
      <c r="R264" s="11">
        <v>10000</v>
      </c>
      <c r="S264" s="11">
        <f t="shared" si="13"/>
        <v>10000</v>
      </c>
      <c r="T264" s="11">
        <v>0</v>
      </c>
      <c r="U264" s="3" t="s">
        <v>7</v>
      </c>
      <c r="V264" s="18">
        <v>46151</v>
      </c>
      <c r="W264" s="3" t="s">
        <v>6</v>
      </c>
      <c r="X264" s="3"/>
      <c r="Y264" s="3"/>
      <c r="Z264" s="3"/>
      <c r="AA264" s="3"/>
      <c r="AB264" s="3" t="str">
        <f t="shared" si="14"/>
        <v>Unpaid</v>
      </c>
      <c r="AC264" s="3"/>
    </row>
    <row r="265" spans="1:30" x14ac:dyDescent="0.25">
      <c r="A265" s="10" t="s">
        <v>5</v>
      </c>
      <c r="B265" s="3" t="s">
        <v>194</v>
      </c>
      <c r="C265" s="10" t="e">
        <f>VLOOKUP(B265,'[1]MAY MONTH'!$B:$C,2,0)</f>
        <v>#N/A</v>
      </c>
      <c r="D265" s="3" t="s">
        <v>193</v>
      </c>
      <c r="E265" s="3" t="s">
        <v>192</v>
      </c>
      <c r="F265" s="10" t="s">
        <v>21</v>
      </c>
      <c r="G265" s="3" t="s">
        <v>62</v>
      </c>
      <c r="H265" s="3" t="s">
        <v>191</v>
      </c>
      <c r="I265" s="3" t="s">
        <v>2</v>
      </c>
      <c r="J265" s="18">
        <v>46151</v>
      </c>
      <c r="K265" s="22" t="s">
        <v>21</v>
      </c>
      <c r="L265" s="3" t="s">
        <v>1</v>
      </c>
      <c r="M265" s="3" t="s">
        <v>1</v>
      </c>
      <c r="N265" s="5">
        <v>0</v>
      </c>
      <c r="O265" s="5">
        <v>8278</v>
      </c>
      <c r="P265" s="5">
        <v>9543</v>
      </c>
      <c r="Q265" s="11">
        <f t="shared" si="12"/>
        <v>1265</v>
      </c>
      <c r="R265" s="11">
        <v>10000</v>
      </c>
      <c r="S265" s="11">
        <f t="shared" si="13"/>
        <v>1722</v>
      </c>
      <c r="T265" s="11">
        <v>0</v>
      </c>
      <c r="U265" s="3" t="s">
        <v>7</v>
      </c>
      <c r="V265" s="18">
        <v>46151</v>
      </c>
      <c r="W265" s="3" t="s">
        <v>6</v>
      </c>
      <c r="X265" s="3"/>
      <c r="Y265" s="3"/>
      <c r="Z265" s="3"/>
      <c r="AA265" s="3"/>
      <c r="AB265" s="3" t="str">
        <f t="shared" si="14"/>
        <v>Paid</v>
      </c>
      <c r="AC265" s="3"/>
    </row>
    <row r="266" spans="1:30" x14ac:dyDescent="0.25">
      <c r="A266" s="10" t="s">
        <v>5</v>
      </c>
      <c r="B266" s="12" t="s">
        <v>190</v>
      </c>
      <c r="C266" s="10" t="e">
        <f>VLOOKUP(B266,'[1]MAY MONTH'!$B:$C,2,0)</f>
        <v>#N/A</v>
      </c>
      <c r="D266" s="12" t="s">
        <v>189</v>
      </c>
      <c r="E266" s="12" t="s">
        <v>188</v>
      </c>
      <c r="F266" s="10" t="s">
        <v>4</v>
      </c>
      <c r="G266" s="3" t="s">
        <v>187</v>
      </c>
      <c r="H266" s="12" t="s">
        <v>186</v>
      </c>
      <c r="I266" s="3" t="s">
        <v>185</v>
      </c>
      <c r="J266" s="13">
        <v>46151</v>
      </c>
      <c r="K266" s="3" t="s">
        <v>215</v>
      </c>
      <c r="L266" s="3" t="s">
        <v>35</v>
      </c>
      <c r="M266" s="3" t="s">
        <v>35</v>
      </c>
      <c r="N266" s="5">
        <v>0</v>
      </c>
      <c r="O266" s="5">
        <v>9027</v>
      </c>
      <c r="P266" s="5">
        <v>9425</v>
      </c>
      <c r="Q266" s="11">
        <f t="shared" si="12"/>
        <v>398</v>
      </c>
      <c r="R266" s="11">
        <v>10000</v>
      </c>
      <c r="S266" s="11">
        <f t="shared" si="13"/>
        <v>973</v>
      </c>
      <c r="T266" s="11">
        <v>0</v>
      </c>
      <c r="U266" s="3" t="s">
        <v>7</v>
      </c>
      <c r="V266" s="18">
        <v>46151</v>
      </c>
      <c r="W266" s="3" t="s">
        <v>6</v>
      </c>
      <c r="X266" s="3"/>
      <c r="Y266" s="3"/>
      <c r="Z266" s="3"/>
      <c r="AA266" s="3"/>
      <c r="AB266" s="3" t="str">
        <f t="shared" si="14"/>
        <v>Paid</v>
      </c>
      <c r="AC266" s="3"/>
    </row>
    <row r="267" spans="1:30" x14ac:dyDescent="0.25">
      <c r="A267" s="10" t="s">
        <v>5</v>
      </c>
      <c r="B267" s="12" t="s">
        <v>184</v>
      </c>
      <c r="C267" s="10" t="e">
        <f>VLOOKUP(B267,'[1]MAY MONTH'!$B:$C,2,0)</f>
        <v>#N/A</v>
      </c>
      <c r="D267" s="12" t="s">
        <v>183</v>
      </c>
      <c r="E267" s="12" t="s">
        <v>182</v>
      </c>
      <c r="F267" s="10" t="s">
        <v>4</v>
      </c>
      <c r="G267" s="3" t="s">
        <v>181</v>
      </c>
      <c r="H267" s="12" t="s">
        <v>180</v>
      </c>
      <c r="I267" s="3" t="s">
        <v>179</v>
      </c>
      <c r="J267" s="13">
        <v>46151</v>
      </c>
      <c r="K267" s="3" t="s">
        <v>215</v>
      </c>
      <c r="L267" s="3" t="s">
        <v>35</v>
      </c>
      <c r="M267" s="3" t="s">
        <v>35</v>
      </c>
      <c r="N267" s="5">
        <v>0</v>
      </c>
      <c r="O267" s="5">
        <v>10000</v>
      </c>
      <c r="P267" s="11">
        <f>O267</f>
        <v>10000</v>
      </c>
      <c r="Q267" s="11">
        <f t="shared" si="12"/>
        <v>0</v>
      </c>
      <c r="R267" s="11">
        <v>10000</v>
      </c>
      <c r="S267" s="11">
        <f t="shared" si="13"/>
        <v>0</v>
      </c>
      <c r="T267" s="11">
        <v>0</v>
      </c>
      <c r="U267" s="3" t="s">
        <v>7</v>
      </c>
      <c r="V267" s="18">
        <v>46151</v>
      </c>
      <c r="W267" s="3" t="s">
        <v>6</v>
      </c>
      <c r="X267" s="3"/>
      <c r="Y267" s="3"/>
      <c r="Z267" s="3"/>
      <c r="AA267" s="3"/>
      <c r="AB267" s="3" t="str">
        <f t="shared" si="14"/>
        <v>Paid</v>
      </c>
      <c r="AC267" s="3"/>
    </row>
    <row r="268" spans="1:30" x14ac:dyDescent="0.25">
      <c r="A268" s="10" t="s">
        <v>5</v>
      </c>
      <c r="B268" s="12" t="s">
        <v>178</v>
      </c>
      <c r="C268" s="10" t="e">
        <f>VLOOKUP(B268,'[1]MAY MONTH'!$B:$C,2,0)</f>
        <v>#N/A</v>
      </c>
      <c r="D268" s="12" t="s">
        <v>177</v>
      </c>
      <c r="E268" s="12" t="s">
        <v>176</v>
      </c>
      <c r="F268" s="10" t="s">
        <v>4</v>
      </c>
      <c r="G268" s="3" t="s">
        <v>91</v>
      </c>
      <c r="H268" s="3" t="s">
        <v>175</v>
      </c>
      <c r="I268" s="3" t="s">
        <v>174</v>
      </c>
      <c r="J268" s="13">
        <v>46151</v>
      </c>
      <c r="K268" s="3" t="s">
        <v>215</v>
      </c>
      <c r="L268" s="3" t="s">
        <v>35</v>
      </c>
      <c r="M268" s="3" t="s">
        <v>35</v>
      </c>
      <c r="N268" s="5">
        <v>0</v>
      </c>
      <c r="O268" s="5">
        <v>10000</v>
      </c>
      <c r="P268" s="11">
        <f>O268</f>
        <v>10000</v>
      </c>
      <c r="Q268" s="11">
        <f t="shared" si="12"/>
        <v>0</v>
      </c>
      <c r="R268" s="11">
        <v>10000</v>
      </c>
      <c r="S268" s="11">
        <f t="shared" si="13"/>
        <v>0</v>
      </c>
      <c r="T268" s="11">
        <v>0</v>
      </c>
      <c r="U268" s="3" t="s">
        <v>7</v>
      </c>
      <c r="V268" s="18">
        <v>46151</v>
      </c>
      <c r="W268" s="3" t="s">
        <v>6</v>
      </c>
      <c r="X268" s="3"/>
      <c r="Y268" s="3"/>
      <c r="Z268" s="3"/>
      <c r="AA268" s="3"/>
      <c r="AB268" s="3" t="str">
        <f t="shared" si="14"/>
        <v>Paid</v>
      </c>
      <c r="AC268" s="3"/>
    </row>
    <row r="269" spans="1:30" x14ac:dyDescent="0.25">
      <c r="A269" s="10" t="s">
        <v>5</v>
      </c>
      <c r="B269" s="3" t="s">
        <v>173</v>
      </c>
      <c r="C269" s="10" t="e">
        <f>VLOOKUP(B269,'[1]MAY MONTH'!$B:$C,2,0)</f>
        <v>#N/A</v>
      </c>
      <c r="D269" s="3" t="s">
        <v>172</v>
      </c>
      <c r="E269" s="3" t="s">
        <v>171</v>
      </c>
      <c r="F269" s="10" t="s">
        <v>4</v>
      </c>
      <c r="G269" s="3" t="s">
        <v>170</v>
      </c>
      <c r="H269" s="3" t="s">
        <v>1452</v>
      </c>
      <c r="I269" s="3" t="s">
        <v>169</v>
      </c>
      <c r="J269" s="18">
        <v>46152</v>
      </c>
      <c r="K269" s="3" t="s">
        <v>9</v>
      </c>
      <c r="L269" s="13" t="s">
        <v>1</v>
      </c>
      <c r="M269" s="3" t="s">
        <v>1</v>
      </c>
      <c r="N269" s="5">
        <v>0</v>
      </c>
      <c r="O269" s="5">
        <v>8496</v>
      </c>
      <c r="P269" s="5">
        <v>8496</v>
      </c>
      <c r="Q269" s="11">
        <f t="shared" si="12"/>
        <v>0</v>
      </c>
      <c r="R269" s="11">
        <v>10000</v>
      </c>
      <c r="S269" s="11">
        <f t="shared" si="13"/>
        <v>1504</v>
      </c>
      <c r="T269" s="11">
        <v>0</v>
      </c>
      <c r="U269" s="3" t="s">
        <v>7</v>
      </c>
      <c r="V269" s="18">
        <v>46151</v>
      </c>
      <c r="W269" s="3" t="s">
        <v>6</v>
      </c>
      <c r="X269" s="3"/>
      <c r="Y269" s="3"/>
      <c r="Z269" s="3"/>
      <c r="AA269" s="3"/>
      <c r="AB269" s="3" t="str">
        <f t="shared" si="14"/>
        <v>Paid</v>
      </c>
      <c r="AC269" s="3"/>
    </row>
    <row r="270" spans="1:30" s="16" customFormat="1" x14ac:dyDescent="0.25">
      <c r="A270" s="7" t="s">
        <v>5</v>
      </c>
      <c r="B270" s="8" t="s">
        <v>168</v>
      </c>
      <c r="C270" s="10" t="e">
        <f>VLOOKUP(B270,'[1]MAY MONTH'!$B:$C,2,0)</f>
        <v>#N/A</v>
      </c>
      <c r="D270" s="8" t="s">
        <v>167</v>
      </c>
      <c r="E270" s="8" t="s">
        <v>166</v>
      </c>
      <c r="F270" s="10" t="s">
        <v>82</v>
      </c>
      <c r="G270" s="7" t="s">
        <v>49</v>
      </c>
      <c r="H270" s="7" t="s">
        <v>165</v>
      </c>
      <c r="I270" s="17" t="s">
        <v>2</v>
      </c>
      <c r="J270" s="30">
        <v>46152</v>
      </c>
      <c r="K270" s="28" t="s">
        <v>82</v>
      </c>
      <c r="L270" s="7" t="s">
        <v>28</v>
      </c>
      <c r="M270" s="11" t="s">
        <v>0</v>
      </c>
      <c r="N270" s="6">
        <v>0</v>
      </c>
      <c r="O270" s="6">
        <v>9450</v>
      </c>
      <c r="P270" s="6">
        <v>9750</v>
      </c>
      <c r="Q270" s="11">
        <f t="shared" si="12"/>
        <v>300</v>
      </c>
      <c r="R270" s="11">
        <v>10000</v>
      </c>
      <c r="S270" s="11">
        <f t="shared" si="13"/>
        <v>550</v>
      </c>
      <c r="T270" s="11">
        <v>0</v>
      </c>
      <c r="U270" s="3" t="s">
        <v>7</v>
      </c>
      <c r="V270" s="18">
        <v>46152</v>
      </c>
      <c r="W270" s="3" t="s">
        <v>6</v>
      </c>
      <c r="X270" s="17"/>
      <c r="Y270" s="17"/>
      <c r="Z270" s="17"/>
      <c r="AA270" s="17"/>
      <c r="AB270" s="3" t="str">
        <f t="shared" si="14"/>
        <v>Paid</v>
      </c>
      <c r="AC270" s="17"/>
      <c r="AD270" s="1"/>
    </row>
    <row r="271" spans="1:30" x14ac:dyDescent="0.25">
      <c r="A271" s="7" t="s">
        <v>5</v>
      </c>
      <c r="B271" s="3" t="s">
        <v>164</v>
      </c>
      <c r="C271" s="10" t="e">
        <f>VLOOKUP(B271,'[1]MAY MONTH'!$B:$C,2,0)</f>
        <v>#N/A</v>
      </c>
      <c r="D271" s="3" t="s">
        <v>163</v>
      </c>
      <c r="E271" s="3" t="s">
        <v>162</v>
      </c>
      <c r="F271" s="10" t="s">
        <v>4</v>
      </c>
      <c r="G271" s="3" t="s">
        <v>161</v>
      </c>
      <c r="H271" s="3" t="s">
        <v>160</v>
      </c>
      <c r="I271" s="14" t="s">
        <v>159</v>
      </c>
      <c r="J271" s="30">
        <v>46152</v>
      </c>
      <c r="K271" s="3" t="s">
        <v>9</v>
      </c>
      <c r="L271" s="3" t="s">
        <v>35</v>
      </c>
      <c r="M271" s="3" t="s">
        <v>35</v>
      </c>
      <c r="N271" s="5">
        <v>0</v>
      </c>
      <c r="O271" s="5">
        <v>4481</v>
      </c>
      <c r="P271" s="5">
        <v>4981</v>
      </c>
      <c r="Q271" s="11">
        <f t="shared" si="12"/>
        <v>500</v>
      </c>
      <c r="R271" s="11">
        <v>10000</v>
      </c>
      <c r="S271" s="11">
        <f t="shared" si="13"/>
        <v>5519</v>
      </c>
      <c r="T271" s="11">
        <v>0</v>
      </c>
      <c r="U271" s="3" t="s">
        <v>7</v>
      </c>
      <c r="V271" s="18">
        <v>46152</v>
      </c>
      <c r="W271" s="3" t="s">
        <v>6</v>
      </c>
      <c r="X271" s="3"/>
      <c r="Y271" s="3"/>
      <c r="Z271" s="3"/>
      <c r="AA271" s="3"/>
      <c r="AB271" s="3" t="str">
        <f t="shared" si="14"/>
        <v>Paid</v>
      </c>
      <c r="AC271" s="3"/>
    </row>
    <row r="272" spans="1:30" x14ac:dyDescent="0.25">
      <c r="A272" s="7" t="s">
        <v>5</v>
      </c>
      <c r="B272" s="3" t="s">
        <v>158</v>
      </c>
      <c r="C272" s="10" t="e">
        <f>VLOOKUP(B272,'[1]MAY MONTH'!$B:$C,2,0)</f>
        <v>#N/A</v>
      </c>
      <c r="D272" s="3" t="s">
        <v>157</v>
      </c>
      <c r="E272" s="3" t="s">
        <v>156</v>
      </c>
      <c r="F272" s="10" t="s">
        <v>21</v>
      </c>
      <c r="G272" s="3" t="s">
        <v>38</v>
      </c>
      <c r="H272" s="3" t="s">
        <v>155</v>
      </c>
      <c r="I272" s="14" t="s">
        <v>154</v>
      </c>
      <c r="J272" s="30">
        <v>46152</v>
      </c>
      <c r="K272" s="22" t="s">
        <v>21</v>
      </c>
      <c r="L272" s="3" t="s">
        <v>35</v>
      </c>
      <c r="M272" s="3" t="s">
        <v>35</v>
      </c>
      <c r="N272" s="5">
        <v>0</v>
      </c>
      <c r="O272" s="5">
        <v>7319</v>
      </c>
      <c r="P272" s="5">
        <v>9119</v>
      </c>
      <c r="Q272" s="11">
        <f t="shared" si="12"/>
        <v>1800</v>
      </c>
      <c r="R272" s="11">
        <v>10000</v>
      </c>
      <c r="S272" s="11">
        <f t="shared" si="13"/>
        <v>2681</v>
      </c>
      <c r="T272" s="11">
        <v>0</v>
      </c>
      <c r="U272" s="3" t="s">
        <v>7</v>
      </c>
      <c r="V272" s="18">
        <v>46152</v>
      </c>
      <c r="W272" s="3" t="s">
        <v>6</v>
      </c>
      <c r="X272" s="3"/>
      <c r="Y272" s="3"/>
      <c r="Z272" s="3"/>
      <c r="AA272" s="3"/>
      <c r="AB272" s="3" t="str">
        <f t="shared" si="14"/>
        <v>Paid</v>
      </c>
      <c r="AC272" s="3"/>
    </row>
    <row r="273" spans="1:30" x14ac:dyDescent="0.25">
      <c r="A273" s="7" t="s">
        <v>5</v>
      </c>
      <c r="B273" s="12" t="s">
        <v>153</v>
      </c>
      <c r="C273" s="10" t="e">
        <f>VLOOKUP(B273,'[1]MAY MONTH'!$B:$C,2,0)</f>
        <v>#N/A</v>
      </c>
      <c r="D273" s="12" t="s">
        <v>152</v>
      </c>
      <c r="E273" s="12" t="s">
        <v>151</v>
      </c>
      <c r="F273" s="10" t="s">
        <v>21</v>
      </c>
      <c r="G273" s="3" t="s">
        <v>150</v>
      </c>
      <c r="H273" s="3" t="s">
        <v>149</v>
      </c>
      <c r="I273" s="3" t="s">
        <v>10</v>
      </c>
      <c r="J273" s="13">
        <v>46152</v>
      </c>
      <c r="K273" s="22" t="s">
        <v>21</v>
      </c>
      <c r="L273" s="3" t="s">
        <v>28</v>
      </c>
      <c r="M273" s="10" t="s">
        <v>20</v>
      </c>
      <c r="N273" s="5">
        <v>0</v>
      </c>
      <c r="O273" s="5">
        <v>7350</v>
      </c>
      <c r="P273" s="5">
        <v>8211</v>
      </c>
      <c r="Q273" s="11">
        <f t="shared" si="12"/>
        <v>861</v>
      </c>
      <c r="R273" s="11">
        <v>10000</v>
      </c>
      <c r="S273" s="11">
        <f t="shared" si="13"/>
        <v>2650</v>
      </c>
      <c r="T273" s="11">
        <v>0</v>
      </c>
      <c r="U273" s="3" t="s">
        <v>7</v>
      </c>
      <c r="V273" s="18">
        <v>46152</v>
      </c>
      <c r="W273" s="3" t="s">
        <v>6</v>
      </c>
      <c r="X273" s="3"/>
      <c r="Y273" s="3"/>
      <c r="Z273" s="3"/>
      <c r="AA273" s="3"/>
      <c r="AB273" s="3" t="str">
        <f t="shared" si="14"/>
        <v>Paid</v>
      </c>
      <c r="AC273" s="3"/>
    </row>
    <row r="274" spans="1:30" x14ac:dyDescent="0.25">
      <c r="A274" s="7" t="s">
        <v>5</v>
      </c>
      <c r="B274" s="10" t="s">
        <v>148</v>
      </c>
      <c r="C274" s="10" t="e">
        <f>VLOOKUP(B274,'[1]MAY MONTH'!$B:$C,2,0)</f>
        <v>#N/A</v>
      </c>
      <c r="D274" s="10" t="s">
        <v>147</v>
      </c>
      <c r="E274" s="10" t="s">
        <v>146</v>
      </c>
      <c r="F274" s="10" t="s">
        <v>21</v>
      </c>
      <c r="G274" s="3" t="s">
        <v>145</v>
      </c>
      <c r="H274" s="3" t="s">
        <v>144</v>
      </c>
      <c r="I274" s="3" t="s">
        <v>10</v>
      </c>
      <c r="J274" s="13">
        <v>46152</v>
      </c>
      <c r="K274" s="22" t="s">
        <v>21</v>
      </c>
      <c r="L274" s="3" t="s">
        <v>35</v>
      </c>
      <c r="M274" s="10" t="s">
        <v>20</v>
      </c>
      <c r="N274" s="5">
        <v>0</v>
      </c>
      <c r="O274" s="5">
        <v>7339</v>
      </c>
      <c r="P274" s="5">
        <v>9036</v>
      </c>
      <c r="Q274" s="11">
        <f t="shared" si="12"/>
        <v>1697</v>
      </c>
      <c r="R274" s="11">
        <v>10000</v>
      </c>
      <c r="S274" s="11">
        <f t="shared" si="13"/>
        <v>2661</v>
      </c>
      <c r="T274" s="11">
        <v>0</v>
      </c>
      <c r="U274" s="3" t="s">
        <v>7</v>
      </c>
      <c r="V274" s="18">
        <v>46152</v>
      </c>
      <c r="W274" s="3" t="s">
        <v>6</v>
      </c>
      <c r="X274" s="3"/>
      <c r="Y274" s="3"/>
      <c r="Z274" s="3"/>
      <c r="AA274" s="3"/>
      <c r="AB274" s="3" t="str">
        <f t="shared" si="14"/>
        <v>Paid</v>
      </c>
      <c r="AC274" s="3"/>
    </row>
    <row r="275" spans="1:30" x14ac:dyDescent="0.25">
      <c r="A275" s="3" t="s">
        <v>19</v>
      </c>
      <c r="B275" s="14" t="s">
        <v>143</v>
      </c>
      <c r="C275" s="10" t="e">
        <f>VLOOKUP(B275,'[1]MAY MONTH'!$B:$C,2,0)</f>
        <v>#N/A</v>
      </c>
      <c r="D275" s="3" t="s">
        <v>142</v>
      </c>
      <c r="E275" s="3" t="s">
        <v>141</v>
      </c>
      <c r="F275" s="10" t="s">
        <v>4</v>
      </c>
      <c r="G275" s="3" t="s">
        <v>140</v>
      </c>
      <c r="H275" s="3" t="s">
        <v>139</v>
      </c>
      <c r="I275" s="3" t="s">
        <v>138</v>
      </c>
      <c r="J275" s="18">
        <v>46153</v>
      </c>
      <c r="K275" s="3" t="s">
        <v>215</v>
      </c>
      <c r="L275" s="3" t="s">
        <v>1</v>
      </c>
      <c r="M275" s="3" t="s">
        <v>1</v>
      </c>
      <c r="N275" s="5">
        <v>0</v>
      </c>
      <c r="O275" s="5">
        <v>20768</v>
      </c>
      <c r="P275" s="5">
        <v>20768</v>
      </c>
      <c r="Q275" s="11">
        <f t="shared" si="12"/>
        <v>0</v>
      </c>
      <c r="R275" s="5">
        <v>22000</v>
      </c>
      <c r="S275" s="11">
        <f t="shared" si="13"/>
        <v>1232</v>
      </c>
      <c r="T275" s="11">
        <v>0</v>
      </c>
      <c r="U275" s="3" t="s">
        <v>7</v>
      </c>
      <c r="V275" s="18">
        <v>46152</v>
      </c>
      <c r="W275" s="3" t="s">
        <v>6</v>
      </c>
      <c r="X275" s="3"/>
      <c r="Y275" s="3"/>
      <c r="Z275" s="3"/>
      <c r="AA275" s="3"/>
      <c r="AB275" s="3" t="str">
        <f t="shared" si="14"/>
        <v>Paid</v>
      </c>
      <c r="AC275" s="3"/>
    </row>
    <row r="276" spans="1:30" ht="30" x14ac:dyDescent="0.25">
      <c r="A276" s="3" t="s">
        <v>19</v>
      </c>
      <c r="B276" s="14" t="s">
        <v>137</v>
      </c>
      <c r="C276" s="10" t="str">
        <f>VLOOKUP(B276,'[1]MAY MONTH'!$B:$C,2,0)</f>
        <v>Imperial Shah Store</v>
      </c>
      <c r="D276" s="14" t="s">
        <v>136</v>
      </c>
      <c r="E276" s="14" t="s">
        <v>135</v>
      </c>
      <c r="F276" s="10" t="s">
        <v>4</v>
      </c>
      <c r="G276" s="3" t="s">
        <v>134</v>
      </c>
      <c r="H276" s="3" t="s">
        <v>133</v>
      </c>
      <c r="I276" s="3" t="s">
        <v>132</v>
      </c>
      <c r="J276" s="13">
        <v>46152</v>
      </c>
      <c r="K276" s="3" t="s">
        <v>215</v>
      </c>
      <c r="L276" s="3" t="s">
        <v>28</v>
      </c>
      <c r="M276" s="3" t="s">
        <v>20</v>
      </c>
      <c r="N276" s="5">
        <v>0</v>
      </c>
      <c r="O276" s="5">
        <v>11328</v>
      </c>
      <c r="P276" s="5">
        <v>11328</v>
      </c>
      <c r="Q276" s="11">
        <f t="shared" si="12"/>
        <v>0</v>
      </c>
      <c r="R276" s="5">
        <v>22000</v>
      </c>
      <c r="S276" s="11">
        <f t="shared" si="13"/>
        <v>10672</v>
      </c>
      <c r="T276" s="11">
        <v>0</v>
      </c>
      <c r="U276" s="3" t="s">
        <v>7</v>
      </c>
      <c r="V276" s="18">
        <v>46152</v>
      </c>
      <c r="W276" s="3" t="s">
        <v>6</v>
      </c>
      <c r="X276" s="3"/>
      <c r="Y276" s="3"/>
      <c r="Z276" s="3"/>
      <c r="AA276" s="3"/>
      <c r="AB276" s="3" t="str">
        <f t="shared" si="14"/>
        <v>Paid</v>
      </c>
      <c r="AC276" s="3"/>
    </row>
    <row r="277" spans="1:30" x14ac:dyDescent="0.25">
      <c r="A277" s="7" t="s">
        <v>5</v>
      </c>
      <c r="B277" s="12" t="s">
        <v>131</v>
      </c>
      <c r="C277" s="10" t="e">
        <f>VLOOKUP(B277,'[1]MAY MONTH'!$B:$C,2,0)</f>
        <v>#N/A</v>
      </c>
      <c r="D277" s="12" t="s">
        <v>130</v>
      </c>
      <c r="E277" s="12" t="s">
        <v>129</v>
      </c>
      <c r="F277" s="10" t="s">
        <v>4</v>
      </c>
      <c r="G277" s="3" t="s">
        <v>128</v>
      </c>
      <c r="H277" s="3" t="s">
        <v>127</v>
      </c>
      <c r="I277" s="3" t="s">
        <v>110</v>
      </c>
      <c r="J277" s="13">
        <v>46152</v>
      </c>
      <c r="K277" s="3" t="s">
        <v>9</v>
      </c>
      <c r="L277" s="3" t="s">
        <v>28</v>
      </c>
      <c r="M277" s="3" t="s">
        <v>20</v>
      </c>
      <c r="N277" s="5">
        <v>0</v>
      </c>
      <c r="O277" s="5">
        <v>6426</v>
      </c>
      <c r="P277" s="5">
        <v>7126</v>
      </c>
      <c r="Q277" s="11">
        <f t="shared" si="12"/>
        <v>700</v>
      </c>
      <c r="R277" s="11">
        <v>10000</v>
      </c>
      <c r="S277" s="11">
        <f t="shared" si="13"/>
        <v>3574</v>
      </c>
      <c r="T277" s="11">
        <v>0</v>
      </c>
      <c r="U277" s="3" t="s">
        <v>7</v>
      </c>
      <c r="V277" s="18">
        <v>46152</v>
      </c>
      <c r="W277" s="3" t="s">
        <v>6</v>
      </c>
      <c r="X277" s="3"/>
      <c r="Y277" s="3"/>
      <c r="Z277" s="3"/>
      <c r="AA277" s="3"/>
      <c r="AB277" s="3" t="str">
        <f t="shared" si="14"/>
        <v>Paid</v>
      </c>
      <c r="AC277" s="3"/>
    </row>
    <row r="278" spans="1:30" ht="30" x14ac:dyDescent="0.25">
      <c r="A278" s="7" t="s">
        <v>5</v>
      </c>
      <c r="B278" s="3" t="s">
        <v>126</v>
      </c>
      <c r="C278" s="10" t="e">
        <f>VLOOKUP(B278,'[1]MAY MONTH'!$B:$C,2,0)</f>
        <v>#N/A</v>
      </c>
      <c r="D278" s="3" t="s">
        <v>125</v>
      </c>
      <c r="E278" s="3" t="s">
        <v>124</v>
      </c>
      <c r="F278" s="10" t="s">
        <v>21</v>
      </c>
      <c r="G278" s="3" t="s">
        <v>123</v>
      </c>
      <c r="H278" s="3" t="s">
        <v>1481</v>
      </c>
      <c r="I278" s="3" t="s">
        <v>122</v>
      </c>
      <c r="J278" s="13">
        <v>46150</v>
      </c>
      <c r="K278" s="22" t="s">
        <v>21</v>
      </c>
      <c r="L278" s="3" t="s">
        <v>8</v>
      </c>
      <c r="M278" s="3" t="s">
        <v>20</v>
      </c>
      <c r="N278" s="5">
        <v>0</v>
      </c>
      <c r="O278" s="5">
        <f>4270*2</f>
        <v>8540</v>
      </c>
      <c r="P278" s="5">
        <v>9140</v>
      </c>
      <c r="Q278" s="11">
        <f t="shared" si="12"/>
        <v>600</v>
      </c>
      <c r="R278" s="11">
        <v>10000</v>
      </c>
      <c r="S278" s="11">
        <f t="shared" si="13"/>
        <v>1460</v>
      </c>
      <c r="T278" s="11">
        <v>0</v>
      </c>
      <c r="U278" s="3" t="s">
        <v>7</v>
      </c>
      <c r="V278" s="18">
        <v>46153</v>
      </c>
      <c r="W278" s="3" t="s">
        <v>6</v>
      </c>
      <c r="X278" s="3"/>
      <c r="Y278" s="3"/>
      <c r="Z278" s="3"/>
      <c r="AA278" s="3"/>
      <c r="AB278" s="3" t="str">
        <f t="shared" si="14"/>
        <v>Paid</v>
      </c>
      <c r="AC278" s="3"/>
    </row>
    <row r="279" spans="1:30" x14ac:dyDescent="0.25">
      <c r="A279" s="3" t="s">
        <v>5</v>
      </c>
      <c r="B279" s="12" t="s">
        <v>121</v>
      </c>
      <c r="C279" s="10" t="e">
        <f>VLOOKUP(B279,'[1]MAY MONTH'!$B:$C,2,0)</f>
        <v>#N/A</v>
      </c>
      <c r="D279" s="12" t="s">
        <v>120</v>
      </c>
      <c r="E279" s="12" t="s">
        <v>119</v>
      </c>
      <c r="F279" s="10" t="s">
        <v>4</v>
      </c>
      <c r="G279" s="12" t="s">
        <v>118</v>
      </c>
      <c r="H279" s="3" t="s">
        <v>117</v>
      </c>
      <c r="I279" s="3" t="s">
        <v>116</v>
      </c>
      <c r="J279" s="13">
        <v>46148</v>
      </c>
      <c r="K279" s="22" t="s">
        <v>215</v>
      </c>
      <c r="L279" s="3" t="s">
        <v>35</v>
      </c>
      <c r="M279" s="10" t="s">
        <v>20</v>
      </c>
      <c r="N279" s="5">
        <v>0</v>
      </c>
      <c r="O279" s="5">
        <v>2909</v>
      </c>
      <c r="P279" s="5">
        <v>4606</v>
      </c>
      <c r="Q279" s="11">
        <f t="shared" si="12"/>
        <v>1697</v>
      </c>
      <c r="R279" s="11">
        <v>10000</v>
      </c>
      <c r="S279" s="11">
        <f t="shared" si="13"/>
        <v>7091</v>
      </c>
      <c r="T279" s="11">
        <v>0</v>
      </c>
      <c r="U279" s="3" t="s">
        <v>7</v>
      </c>
      <c r="V279" s="18">
        <v>46153</v>
      </c>
      <c r="W279" s="3" t="s">
        <v>6</v>
      </c>
      <c r="X279" s="3"/>
      <c r="Y279" s="3"/>
      <c r="Z279" s="3"/>
      <c r="AA279" s="3"/>
      <c r="AB279" s="3" t="str">
        <f t="shared" si="14"/>
        <v>Paid</v>
      </c>
      <c r="AC279" s="3"/>
    </row>
    <row r="280" spans="1:30" x14ac:dyDescent="0.25">
      <c r="A280" s="8" t="s">
        <v>5</v>
      </c>
      <c r="B280" s="12" t="s">
        <v>115</v>
      </c>
      <c r="C280" s="10" t="e">
        <f>VLOOKUP(B280,'[1]MAY MONTH'!$B:$C,2,0)</f>
        <v>#N/A</v>
      </c>
      <c r="D280" s="12" t="s">
        <v>114</v>
      </c>
      <c r="E280" s="12" t="s">
        <v>113</v>
      </c>
      <c r="F280" s="10" t="s">
        <v>4</v>
      </c>
      <c r="G280" s="3" t="s">
        <v>112</v>
      </c>
      <c r="H280" s="3" t="s">
        <v>111</v>
      </c>
      <c r="I280" s="3" t="s">
        <v>110</v>
      </c>
      <c r="J280" s="13">
        <v>46152</v>
      </c>
      <c r="K280" s="22" t="s">
        <v>215</v>
      </c>
      <c r="L280" s="3" t="s">
        <v>28</v>
      </c>
      <c r="M280" s="10" t="s">
        <v>20</v>
      </c>
      <c r="N280" s="5">
        <v>0</v>
      </c>
      <c r="O280" s="5">
        <v>4148</v>
      </c>
      <c r="P280" s="5">
        <v>5174</v>
      </c>
      <c r="Q280" s="11">
        <f t="shared" si="12"/>
        <v>1026</v>
      </c>
      <c r="R280" s="11">
        <v>10000</v>
      </c>
      <c r="S280" s="11">
        <f t="shared" si="13"/>
        <v>5852</v>
      </c>
      <c r="T280" s="11">
        <v>0</v>
      </c>
      <c r="U280" s="3" t="s">
        <v>7</v>
      </c>
      <c r="V280" s="18">
        <v>46152</v>
      </c>
      <c r="W280" s="3" t="s">
        <v>6</v>
      </c>
      <c r="X280" s="3"/>
      <c r="Y280" s="3"/>
      <c r="Z280" s="3"/>
      <c r="AA280" s="3"/>
      <c r="AB280" s="3" t="str">
        <f t="shared" si="14"/>
        <v>Paid</v>
      </c>
      <c r="AC280" s="3"/>
    </row>
    <row r="281" spans="1:30" x14ac:dyDescent="0.25">
      <c r="A281" s="3" t="s">
        <v>5</v>
      </c>
      <c r="B281" s="3" t="s">
        <v>109</v>
      </c>
      <c r="C281" s="10" t="e">
        <f>VLOOKUP(B281,'[1]MAY MONTH'!$B:$C,2,0)</f>
        <v>#N/A</v>
      </c>
      <c r="D281" s="3" t="s">
        <v>108</v>
      </c>
      <c r="E281" s="3" t="s">
        <v>107</v>
      </c>
      <c r="F281" s="10" t="s">
        <v>4</v>
      </c>
      <c r="G281" s="3" t="s">
        <v>106</v>
      </c>
      <c r="H281" s="3" t="s">
        <v>105</v>
      </c>
      <c r="I281" s="3" t="s">
        <v>10</v>
      </c>
      <c r="J281" s="20">
        <v>46152</v>
      </c>
      <c r="K281" s="22" t="s">
        <v>215</v>
      </c>
      <c r="L281" s="3" t="s">
        <v>8</v>
      </c>
      <c r="M281" s="3" t="s">
        <v>8</v>
      </c>
      <c r="N281" s="5">
        <v>0</v>
      </c>
      <c r="O281" s="5">
        <v>2808</v>
      </c>
      <c r="P281" s="5">
        <v>3808</v>
      </c>
      <c r="Q281" s="11">
        <f t="shared" si="12"/>
        <v>1000</v>
      </c>
      <c r="R281" s="11">
        <v>10000</v>
      </c>
      <c r="S281" s="11">
        <f t="shared" si="13"/>
        <v>7192</v>
      </c>
      <c r="T281" s="11">
        <v>0</v>
      </c>
      <c r="U281" s="3" t="s">
        <v>7</v>
      </c>
      <c r="V281" s="18">
        <v>46152</v>
      </c>
      <c r="W281" s="3" t="s">
        <v>6</v>
      </c>
      <c r="X281" s="3"/>
      <c r="Y281" s="3"/>
      <c r="Z281" s="3"/>
      <c r="AA281" s="3"/>
      <c r="AB281" s="3" t="str">
        <f t="shared" si="14"/>
        <v>Paid</v>
      </c>
      <c r="AC281" s="3"/>
    </row>
    <row r="282" spans="1:30" ht="30" x14ac:dyDescent="0.25">
      <c r="A282" s="7" t="s">
        <v>5</v>
      </c>
      <c r="B282" s="3" t="s">
        <v>104</v>
      </c>
      <c r="C282" s="10" t="e">
        <f>VLOOKUP(B282,'[1]MAY MONTH'!$B:$C,2,0)</f>
        <v>#N/A</v>
      </c>
      <c r="D282" s="3" t="s">
        <v>103</v>
      </c>
      <c r="E282" s="3" t="s">
        <v>102</v>
      </c>
      <c r="F282" s="10" t="s">
        <v>4</v>
      </c>
      <c r="G282" s="3" t="s">
        <v>101</v>
      </c>
      <c r="H282" s="3" t="s">
        <v>100</v>
      </c>
      <c r="I282" s="3" t="s">
        <v>99</v>
      </c>
      <c r="J282" s="30">
        <v>46152</v>
      </c>
      <c r="K282" s="22" t="s">
        <v>215</v>
      </c>
      <c r="L282" s="7" t="s">
        <v>28</v>
      </c>
      <c r="M282" s="3" t="s">
        <v>8</v>
      </c>
      <c r="N282" s="5">
        <v>0</v>
      </c>
      <c r="O282" s="5">
        <v>2522</v>
      </c>
      <c r="P282" s="5">
        <v>2866</v>
      </c>
      <c r="Q282" s="11">
        <f t="shared" si="12"/>
        <v>344</v>
      </c>
      <c r="R282" s="11">
        <v>10000</v>
      </c>
      <c r="S282" s="11">
        <f t="shared" si="13"/>
        <v>7478</v>
      </c>
      <c r="T282" s="11">
        <v>0</v>
      </c>
      <c r="U282" s="3" t="s">
        <v>7</v>
      </c>
      <c r="V282" s="18">
        <v>46152</v>
      </c>
      <c r="W282" s="3" t="s">
        <v>6</v>
      </c>
      <c r="X282" s="3"/>
      <c r="Y282" s="3"/>
      <c r="Z282" s="3"/>
      <c r="AA282" s="3"/>
      <c r="AB282" s="3" t="str">
        <f t="shared" si="14"/>
        <v>Paid</v>
      </c>
      <c r="AC282" s="3"/>
    </row>
    <row r="283" spans="1:30" x14ac:dyDescent="0.25">
      <c r="A283" s="7" t="s">
        <v>5</v>
      </c>
      <c r="B283" s="3" t="s">
        <v>98</v>
      </c>
      <c r="C283" s="10" t="e">
        <f>VLOOKUP(B283,'[1]MAY MONTH'!$B:$C,2,0)</f>
        <v>#N/A</v>
      </c>
      <c r="D283" s="3" t="s">
        <v>97</v>
      </c>
      <c r="E283" s="3" t="s">
        <v>96</v>
      </c>
      <c r="F283" s="10" t="s">
        <v>4</v>
      </c>
      <c r="G283" s="3" t="s">
        <v>95</v>
      </c>
      <c r="H283" s="3" t="s">
        <v>1451</v>
      </c>
      <c r="I283" s="3" t="s">
        <v>1458</v>
      </c>
      <c r="J283" s="18">
        <v>46152</v>
      </c>
      <c r="K283" s="3" t="s">
        <v>9</v>
      </c>
      <c r="L283" s="3" t="s">
        <v>1</v>
      </c>
      <c r="M283" s="3" t="s">
        <v>1</v>
      </c>
      <c r="N283" s="5">
        <v>0</v>
      </c>
      <c r="O283" s="5">
        <v>7830</v>
      </c>
      <c r="P283" s="5">
        <v>9430</v>
      </c>
      <c r="Q283" s="11">
        <f t="shared" si="12"/>
        <v>1600</v>
      </c>
      <c r="R283" s="11">
        <v>10000</v>
      </c>
      <c r="S283" s="11">
        <f t="shared" si="13"/>
        <v>2170</v>
      </c>
      <c r="T283" s="11">
        <v>0</v>
      </c>
      <c r="U283" s="3" t="s">
        <v>7</v>
      </c>
      <c r="V283" s="18">
        <v>46152</v>
      </c>
      <c r="W283" s="3" t="s">
        <v>6</v>
      </c>
      <c r="X283" s="3"/>
      <c r="Y283" s="3"/>
      <c r="Z283" s="3"/>
      <c r="AA283" s="3"/>
      <c r="AB283" s="3" t="str">
        <f t="shared" si="14"/>
        <v>Paid</v>
      </c>
      <c r="AC283" s="3"/>
    </row>
    <row r="284" spans="1:30" s="16" customFormat="1" x14ac:dyDescent="0.25">
      <c r="A284" s="7" t="s">
        <v>5</v>
      </c>
      <c r="B284" s="3" t="s">
        <v>94</v>
      </c>
      <c r="C284" s="10" t="e">
        <f>VLOOKUP(B284,'[1]MAY MONTH'!$B:$C,2,0)</f>
        <v>#N/A</v>
      </c>
      <c r="D284" s="3" t="s">
        <v>93</v>
      </c>
      <c r="E284" s="3" t="s">
        <v>92</v>
      </c>
      <c r="F284" s="10" t="s">
        <v>82</v>
      </c>
      <c r="G284" s="3" t="s">
        <v>91</v>
      </c>
      <c r="H284" s="3" t="s">
        <v>90</v>
      </c>
      <c r="I284" s="14" t="s">
        <v>89</v>
      </c>
      <c r="J284" s="30">
        <v>46152</v>
      </c>
      <c r="K284" s="28" t="s">
        <v>82</v>
      </c>
      <c r="L284" s="3" t="s">
        <v>35</v>
      </c>
      <c r="M284" s="3" t="s">
        <v>35</v>
      </c>
      <c r="N284" s="5">
        <v>0</v>
      </c>
      <c r="O284" s="5">
        <v>9950</v>
      </c>
      <c r="P284" s="5">
        <v>9950</v>
      </c>
      <c r="Q284" s="11">
        <f t="shared" si="12"/>
        <v>0</v>
      </c>
      <c r="R284" s="11">
        <v>10000</v>
      </c>
      <c r="S284" s="11">
        <f t="shared" si="13"/>
        <v>50</v>
      </c>
      <c r="T284" s="11">
        <v>0</v>
      </c>
      <c r="U284" s="3" t="s">
        <v>7</v>
      </c>
      <c r="V284" s="18">
        <v>46153</v>
      </c>
      <c r="W284" s="3" t="s">
        <v>6</v>
      </c>
      <c r="X284" s="17"/>
      <c r="Y284" s="6"/>
      <c r="Z284" s="17"/>
      <c r="AA284" s="17"/>
      <c r="AB284" s="3" t="str">
        <f t="shared" si="14"/>
        <v>Paid</v>
      </c>
      <c r="AC284" s="17"/>
      <c r="AD284" s="1"/>
    </row>
    <row r="285" spans="1:30" x14ac:dyDescent="0.25">
      <c r="A285" s="10" t="s">
        <v>5</v>
      </c>
      <c r="B285" s="3" t="s">
        <v>88</v>
      </c>
      <c r="C285" s="10" t="e">
        <f>VLOOKUP(B285,'[1]MAY MONTH'!$B:$C,2,0)</f>
        <v>#N/A</v>
      </c>
      <c r="D285" s="3" t="s">
        <v>87</v>
      </c>
      <c r="E285" s="3" t="s">
        <v>86</v>
      </c>
      <c r="F285" s="10" t="s">
        <v>82</v>
      </c>
      <c r="G285" s="3" t="s">
        <v>85</v>
      </c>
      <c r="H285" s="59" t="s">
        <v>84</v>
      </c>
      <c r="I285" s="3" t="s">
        <v>83</v>
      </c>
      <c r="J285" s="13">
        <v>46153</v>
      </c>
      <c r="K285" s="28" t="s">
        <v>82</v>
      </c>
      <c r="L285" s="3" t="s">
        <v>1</v>
      </c>
      <c r="M285" s="3" t="s">
        <v>1</v>
      </c>
      <c r="N285" s="5">
        <v>0</v>
      </c>
      <c r="O285" s="5">
        <v>10000</v>
      </c>
      <c r="P285" s="11">
        <f>O285</f>
        <v>10000</v>
      </c>
      <c r="Q285" s="11">
        <f t="shared" si="12"/>
        <v>0</v>
      </c>
      <c r="R285" s="11">
        <v>10000</v>
      </c>
      <c r="S285" s="11">
        <f t="shared" si="13"/>
        <v>0</v>
      </c>
      <c r="T285" s="11">
        <v>0</v>
      </c>
      <c r="U285" s="3" t="s">
        <v>7</v>
      </c>
      <c r="V285" s="18">
        <v>46153</v>
      </c>
      <c r="W285" s="3" t="s">
        <v>6</v>
      </c>
      <c r="X285" s="3"/>
      <c r="Y285" s="3"/>
      <c r="Z285" s="3"/>
      <c r="AA285" s="3"/>
      <c r="AB285" s="3" t="str">
        <f t="shared" si="14"/>
        <v>Paid</v>
      </c>
      <c r="AC285" s="3"/>
    </row>
    <row r="286" spans="1:30" x14ac:dyDescent="0.25">
      <c r="A286" s="10" t="s">
        <v>5</v>
      </c>
      <c r="B286" s="12" t="s">
        <v>81</v>
      </c>
      <c r="C286" s="10" t="e">
        <f>VLOOKUP(B286,'[1]MAY MONTH'!$B:$C,2,0)</f>
        <v>#N/A</v>
      </c>
      <c r="D286" s="12" t="s">
        <v>80</v>
      </c>
      <c r="E286" s="12" t="s">
        <v>79</v>
      </c>
      <c r="F286" s="10" t="s">
        <v>4</v>
      </c>
      <c r="G286" s="3" t="s">
        <v>78</v>
      </c>
      <c r="H286" s="3" t="s">
        <v>77</v>
      </c>
      <c r="I286" s="3" t="s">
        <v>76</v>
      </c>
      <c r="J286" s="13">
        <v>46153</v>
      </c>
      <c r="K286" s="3" t="s">
        <v>9</v>
      </c>
      <c r="L286" s="3" t="s">
        <v>28</v>
      </c>
      <c r="M286" s="10" t="s">
        <v>20</v>
      </c>
      <c r="N286" s="5">
        <v>0</v>
      </c>
      <c r="O286" s="5">
        <v>6619.8</v>
      </c>
      <c r="P286" s="5">
        <v>7727</v>
      </c>
      <c r="Q286" s="11">
        <f t="shared" si="12"/>
        <v>1107.1999999999998</v>
      </c>
      <c r="R286" s="11">
        <v>10000</v>
      </c>
      <c r="S286" s="11">
        <f t="shared" si="13"/>
        <v>3380.2</v>
      </c>
      <c r="T286" s="11">
        <v>0</v>
      </c>
      <c r="U286" s="3" t="s">
        <v>7</v>
      </c>
      <c r="V286" s="18">
        <v>46153</v>
      </c>
      <c r="W286" s="3" t="s">
        <v>6</v>
      </c>
      <c r="X286" s="3"/>
      <c r="Y286" s="3"/>
      <c r="Z286" s="3"/>
      <c r="AA286" s="3"/>
      <c r="AB286" s="3" t="str">
        <f t="shared" si="14"/>
        <v>Paid</v>
      </c>
      <c r="AC286" s="3"/>
    </row>
    <row r="287" spans="1:30" ht="30" x14ac:dyDescent="0.25">
      <c r="A287" s="10" t="s">
        <v>5</v>
      </c>
      <c r="B287" s="3" t="s">
        <v>75</v>
      </c>
      <c r="C287" s="10" t="e">
        <f>VLOOKUP(B287,'[1]MAY MONTH'!$B:$C,2,0)</f>
        <v>#N/A</v>
      </c>
      <c r="D287" s="3" t="s">
        <v>74</v>
      </c>
      <c r="E287" s="3" t="s">
        <v>73</v>
      </c>
      <c r="F287" s="10" t="s">
        <v>21</v>
      </c>
      <c r="G287" s="3" t="s">
        <v>31</v>
      </c>
      <c r="H287" s="3" t="s">
        <v>72</v>
      </c>
      <c r="I287" s="3" t="s">
        <v>29</v>
      </c>
      <c r="J287" s="20">
        <v>46155</v>
      </c>
      <c r="K287" s="22" t="s">
        <v>21</v>
      </c>
      <c r="L287" s="3" t="s">
        <v>28</v>
      </c>
      <c r="M287" s="3" t="s">
        <v>8</v>
      </c>
      <c r="N287" s="11">
        <v>0</v>
      </c>
      <c r="O287" s="11">
        <f>6143+6142</f>
        <v>12285</v>
      </c>
      <c r="P287" s="11">
        <f>O287</f>
        <v>12285</v>
      </c>
      <c r="Q287" s="11">
        <f t="shared" si="12"/>
        <v>0</v>
      </c>
      <c r="R287" s="11">
        <v>10000</v>
      </c>
      <c r="S287" s="11">
        <f t="shared" si="13"/>
        <v>-2285</v>
      </c>
      <c r="T287" s="11">
        <f>VLOOKUP(B287,[2]Sheet1!$B:$J,9,0)</f>
        <v>2285</v>
      </c>
      <c r="U287" s="3" t="s">
        <v>7</v>
      </c>
      <c r="V287" s="18">
        <v>46154</v>
      </c>
      <c r="W287" s="3" t="s">
        <v>6</v>
      </c>
      <c r="X287" s="3"/>
      <c r="Y287" s="3"/>
      <c r="Z287" s="3"/>
      <c r="AA287" s="3"/>
      <c r="AB287" s="3" t="str">
        <f t="shared" si="14"/>
        <v>Paid</v>
      </c>
      <c r="AC287" s="3"/>
    </row>
    <row r="288" spans="1:30" x14ac:dyDescent="0.25">
      <c r="A288" s="12" t="s">
        <v>5</v>
      </c>
      <c r="B288" s="3" t="s">
        <v>71</v>
      </c>
      <c r="C288" s="10" t="e">
        <f>VLOOKUP(B288,'[1]MAY MONTH'!$B:$C,2,0)</f>
        <v>#N/A</v>
      </c>
      <c r="D288" s="3" t="s">
        <v>70</v>
      </c>
      <c r="E288" s="3" t="s">
        <v>69</v>
      </c>
      <c r="F288" s="10" t="s">
        <v>4</v>
      </c>
      <c r="G288" s="3" t="s">
        <v>68</v>
      </c>
      <c r="H288" s="3" t="s">
        <v>67</v>
      </c>
      <c r="I288" s="3" t="s">
        <v>66</v>
      </c>
      <c r="J288" s="13">
        <v>46152</v>
      </c>
      <c r="K288" s="3" t="s">
        <v>9</v>
      </c>
      <c r="L288" s="3" t="s">
        <v>1</v>
      </c>
      <c r="M288" s="3" t="s">
        <v>8</v>
      </c>
      <c r="N288" s="11">
        <v>0</v>
      </c>
      <c r="O288" s="11">
        <v>5546</v>
      </c>
      <c r="P288" s="11">
        <v>5546</v>
      </c>
      <c r="Q288" s="11">
        <f t="shared" si="12"/>
        <v>0</v>
      </c>
      <c r="R288" s="11">
        <v>10000</v>
      </c>
      <c r="S288" s="11">
        <f t="shared" si="13"/>
        <v>4454</v>
      </c>
      <c r="T288" s="11">
        <v>0</v>
      </c>
      <c r="U288" s="3" t="s">
        <v>7</v>
      </c>
      <c r="V288" s="18">
        <v>46154</v>
      </c>
      <c r="W288" s="3" t="s">
        <v>6</v>
      </c>
      <c r="X288" s="3"/>
      <c r="Y288" s="3"/>
      <c r="Z288" s="3"/>
      <c r="AA288" s="41"/>
      <c r="AB288" s="3" t="str">
        <f t="shared" si="14"/>
        <v>Paid</v>
      </c>
      <c r="AC288" s="3"/>
    </row>
    <row r="289" spans="1:29" x14ac:dyDescent="0.25">
      <c r="A289" s="8" t="s">
        <v>5</v>
      </c>
      <c r="B289" s="3" t="s">
        <v>65</v>
      </c>
      <c r="C289" s="10" t="e">
        <f>VLOOKUP(B289,'[1]MAY MONTH'!$B:$C,2,0)</f>
        <v>#N/A</v>
      </c>
      <c r="D289" s="3" t="s">
        <v>64</v>
      </c>
      <c r="E289" s="3" t="s">
        <v>63</v>
      </c>
      <c r="F289" s="10" t="s">
        <v>4</v>
      </c>
      <c r="G289" s="3" t="s">
        <v>62</v>
      </c>
      <c r="H289" s="3" t="s">
        <v>61</v>
      </c>
      <c r="I289" s="15" t="s">
        <v>60</v>
      </c>
      <c r="J289" s="18">
        <v>46155</v>
      </c>
      <c r="K289" s="3" t="s">
        <v>9</v>
      </c>
      <c r="L289" s="3" t="s">
        <v>1</v>
      </c>
      <c r="M289" s="3" t="s">
        <v>1</v>
      </c>
      <c r="N289" s="5">
        <v>11505</v>
      </c>
      <c r="O289" s="5">
        <v>9169</v>
      </c>
      <c r="P289" s="5">
        <v>9969</v>
      </c>
      <c r="Q289" s="11">
        <f t="shared" si="12"/>
        <v>800</v>
      </c>
      <c r="R289" s="11">
        <v>10000</v>
      </c>
      <c r="S289" s="11">
        <f t="shared" si="13"/>
        <v>831</v>
      </c>
      <c r="T289" s="11">
        <v>0</v>
      </c>
      <c r="U289" s="3" t="s">
        <v>7</v>
      </c>
      <c r="V289" s="18">
        <v>46164</v>
      </c>
      <c r="W289" s="3" t="s">
        <v>6</v>
      </c>
      <c r="X289" s="3" t="s">
        <v>59</v>
      </c>
      <c r="Y289" s="3"/>
      <c r="Z289" s="3"/>
      <c r="AA289" s="3"/>
      <c r="AB289" s="3" t="str">
        <f t="shared" si="14"/>
        <v>Paid</v>
      </c>
      <c r="AC289" s="3"/>
    </row>
    <row r="290" spans="1:29" x14ac:dyDescent="0.25">
      <c r="A290" s="3" t="s">
        <v>19</v>
      </c>
      <c r="B290" s="3" t="s">
        <v>58</v>
      </c>
      <c r="C290" s="10" t="e">
        <f>VLOOKUP(B290,'[1]MAY MONTH'!$B:$C,2,0)</f>
        <v>#N/A</v>
      </c>
      <c r="D290" s="3" t="s">
        <v>57</v>
      </c>
      <c r="E290" s="3" t="s">
        <v>56</v>
      </c>
      <c r="F290" s="10" t="s">
        <v>4</v>
      </c>
      <c r="G290" s="3" t="s">
        <v>55</v>
      </c>
      <c r="H290" s="3" t="s">
        <v>54</v>
      </c>
      <c r="I290" s="3" t="s">
        <v>53</v>
      </c>
      <c r="J290" s="18">
        <v>46155</v>
      </c>
      <c r="K290" s="3" t="s">
        <v>9</v>
      </c>
      <c r="L290" s="3" t="s">
        <v>1</v>
      </c>
      <c r="M290" s="3" t="s">
        <v>1</v>
      </c>
      <c r="N290" s="5">
        <v>0</v>
      </c>
      <c r="O290" s="5">
        <v>17818</v>
      </c>
      <c r="P290" s="5">
        <v>19818</v>
      </c>
      <c r="Q290" s="11">
        <f t="shared" si="12"/>
        <v>2000</v>
      </c>
      <c r="R290" s="5">
        <v>22000</v>
      </c>
      <c r="S290" s="11">
        <f t="shared" si="13"/>
        <v>4182</v>
      </c>
      <c r="T290" s="11">
        <v>0</v>
      </c>
      <c r="U290" s="3" t="s">
        <v>7</v>
      </c>
      <c r="V290" s="18">
        <v>46155</v>
      </c>
      <c r="W290" s="3" t="s">
        <v>6</v>
      </c>
      <c r="X290" s="3"/>
      <c r="Y290" s="3"/>
      <c r="Z290" s="3"/>
      <c r="AA290" s="3"/>
      <c r="AB290" s="3" t="str">
        <f t="shared" si="14"/>
        <v>Paid</v>
      </c>
      <c r="AC290" s="3"/>
    </row>
    <row r="291" spans="1:29" x14ac:dyDescent="0.25">
      <c r="A291" s="3" t="s">
        <v>19</v>
      </c>
      <c r="B291" s="3" t="s">
        <v>52</v>
      </c>
      <c r="C291" s="10" t="e">
        <f>VLOOKUP(B291,'[1]MAY MONTH'!$B:$C,2,0)</f>
        <v>#N/A</v>
      </c>
      <c r="D291" s="3" t="s">
        <v>51</v>
      </c>
      <c r="E291" s="3" t="s">
        <v>50</v>
      </c>
      <c r="F291" s="10" t="s">
        <v>4</v>
      </c>
      <c r="G291" s="3" t="s">
        <v>49</v>
      </c>
      <c r="H291" s="3" t="s">
        <v>48</v>
      </c>
      <c r="I291" s="3" t="s">
        <v>47</v>
      </c>
      <c r="J291" s="13">
        <v>46155</v>
      </c>
      <c r="K291" s="3" t="s">
        <v>9</v>
      </c>
      <c r="L291" s="3" t="s">
        <v>20</v>
      </c>
      <c r="M291" s="3" t="s">
        <v>20</v>
      </c>
      <c r="N291" s="5">
        <v>0</v>
      </c>
      <c r="O291" s="5">
        <v>20296</v>
      </c>
      <c r="P291" s="5">
        <v>21596</v>
      </c>
      <c r="Q291" s="11">
        <f t="shared" si="12"/>
        <v>1300</v>
      </c>
      <c r="R291" s="5">
        <v>22000</v>
      </c>
      <c r="S291" s="11">
        <f t="shared" si="13"/>
        <v>1704</v>
      </c>
      <c r="T291" s="11">
        <v>0</v>
      </c>
      <c r="U291" s="3" t="s">
        <v>7</v>
      </c>
      <c r="V291" s="18">
        <v>46155</v>
      </c>
      <c r="W291" s="3" t="s">
        <v>6</v>
      </c>
      <c r="X291" s="3"/>
      <c r="Y291" s="3"/>
      <c r="Z291" s="3"/>
      <c r="AA291" s="3"/>
      <c r="AB291" s="3" t="str">
        <f t="shared" si="14"/>
        <v>Paid</v>
      </c>
      <c r="AC291" s="3"/>
    </row>
    <row r="292" spans="1:29" x14ac:dyDescent="0.25">
      <c r="A292" s="8" t="s">
        <v>5</v>
      </c>
      <c r="B292" s="3" t="s">
        <v>46</v>
      </c>
      <c r="C292" s="10" t="e">
        <f>VLOOKUP(B292,'[1]MAY MONTH'!$B:$C,2,0)</f>
        <v>#N/A</v>
      </c>
      <c r="D292" s="3" t="s">
        <v>45</v>
      </c>
      <c r="E292" s="3" t="s">
        <v>44</v>
      </c>
      <c r="F292" s="10" t="s">
        <v>4</v>
      </c>
      <c r="G292" s="3" t="s">
        <v>43</v>
      </c>
      <c r="H292" s="3" t="s">
        <v>1450</v>
      </c>
      <c r="I292" s="3" t="s">
        <v>42</v>
      </c>
      <c r="J292" s="13">
        <v>46157</v>
      </c>
      <c r="K292" s="3" t="s">
        <v>9</v>
      </c>
      <c r="L292" s="3" t="s">
        <v>35</v>
      </c>
      <c r="M292" s="3" t="s">
        <v>35</v>
      </c>
      <c r="N292" s="5">
        <v>0</v>
      </c>
      <c r="O292" s="5">
        <v>7080</v>
      </c>
      <c r="P292" s="5">
        <v>7480</v>
      </c>
      <c r="Q292" s="11">
        <f t="shared" si="12"/>
        <v>400</v>
      </c>
      <c r="R292" s="11">
        <v>10000</v>
      </c>
      <c r="S292" s="11">
        <f t="shared" si="13"/>
        <v>2920</v>
      </c>
      <c r="T292" s="11">
        <v>0</v>
      </c>
      <c r="U292" s="3" t="s">
        <v>7</v>
      </c>
      <c r="V292" s="18">
        <v>46156</v>
      </c>
      <c r="W292" s="3" t="s">
        <v>6</v>
      </c>
      <c r="X292" s="3"/>
      <c r="Y292" s="3"/>
      <c r="Z292" s="3"/>
      <c r="AA292" s="3"/>
      <c r="AB292" s="3" t="str">
        <f t="shared" si="14"/>
        <v>Paid</v>
      </c>
      <c r="AC292" s="3"/>
    </row>
    <row r="293" spans="1:29" x14ac:dyDescent="0.25">
      <c r="A293" s="8" t="s">
        <v>5</v>
      </c>
      <c r="B293" s="14" t="s">
        <v>41</v>
      </c>
      <c r="C293" s="10" t="e">
        <f>VLOOKUP(B293,'[1]MAY MONTH'!$B:$C,2,0)</f>
        <v>#N/A</v>
      </c>
      <c r="D293" s="14" t="s">
        <v>40</v>
      </c>
      <c r="E293" s="14" t="s">
        <v>39</v>
      </c>
      <c r="F293" s="10" t="s">
        <v>4</v>
      </c>
      <c r="G293" s="3" t="s">
        <v>38</v>
      </c>
      <c r="H293" s="3" t="s">
        <v>37</v>
      </c>
      <c r="I293" s="3" t="s">
        <v>36</v>
      </c>
      <c r="J293" s="13">
        <v>46156</v>
      </c>
      <c r="K293" s="3" t="s">
        <v>9</v>
      </c>
      <c r="L293" s="3" t="s">
        <v>35</v>
      </c>
      <c r="M293" s="3" t="s">
        <v>35</v>
      </c>
      <c r="N293" s="5">
        <v>0</v>
      </c>
      <c r="O293" s="5">
        <v>7549</v>
      </c>
      <c r="P293" s="5">
        <v>7549</v>
      </c>
      <c r="Q293" s="11">
        <f t="shared" si="12"/>
        <v>0</v>
      </c>
      <c r="R293" s="11">
        <v>10000</v>
      </c>
      <c r="S293" s="11">
        <f t="shared" si="13"/>
        <v>2451</v>
      </c>
      <c r="T293" s="11">
        <v>0</v>
      </c>
      <c r="U293" s="3" t="s">
        <v>7</v>
      </c>
      <c r="V293" s="18">
        <v>46156</v>
      </c>
      <c r="W293" s="3" t="s">
        <v>6</v>
      </c>
      <c r="X293" s="3"/>
      <c r="Y293" s="3"/>
      <c r="Z293" s="3"/>
      <c r="AA293" s="3"/>
      <c r="AB293" s="3" t="str">
        <f t="shared" si="14"/>
        <v>Paid</v>
      </c>
      <c r="AC293" s="3"/>
    </row>
    <row r="294" spans="1:29" x14ac:dyDescent="0.25">
      <c r="A294" s="8" t="s">
        <v>5</v>
      </c>
      <c r="B294" s="14" t="s">
        <v>34</v>
      </c>
      <c r="C294" s="10" t="e">
        <f>VLOOKUP(B294,'[1]MAY MONTH'!$B:$C,2,0)</f>
        <v>#N/A</v>
      </c>
      <c r="D294" s="14" t="s">
        <v>33</v>
      </c>
      <c r="E294" s="14" t="s">
        <v>32</v>
      </c>
      <c r="F294" s="10" t="s">
        <v>4</v>
      </c>
      <c r="G294" s="3" t="s">
        <v>31</v>
      </c>
      <c r="H294" s="3" t="s">
        <v>30</v>
      </c>
      <c r="I294" s="3" t="s">
        <v>29</v>
      </c>
      <c r="J294" s="13">
        <v>46156</v>
      </c>
      <c r="K294" s="3" t="s">
        <v>9</v>
      </c>
      <c r="L294" s="3" t="s">
        <v>28</v>
      </c>
      <c r="M294" s="3" t="s">
        <v>28</v>
      </c>
      <c r="N294" s="5">
        <v>0</v>
      </c>
      <c r="O294" s="5">
        <v>4516</v>
      </c>
      <c r="P294" s="5">
        <v>4916</v>
      </c>
      <c r="Q294" s="11">
        <f t="shared" si="12"/>
        <v>400</v>
      </c>
      <c r="R294" s="11">
        <v>10000</v>
      </c>
      <c r="S294" s="11">
        <f t="shared" si="13"/>
        <v>5484</v>
      </c>
      <c r="T294" s="11">
        <v>0</v>
      </c>
      <c r="U294" s="3" t="s">
        <v>7</v>
      </c>
      <c r="V294" s="18">
        <v>46158</v>
      </c>
      <c r="W294" s="3" t="s">
        <v>6</v>
      </c>
      <c r="X294" s="3"/>
      <c r="Y294" s="3"/>
      <c r="Z294" s="3"/>
      <c r="AA294" s="3"/>
      <c r="AB294" s="3" t="str">
        <f t="shared" si="14"/>
        <v>Paid</v>
      </c>
      <c r="AC294" s="3"/>
    </row>
    <row r="295" spans="1:29" x14ac:dyDescent="0.25">
      <c r="A295" s="3" t="s">
        <v>19</v>
      </c>
      <c r="B295" s="3" t="s">
        <v>18</v>
      </c>
      <c r="C295" s="10" t="e">
        <f>VLOOKUP(B295,'[1]MAY MONTH'!$B:$C,2,0)</f>
        <v>#N/A</v>
      </c>
      <c r="D295" s="3" t="s">
        <v>17</v>
      </c>
      <c r="E295" s="3" t="s">
        <v>16</v>
      </c>
      <c r="F295" s="3" t="s">
        <v>13</v>
      </c>
      <c r="G295" s="3" t="s">
        <v>15</v>
      </c>
      <c r="H295" s="3" t="s">
        <v>14</v>
      </c>
      <c r="I295" s="3" t="s">
        <v>10</v>
      </c>
      <c r="J295" s="20">
        <v>46159</v>
      </c>
      <c r="K295" s="3" t="s">
        <v>13</v>
      </c>
      <c r="L295" s="3" t="s">
        <v>8</v>
      </c>
      <c r="M295" s="3" t="s">
        <v>8</v>
      </c>
      <c r="N295" s="6">
        <v>0</v>
      </c>
      <c r="O295" s="6">
        <v>20000</v>
      </c>
      <c r="P295" s="6">
        <v>21500</v>
      </c>
      <c r="Q295" s="11">
        <f t="shared" si="12"/>
        <v>1500</v>
      </c>
      <c r="R295" s="5">
        <v>22000</v>
      </c>
      <c r="S295" s="11">
        <f t="shared" si="13"/>
        <v>2000</v>
      </c>
      <c r="T295" s="11">
        <v>0</v>
      </c>
      <c r="U295" s="3" t="s">
        <v>7</v>
      </c>
      <c r="V295" s="18">
        <v>46158</v>
      </c>
      <c r="W295" s="3" t="s">
        <v>6</v>
      </c>
      <c r="X295" s="3"/>
      <c r="Y295" s="3"/>
      <c r="Z295" s="3"/>
      <c r="AA295" s="3"/>
      <c r="AB295" s="3" t="str">
        <f t="shared" si="14"/>
        <v>Paid</v>
      </c>
      <c r="AC295" s="3"/>
    </row>
    <row r="296" spans="1:29" x14ac:dyDescent="0.2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3">
        <f>SUBTOTAL(9,N2:N295)</f>
        <v>126978</v>
      </c>
      <c r="O296" s="53">
        <f t="shared" ref="O296:T296" si="15">SUBTOTAL(9,O2:O295)</f>
        <v>2227777.35</v>
      </c>
      <c r="P296" s="61">
        <f t="shared" si="15"/>
        <v>2477885.98</v>
      </c>
      <c r="Q296" s="61">
        <f t="shared" si="15"/>
        <v>250108.63000000003</v>
      </c>
      <c r="R296" s="53">
        <f t="shared" si="15"/>
        <v>3180000</v>
      </c>
      <c r="S296" s="53">
        <f t="shared" si="15"/>
        <v>952222.64999999991</v>
      </c>
      <c r="T296" s="53">
        <f t="shared" si="15"/>
        <v>26522.48</v>
      </c>
      <c r="U296" s="52"/>
      <c r="V296" s="54"/>
      <c r="W296" s="52"/>
      <c r="X296" s="52"/>
      <c r="Y296" s="52"/>
      <c r="Z296" s="52"/>
      <c r="AA296" s="52"/>
      <c r="AB296" s="52"/>
      <c r="AC296" s="52"/>
    </row>
  </sheetData>
  <conditionalFormatting sqref="B1:C1048576">
    <cfRule type="duplicateValues" dxfId="266" priority="2001"/>
  </conditionalFormatting>
  <conditionalFormatting sqref="B2:C2 C3:C295">
    <cfRule type="duplicateValues" dxfId="265" priority="2002"/>
    <cfRule type="duplicateValues" dxfId="264" priority="2003"/>
    <cfRule type="duplicateValues" dxfId="263" priority="2004"/>
    <cfRule type="duplicateValues" dxfId="262" priority="2005"/>
    <cfRule type="duplicateValues" dxfId="261" priority="2006"/>
  </conditionalFormatting>
  <conditionalFormatting sqref="B6:C6">
    <cfRule type="duplicateValues" dxfId="260" priority="2007"/>
    <cfRule type="duplicateValues" dxfId="259" priority="2008"/>
  </conditionalFormatting>
  <conditionalFormatting sqref="B7:C7">
    <cfRule type="duplicateValues" dxfId="258" priority="2009"/>
  </conditionalFormatting>
  <conditionalFormatting sqref="B9:C9">
    <cfRule type="duplicateValues" dxfId="257" priority="2010"/>
  </conditionalFormatting>
  <conditionalFormatting sqref="B10:C10">
    <cfRule type="duplicateValues" dxfId="256" priority="2011"/>
  </conditionalFormatting>
  <conditionalFormatting sqref="B12:C12">
    <cfRule type="duplicateValues" dxfId="255" priority="2012"/>
    <cfRule type="duplicateValues" dxfId="254" priority="2013"/>
  </conditionalFormatting>
  <conditionalFormatting sqref="B13:C13">
    <cfRule type="duplicateValues" dxfId="253" priority="2014"/>
    <cfRule type="duplicateValues" dxfId="252" priority="2015"/>
  </conditionalFormatting>
  <conditionalFormatting sqref="B15:C15">
    <cfRule type="duplicateValues" dxfId="251" priority="2016"/>
    <cfRule type="duplicateValues" dxfId="250" priority="2017"/>
  </conditionalFormatting>
  <conditionalFormatting sqref="B17:C17">
    <cfRule type="duplicateValues" dxfId="249" priority="2018"/>
  </conditionalFormatting>
  <conditionalFormatting sqref="B19:C19">
    <cfRule type="duplicateValues" dxfId="248" priority="2019"/>
    <cfRule type="duplicateValues" dxfId="247" priority="2020"/>
    <cfRule type="duplicateValues" dxfId="246" priority="2021"/>
  </conditionalFormatting>
  <conditionalFormatting sqref="B25:C25">
    <cfRule type="duplicateValues" dxfId="245" priority="2022"/>
    <cfRule type="duplicateValues" dxfId="244" priority="2023"/>
    <cfRule type="duplicateValues" dxfId="243" priority="2024"/>
  </conditionalFormatting>
  <conditionalFormatting sqref="B29:C34">
    <cfRule type="duplicateValues" dxfId="242" priority="2025"/>
    <cfRule type="duplicateValues" dxfId="241" priority="2026"/>
  </conditionalFormatting>
  <conditionalFormatting sqref="B31:C32 B29:C29">
    <cfRule type="duplicateValues" dxfId="240" priority="2027"/>
  </conditionalFormatting>
  <conditionalFormatting sqref="B45:C45">
    <cfRule type="duplicateValues" dxfId="239" priority="2029"/>
    <cfRule type="duplicateValues" dxfId="238" priority="2030"/>
    <cfRule type="duplicateValues" dxfId="237" priority="2031"/>
  </conditionalFormatting>
  <conditionalFormatting sqref="B47:C47">
    <cfRule type="duplicateValues" dxfId="236" priority="2032"/>
  </conditionalFormatting>
  <conditionalFormatting sqref="B50:C50">
    <cfRule type="duplicateValues" dxfId="235" priority="2033"/>
  </conditionalFormatting>
  <conditionalFormatting sqref="B53:C53">
    <cfRule type="duplicateValues" dxfId="234" priority="2034"/>
    <cfRule type="duplicateValues" dxfId="233" priority="2035"/>
  </conditionalFormatting>
  <conditionalFormatting sqref="B54:C54">
    <cfRule type="duplicateValues" dxfId="232" priority="2036"/>
    <cfRule type="duplicateValues" dxfId="231" priority="2037"/>
    <cfRule type="duplicateValues" dxfId="230" priority="2038"/>
    <cfRule type="duplicateValues" dxfId="229" priority="2039"/>
  </conditionalFormatting>
  <conditionalFormatting sqref="B55:C55">
    <cfRule type="duplicateValues" dxfId="228" priority="2040"/>
  </conditionalFormatting>
  <conditionalFormatting sqref="B58:C59">
    <cfRule type="duplicateValues" dxfId="227" priority="2041"/>
    <cfRule type="duplicateValues" dxfId="226" priority="2042"/>
  </conditionalFormatting>
  <conditionalFormatting sqref="B67:C67">
    <cfRule type="duplicateValues" dxfId="225" priority="2043"/>
    <cfRule type="duplicateValues" dxfId="224" priority="2044"/>
  </conditionalFormatting>
  <conditionalFormatting sqref="B83:C83">
    <cfRule type="duplicateValues" dxfId="223" priority="2045"/>
  </conditionalFormatting>
  <conditionalFormatting sqref="B83:C85">
    <cfRule type="duplicateValues" dxfId="222" priority="2046"/>
    <cfRule type="duplicateValues" dxfId="221" priority="2047"/>
    <cfRule type="duplicateValues" dxfId="220" priority="2048"/>
    <cfRule type="duplicateValues" dxfId="219" priority="2049"/>
  </conditionalFormatting>
  <conditionalFormatting sqref="B96:C96">
    <cfRule type="duplicateValues" dxfId="218" priority="2050"/>
    <cfRule type="duplicateValues" dxfId="217" priority="2051"/>
    <cfRule type="duplicateValues" dxfId="216" priority="2052"/>
    <cfRule type="duplicateValues" dxfId="215" priority="2053"/>
    <cfRule type="duplicateValues" dxfId="214" priority="2054"/>
  </conditionalFormatting>
  <conditionalFormatting sqref="B97:C97">
    <cfRule type="duplicateValues" dxfId="213" priority="2055"/>
    <cfRule type="duplicateValues" dxfId="212" priority="2056"/>
  </conditionalFormatting>
  <conditionalFormatting sqref="B101:C101">
    <cfRule type="duplicateValues" dxfId="211" priority="2057"/>
  </conditionalFormatting>
  <conditionalFormatting sqref="B101:C103">
    <cfRule type="duplicateValues" dxfId="210" priority="2058"/>
    <cfRule type="duplicateValues" dxfId="209" priority="2059"/>
    <cfRule type="duplicateValues" dxfId="208" priority="2060"/>
  </conditionalFormatting>
  <conditionalFormatting sqref="B103:C103 B101:C101">
    <cfRule type="duplicateValues" dxfId="207" priority="2061"/>
  </conditionalFormatting>
  <conditionalFormatting sqref="B103:C103">
    <cfRule type="duplicateValues" dxfId="206" priority="2063"/>
  </conditionalFormatting>
  <conditionalFormatting sqref="B105:C105">
    <cfRule type="duplicateValues" dxfId="205" priority="2064"/>
    <cfRule type="duplicateValues" dxfId="204" priority="2065"/>
  </conditionalFormatting>
  <conditionalFormatting sqref="B106:C107">
    <cfRule type="duplicateValues" dxfId="203" priority="2066"/>
  </conditionalFormatting>
  <conditionalFormatting sqref="B106:C110">
    <cfRule type="duplicateValues" dxfId="202" priority="2067"/>
    <cfRule type="duplicateValues" dxfId="201" priority="2068"/>
    <cfRule type="duplicateValues" dxfId="200" priority="2069"/>
    <cfRule type="duplicateValues" dxfId="199" priority="2070"/>
  </conditionalFormatting>
  <conditionalFormatting sqref="B114:C116">
    <cfRule type="duplicateValues" dxfId="198" priority="2071"/>
    <cfRule type="duplicateValues" dxfId="197" priority="2072"/>
    <cfRule type="duplicateValues" dxfId="196" priority="2073"/>
    <cfRule type="duplicateValues" dxfId="195" priority="2074"/>
    <cfRule type="duplicateValues" dxfId="194" priority="2075"/>
  </conditionalFormatting>
  <conditionalFormatting sqref="B117:C117">
    <cfRule type="duplicateValues" dxfId="193" priority="2076"/>
    <cfRule type="duplicateValues" dxfId="192" priority="2077"/>
    <cfRule type="duplicateValues" dxfId="191" priority="2078"/>
    <cfRule type="duplicateValues" dxfId="190" priority="2079"/>
  </conditionalFormatting>
  <conditionalFormatting sqref="B121:C121">
    <cfRule type="duplicateValues" dxfId="189" priority="2080"/>
    <cfRule type="duplicateValues" dxfId="188" priority="2081"/>
    <cfRule type="duplicateValues" dxfId="187" priority="2082"/>
    <cfRule type="duplicateValues" dxfId="186" priority="2083"/>
  </conditionalFormatting>
  <conditionalFormatting sqref="B123:C123">
    <cfRule type="duplicateValues" dxfId="185" priority="2084"/>
    <cfRule type="duplicateValues" dxfId="184" priority="2085"/>
    <cfRule type="duplicateValues" dxfId="183" priority="2086"/>
  </conditionalFormatting>
  <conditionalFormatting sqref="B126:C126">
    <cfRule type="duplicateValues" dxfId="182" priority="2087"/>
    <cfRule type="duplicateValues" dxfId="181" priority="2088"/>
    <cfRule type="duplicateValues" dxfId="180" priority="2089"/>
  </conditionalFormatting>
  <conditionalFormatting sqref="B127:C127">
    <cfRule type="duplicateValues" dxfId="179" priority="2090"/>
    <cfRule type="duplicateValues" dxfId="178" priority="2091"/>
  </conditionalFormatting>
  <conditionalFormatting sqref="B128:C128">
    <cfRule type="duplicateValues" dxfId="177" priority="2092"/>
    <cfRule type="duplicateValues" dxfId="176" priority="2093"/>
    <cfRule type="duplicateValues" dxfId="175" priority="2094"/>
  </conditionalFormatting>
  <conditionalFormatting sqref="B135:C136">
    <cfRule type="duplicateValues" dxfId="174" priority="2095"/>
  </conditionalFormatting>
  <conditionalFormatting sqref="B135:C137">
    <cfRule type="duplicateValues" dxfId="173" priority="2096"/>
    <cfRule type="duplicateValues" dxfId="172" priority="2097"/>
    <cfRule type="duplicateValues" dxfId="171" priority="2098"/>
    <cfRule type="duplicateValues" dxfId="170" priority="2099"/>
  </conditionalFormatting>
  <conditionalFormatting sqref="B143:C143">
    <cfRule type="duplicateValues" dxfId="169" priority="2100"/>
    <cfRule type="duplicateValues" dxfId="168" priority="2101"/>
    <cfRule type="duplicateValues" dxfId="167" priority="2102"/>
  </conditionalFormatting>
  <conditionalFormatting sqref="B144:C144">
    <cfRule type="duplicateValues" dxfId="166" priority="2103"/>
    <cfRule type="duplicateValues" dxfId="165" priority="2104"/>
    <cfRule type="duplicateValues" dxfId="164" priority="2105"/>
    <cfRule type="duplicateValues" dxfId="163" priority="2106"/>
  </conditionalFormatting>
  <conditionalFormatting sqref="B146:C146">
    <cfRule type="duplicateValues" dxfId="162" priority="2107"/>
    <cfRule type="duplicateValues" dxfId="161" priority="2108"/>
    <cfRule type="duplicateValues" dxfId="160" priority="2109"/>
    <cfRule type="duplicateValues" dxfId="159" priority="2110"/>
  </conditionalFormatting>
  <conditionalFormatting sqref="B149:C150">
    <cfRule type="duplicateValues" dxfId="158" priority="2111"/>
    <cfRule type="duplicateValues" dxfId="157" priority="2112"/>
    <cfRule type="duplicateValues" dxfId="156" priority="2113"/>
    <cfRule type="duplicateValues" dxfId="155" priority="2114"/>
  </conditionalFormatting>
  <conditionalFormatting sqref="B158:C158">
    <cfRule type="duplicateValues" dxfId="154" priority="2115"/>
    <cfRule type="duplicateValues" dxfId="153" priority="2116"/>
    <cfRule type="duplicateValues" dxfId="152" priority="2117"/>
    <cfRule type="duplicateValues" dxfId="151" priority="2118"/>
  </conditionalFormatting>
  <conditionalFormatting sqref="B159:C159">
    <cfRule type="duplicateValues" dxfId="150" priority="2119"/>
    <cfRule type="duplicateValues" dxfId="149" priority="2120"/>
    <cfRule type="duplicateValues" dxfId="148" priority="2121"/>
    <cfRule type="duplicateValues" dxfId="147" priority="2122"/>
  </conditionalFormatting>
  <conditionalFormatting sqref="B166:C166">
    <cfRule type="duplicateValues" dxfId="146" priority="2123"/>
    <cfRule type="duplicateValues" dxfId="145" priority="2124"/>
    <cfRule type="duplicateValues" dxfId="144" priority="2125"/>
    <cfRule type="duplicateValues" dxfId="143" priority="2126"/>
  </conditionalFormatting>
  <conditionalFormatting sqref="B170:C171">
    <cfRule type="duplicateValues" dxfId="142" priority="2127"/>
    <cfRule type="duplicateValues" dxfId="141" priority="2128"/>
    <cfRule type="duplicateValues" dxfId="140" priority="2129"/>
    <cfRule type="duplicateValues" dxfId="139" priority="2130"/>
  </conditionalFormatting>
  <conditionalFormatting sqref="B174:C174">
    <cfRule type="duplicateValues" dxfId="138" priority="2131"/>
    <cfRule type="duplicateValues" dxfId="137" priority="2132"/>
    <cfRule type="duplicateValues" dxfId="136" priority="2133"/>
    <cfRule type="duplicateValues" dxfId="135" priority="2134"/>
  </conditionalFormatting>
  <conditionalFormatting sqref="B175:C175">
    <cfRule type="duplicateValues" dxfId="134" priority="2135"/>
    <cfRule type="duplicateValues" dxfId="133" priority="2136"/>
  </conditionalFormatting>
  <conditionalFormatting sqref="B177:C177">
    <cfRule type="duplicateValues" dxfId="132" priority="2137"/>
    <cfRule type="duplicateValues" dxfId="131" priority="2138"/>
    <cfRule type="duplicateValues" dxfId="130" priority="2139"/>
  </conditionalFormatting>
  <conditionalFormatting sqref="B179:C179">
    <cfRule type="duplicateValues" dxfId="129" priority="2140"/>
  </conditionalFormatting>
  <conditionalFormatting sqref="B195:C195">
    <cfRule type="duplicateValues" dxfId="128" priority="2141"/>
    <cfRule type="duplicateValues" dxfId="127" priority="2142"/>
    <cfRule type="duplicateValues" dxfId="126" priority="2143"/>
    <cfRule type="duplicateValues" dxfId="125" priority="2144"/>
  </conditionalFormatting>
  <conditionalFormatting sqref="B198:C199 B192:C194 B190:C190">
    <cfRule type="duplicateValues" dxfId="124" priority="2145"/>
    <cfRule type="duplicateValues" dxfId="123" priority="2146"/>
    <cfRule type="duplicateValues" dxfId="122" priority="2147"/>
    <cfRule type="duplicateValues" dxfId="121" priority="2148"/>
  </conditionalFormatting>
  <conditionalFormatting sqref="B202:C202">
    <cfRule type="duplicateValues" dxfId="120" priority="2157"/>
    <cfRule type="duplicateValues" dxfId="119" priority="2158"/>
    <cfRule type="duplicateValues" dxfId="118" priority="2159"/>
    <cfRule type="duplicateValues" dxfId="117" priority="2160"/>
  </conditionalFormatting>
  <conditionalFormatting sqref="B210:C210">
    <cfRule type="duplicateValues" dxfId="116" priority="2161"/>
    <cfRule type="duplicateValues" dxfId="115" priority="2162"/>
    <cfRule type="duplicateValues" dxfId="114" priority="2163"/>
    <cfRule type="duplicateValues" dxfId="113" priority="2164"/>
  </conditionalFormatting>
  <conditionalFormatting sqref="B213:C213">
    <cfRule type="duplicateValues" dxfId="112" priority="2165"/>
    <cfRule type="duplicateValues" dxfId="111" priority="2166"/>
    <cfRule type="duplicateValues" dxfId="110" priority="2167"/>
    <cfRule type="duplicateValues" dxfId="109" priority="2168"/>
  </conditionalFormatting>
  <conditionalFormatting sqref="B216:C216">
    <cfRule type="duplicateValues" dxfId="108" priority="2169"/>
    <cfRule type="duplicateValues" dxfId="107" priority="2170"/>
    <cfRule type="duplicateValues" dxfId="106" priority="2171"/>
    <cfRule type="duplicateValues" dxfId="105" priority="2172"/>
    <cfRule type="duplicateValues" dxfId="104" priority="2173"/>
  </conditionalFormatting>
  <conditionalFormatting sqref="B219:C219">
    <cfRule type="duplicateValues" dxfId="103" priority="2174"/>
  </conditionalFormatting>
  <conditionalFormatting sqref="B228:C228">
    <cfRule type="duplicateValues" dxfId="102" priority="2175"/>
    <cfRule type="duplicateValues" dxfId="101" priority="2176"/>
    <cfRule type="duplicateValues" dxfId="100" priority="2177"/>
    <cfRule type="duplicateValues" dxfId="99" priority="2178"/>
  </conditionalFormatting>
  <conditionalFormatting sqref="B230:C230">
    <cfRule type="duplicateValues" dxfId="98" priority="2179"/>
    <cfRule type="duplicateValues" dxfId="97" priority="2180"/>
    <cfRule type="duplicateValues" dxfId="96" priority="2181"/>
    <cfRule type="duplicateValues" dxfId="95" priority="2182"/>
    <cfRule type="duplicateValues" dxfId="94" priority="2183"/>
  </conditionalFormatting>
  <conditionalFormatting sqref="B236:C236">
    <cfRule type="duplicateValues" dxfId="93" priority="2184"/>
    <cfRule type="duplicateValues" dxfId="92" priority="2185"/>
    <cfRule type="duplicateValues" dxfId="91" priority="2186"/>
    <cfRule type="duplicateValues" dxfId="90" priority="2187"/>
  </conditionalFormatting>
  <conditionalFormatting sqref="B242:C242">
    <cfRule type="duplicateValues" dxfId="89" priority="2188"/>
  </conditionalFormatting>
  <conditionalFormatting sqref="B245:C245">
    <cfRule type="duplicateValues" dxfId="88" priority="2189"/>
  </conditionalFormatting>
  <conditionalFormatting sqref="B251:C251">
    <cfRule type="duplicateValues" dxfId="87" priority="2190"/>
    <cfRule type="duplicateValues" dxfId="86" priority="2191"/>
    <cfRule type="duplicateValues" dxfId="85" priority="2192"/>
    <cfRule type="duplicateValues" dxfId="84" priority="2193"/>
    <cfRule type="duplicateValues" dxfId="83" priority="2194"/>
    <cfRule type="duplicateValues" dxfId="82" priority="2195"/>
  </conditionalFormatting>
  <conditionalFormatting sqref="B252:C252">
    <cfRule type="duplicateValues" dxfId="81" priority="2196"/>
    <cfRule type="duplicateValues" dxfId="80" priority="2197"/>
    <cfRule type="duplicateValues" dxfId="79" priority="2198"/>
    <cfRule type="duplicateValues" dxfId="78" priority="2199"/>
    <cfRule type="duplicateValues" dxfId="77" priority="2200"/>
  </conditionalFormatting>
  <conditionalFormatting sqref="B256:C256">
    <cfRule type="duplicateValues" dxfId="76" priority="2201"/>
  </conditionalFormatting>
  <conditionalFormatting sqref="B257:C260">
    <cfRule type="duplicateValues" dxfId="75" priority="2202"/>
  </conditionalFormatting>
  <conditionalFormatting sqref="B259:C260 B257:C257">
    <cfRule type="duplicateValues" dxfId="74" priority="2203"/>
    <cfRule type="duplicateValues" dxfId="73" priority="2204"/>
    <cfRule type="duplicateValues" dxfId="72" priority="2205"/>
    <cfRule type="duplicateValues" dxfId="71" priority="2206"/>
  </conditionalFormatting>
  <conditionalFormatting sqref="B265:C265">
    <cfRule type="duplicateValues" dxfId="70" priority="2211"/>
    <cfRule type="duplicateValues" dxfId="69" priority="2212"/>
    <cfRule type="duplicateValues" dxfId="68" priority="2213"/>
    <cfRule type="duplicateValues" dxfId="67" priority="2214"/>
    <cfRule type="duplicateValues" dxfId="66" priority="2215"/>
  </conditionalFormatting>
  <conditionalFormatting sqref="B269:C269">
    <cfRule type="duplicateValues" dxfId="65" priority="2216"/>
  </conditionalFormatting>
  <conditionalFormatting sqref="B273:C273">
    <cfRule type="duplicateValues" dxfId="64" priority="2217"/>
  </conditionalFormatting>
  <conditionalFormatting sqref="B274:C274">
    <cfRule type="duplicateValues" dxfId="63" priority="2218"/>
    <cfRule type="duplicateValues" dxfId="62" priority="2219"/>
    <cfRule type="duplicateValues" dxfId="61" priority="2220"/>
    <cfRule type="duplicateValues" dxfId="60" priority="2221"/>
    <cfRule type="duplicateValues" dxfId="59" priority="2222"/>
  </conditionalFormatting>
  <conditionalFormatting sqref="B275:C275">
    <cfRule type="duplicateValues" dxfId="58" priority="2223"/>
  </conditionalFormatting>
  <conditionalFormatting sqref="B276:C276">
    <cfRule type="duplicateValues" dxfId="57" priority="2224"/>
  </conditionalFormatting>
  <conditionalFormatting sqref="B277:C277">
    <cfRule type="duplicateValues" dxfId="56" priority="2225"/>
  </conditionalFormatting>
  <conditionalFormatting sqref="B278:C278">
    <cfRule type="duplicateValues" dxfId="55" priority="2226"/>
    <cfRule type="duplicateValues" dxfId="54" priority="2227"/>
    <cfRule type="duplicateValues" dxfId="53" priority="2228"/>
    <cfRule type="duplicateValues" dxfId="52" priority="2229"/>
    <cfRule type="duplicateValues" dxfId="51" priority="2230"/>
  </conditionalFormatting>
  <conditionalFormatting sqref="B280:C280">
    <cfRule type="duplicateValues" dxfId="50" priority="2231"/>
  </conditionalFormatting>
  <conditionalFormatting sqref="B283:C283">
    <cfRule type="duplicateValues" dxfId="49" priority="2232"/>
    <cfRule type="duplicateValues" dxfId="48" priority="2233"/>
    <cfRule type="duplicateValues" dxfId="47" priority="2234"/>
    <cfRule type="duplicateValues" dxfId="46" priority="2235"/>
    <cfRule type="duplicateValues" dxfId="45" priority="2236" stopIfTrue="1"/>
    <cfRule type="duplicateValues" dxfId="44" priority="2237"/>
    <cfRule type="duplicateValues" dxfId="43" priority="2238"/>
    <cfRule type="duplicateValues" dxfId="42" priority="2239"/>
    <cfRule type="duplicateValues" dxfId="41" priority="2240"/>
    <cfRule type="duplicateValues" dxfId="40" priority="2241"/>
    <cfRule type="duplicateValues" dxfId="39" priority="2242"/>
    <cfRule type="duplicateValues" dxfId="38" priority="2243"/>
    <cfRule type="duplicateValues" dxfId="37" priority="2244"/>
    <cfRule type="duplicateValues" dxfId="36" priority="2245"/>
    <cfRule type="duplicateValues" dxfId="35" priority="2246"/>
    <cfRule type="duplicateValues" dxfId="34" priority="2247"/>
  </conditionalFormatting>
  <conditionalFormatting sqref="B285:C285">
    <cfRule type="duplicateValues" dxfId="33" priority="2248"/>
    <cfRule type="duplicateValues" dxfId="32" priority="2249"/>
    <cfRule type="duplicateValues" dxfId="31" priority="2250"/>
    <cfRule type="duplicateValues" dxfId="30" priority="2251"/>
    <cfRule type="duplicateValues" dxfId="29" priority="2252"/>
  </conditionalFormatting>
  <conditionalFormatting sqref="B286:C286">
    <cfRule type="duplicateValues" dxfId="28" priority="2253"/>
  </conditionalFormatting>
  <conditionalFormatting sqref="B289:C289">
    <cfRule type="duplicateValues" dxfId="27" priority="2254"/>
    <cfRule type="duplicateValues" dxfId="26" priority="2255"/>
    <cfRule type="duplicateValues" dxfId="25" priority="2256"/>
    <cfRule type="duplicateValues" dxfId="24" priority="2257"/>
    <cfRule type="duplicateValues" dxfId="23" priority="2258"/>
  </conditionalFormatting>
  <conditionalFormatting sqref="B290:C290">
    <cfRule type="duplicateValues" dxfId="22" priority="2259"/>
  </conditionalFormatting>
  <conditionalFormatting sqref="B297:C1048576 B1:C295">
    <cfRule type="duplicateValues" dxfId="21" priority="2260"/>
  </conditionalFormatting>
  <conditionalFormatting sqref="B297:C1048576 B241:C241 B229:C229 B221:C221 B223:C224 B217:C218 B214:C214 B211:C211 B208:C208 B187:C187 B172:C172 B161:C165 B154:C154 B157:C157 B142:C142 B130:C130 B118:C119 B82:C82 B69:C69 B1:C17 B55:C57 B61:C61 B64:C65 B71:C71 B122:C122 B124:C124 B151:C151 B167:C168 B176:C176 B180:C181 B203:C205 B189:C189 B196:C197 B237:C239 B253:C253 B271:C272 B281:C282 B284:C284 B248:C250 B291:C292 B294:C294 B287:C288 B19:C53 B261:C264 C3:C295">
    <cfRule type="duplicateValues" dxfId="20" priority="2262"/>
  </conditionalFormatting>
  <conditionalFormatting sqref="B297:C1048576 B241:C241 B229:C229 B221:C221 B223:C224 B217:C218 B214:C214 B211:C211 B208:C208 B187:C187 B172:C172 B161:C165 B154:C154 B157:C157 B142:C142 B130:C130 B118:C119 B82:C82 B69:C69 B61:C61 B1:C15 B21:C21 B26:C28 B48:C48 B64:C65 B71:C71 B122:C122 B124:C124 B151:C151 B167:C168 B176:C176 B180:C181 B203:C205 B189:C189 B196:C197 B237:C239 B253:C253 B271:C272 B281:C282 B284:C284 B248:C250 B291:C292 B294:C294 B287:C288 B261:C264 C3:C295">
    <cfRule type="duplicateValues" dxfId="19" priority="2306"/>
  </conditionalFormatting>
  <conditionalFormatting sqref="B297:C1048576 B284:C284 B1:C17 B253:C253 B271:C272 B281:C282 B279:C279 B248:C250 B287:C288 B291:C292 B294:C294 B19:C59 B114:C214 B216:C241 B61:C112 B261:C264 C3:C295">
    <cfRule type="duplicateValues" dxfId="18" priority="2365"/>
  </conditionalFormatting>
  <conditionalFormatting sqref="B297:C1048576 B284:C284 B241:C241 B229:C229 B211:C211 B214:C214 B217:C218 B221:C224 B207:C208 B187:C187 B180:C181 B203:C205 B172:C172 B1:C17 B55:C59 B161:C165 B167:C168 B176:C176 B189:C189 B196:C197 B114:C158 B237:C239 B253:C253 B271:C272 B281:C282 B248:C250 B287:C288 B291:C292 B294:C294 B19:C53 B61:C112 B261:C264 C3:C295">
    <cfRule type="duplicateValues" dxfId="17" priority="2381"/>
  </conditionalFormatting>
  <conditionalFormatting sqref="B297:C1048576 B284:C284 B241:C241 B229:C229 B211:C211 B214:C214 B217:C218 B221:C224 B207:C208 B187:C187 B180:C181 B203:C205 B172:C172 B1:C17 B55:C59 B176:C176 B189:C189 B196:C197 B114:C168 B237:C239 B253:C253 B271:C272 B281:C282 B248:C250 B287:C288 B291:C292 B294:C294 B19:C53 B61:C112 B261:C264 C3:C295">
    <cfRule type="duplicateValues" dxfId="16" priority="2413" stopIfTrue="1"/>
  </conditionalFormatting>
  <conditionalFormatting sqref="B297:C1048576 B284:C284 B241:C241 B229:C229 B211:C211 B214:C214 B217:C218 B221:C224 B207:C208 B187:C187 B180:C181 B203:C205 B172:C172 B157:C158 B154:C154 B1:C17 B55:C59 B161:C165 B167:C168 B176:C176 B189:C189 B196:C197 B114:C151 B237:C239 B253:C253 B271:C272 B281:C282 B248:C250 B287:C288 B291:C292 B294:C294 B19:C53 B61:C112 B261:C264 C3:C295">
    <cfRule type="duplicateValues" dxfId="15" priority="2443"/>
  </conditionalFormatting>
  <conditionalFormatting sqref="B297:C1048576 B284:C284 B241:C241 B229:C229 B211:C211 B214:C214 B217:C218 B221:C224 B207:C208 B187:C187 B180:C181 B203:C205 B172:C172 B157:C158 B154:C154 B151:C151 B1:C17 B55:C59 B146:C148 B161:C165 B167:C168 B176:C176 B189:C189 B196:C197 B114:C144 B237:C239 B253:C253 B271:C272 B281:C282 B248:C250 B287:C288 B291:C292 B294:C294 B19:C53 B61:C112 B261:C264 C3:C295">
    <cfRule type="duplicateValues" dxfId="14" priority="2477"/>
  </conditionalFormatting>
  <conditionalFormatting sqref="B297:C1048576 B284:C284 B241:C241 B229:C229 B211:C211 B214:C214 B217:C218 B221:C224 B207:C208 B187:C187 B180:C181 B203:C205 B172:C172 B157:C158 B154:C154 B151:C151 B144:C144 B1:C17 B55:C59 B148:C148 B161:C165 B167:C168 B176:C176 B189:C189 B196:C197 B114:C142 B237:C239 B253:C253 B271:C272 B281:C282 B248:C250 B287:C288 B291:C292 B294:C294 B19:C53 B61:C112 B261:C264 C3:C295">
    <cfRule type="duplicateValues" dxfId="13" priority="2513"/>
  </conditionalFormatting>
  <conditionalFormatting sqref="B297:C1048576 B284:C284 B241:C241 B229:C229 B217:C218 B221:C224 B214:C214 B211:C211 B207:C209 B1:C17 B55:C59 B114:C205 B237:C239 B253:C253 B271:C272 B281:C282 B248:C250 B287:C288 B291:C292 B294:C294 B19:C53 B61:C112 B261:C264 C3:C295">
    <cfRule type="duplicateValues" dxfId="12" priority="2550"/>
    <cfRule type="duplicateValues" dxfId="11" priority="2551"/>
  </conditionalFormatting>
  <conditionalFormatting sqref="B297:C1048576 B284:C284 B241:C241 B229:C229 B217:C218 B221:C224 B214:C214 B211:C211 B207:C209 B200:C201 B196:C197 B1:C17 B55:C59 B187:C187 B189:C189 B203:C205 B114:C185 B237:C239 B253:C253 B271:C272 B281:C282 B248:C250 B287:C288 B291:C292 B294:C294 B19:C53 B61:C112 B261:C264 C3:C295">
    <cfRule type="duplicateValues" dxfId="10" priority="2596"/>
  </conditionalFormatting>
  <conditionalFormatting sqref="B297:C1048576 B284:C284 B241:C241 B229:C229 B223:C224 B211:C211 B207:C208 B214:C214 B217:C218 B221:C221 B187:C187 B172:C172 B154:C154 B142:C142 B144:C144 B157:C157 B151:C151 B1:C17 B55:C59 B161:C165 B167:C168 B176:C176 B180:C181 B203:C205 B189:C189 B196:C197 B114:C138 B237:C239 B253:C253 B271:C272 B281:C282 B248:C250 B287:C288 B291:C292 B294:C294 B19:C53 B61:C112 B261:C264 C3:C295">
    <cfRule type="duplicateValues" dxfId="9" priority="2624"/>
  </conditionalFormatting>
  <conditionalFormatting sqref="B297:C1048576 B284:C284 B241:C241 B229:C229 B223:C224 B211:C211 B208:C208 B214:C214 B217:C218 B221:C221 B187:C187 B172:C172 B161:C165 B154:C154 B157:C157 B142:C142 B129:C130 B138:C138 B118:C119 B122:C122 B124:C125 B151:C151 B1:C17 B55:C59 B167:C168 B176:C176 B180:C181 B203:C205 B189:C189 B196:C197 B114:C116 B237:C239 B253:C253 B271:C272 B281:C282 B248:C250 B287:C288 B291:C292 B294:C294 B19:C53 B61:C112 B261:C264 C3:C295">
    <cfRule type="duplicateValues" dxfId="8" priority="2662"/>
  </conditionalFormatting>
  <conditionalFormatting sqref="B297:C1048576 B284:C284 B241:C241 B229:C229 B223:C224 B211:C211 B208:C208 B214:C214 B217:C218 B221:C221 B187:C187 B172:C172 B161:C165 B154:C154 B157:C157 B142:C142 B129:C130 B138:C138 B118:C119 B122:C122 B124:C125 B151:C151 B1:C17 B55:C59 B167:C168 B176:C176 B180:C181 B203:C205 B189:C189 B196:C197 B237:C239 B253:C253 B271:C272 B281:C282 B248:C250 B287:C288 B291:C292 B294:C294 B19:C53 B61:C112 B261:C264 C3:C295">
    <cfRule type="duplicateValues" dxfId="7" priority="2704"/>
  </conditionalFormatting>
  <conditionalFormatting sqref="B297:C1048576 B284:C284 B241:C241 B229:C229 B223:C224 B211:C211 B208:C208 B214:C214 B217:C218 B221:C221 B187:C187 B172:C172 B161:C165 B154:C154 B157:C157 B142:C142 B129:C130 B138:C138 B151:C151 B1:C17 B55:C59 B167:C168 B176:C176 B180:C181 B203:C205 B189:C189 B196:C197 B114:C125 B237:C239 B253:C253 B271:C272 B281:C282 B248:C250 B287:C288 B291:C292 B294:C294 B19:C53 B61:C112 B261:C264 C3:C295">
    <cfRule type="duplicateValues" dxfId="6" priority="2745"/>
    <cfRule type="duplicateValues" dxfId="5" priority="2746"/>
  </conditionalFormatting>
  <conditionalFormatting sqref="B297:C1048576 B284:C284 B271:C272 B281:C282 B279:C279 B1:C17 B287:C288 B291:C292 B294:C294 B19:C59 B114:C214 B216:C253 B61:C112 B256:C264 C3:C295">
    <cfRule type="duplicateValues" dxfId="4" priority="2351"/>
  </conditionalFormatting>
  <conditionalFormatting sqref="B297:C1048576 B284:C284 B281:C282 B279:C279 B1:C17 B287:C288 B291:C292 B294:C294 B19:C59 B114:C214 B61:C112 B216:C274 C3:C295">
    <cfRule type="duplicateValues" dxfId="3" priority="2823"/>
  </conditionalFormatting>
  <conditionalFormatting sqref="B297:C1048576 B287:C288 B1:C17 B291:C292 B294:C294 B19:C59 B114:C214 B61:C112 B216:C284 C3:C295">
    <cfRule type="duplicateValues" dxfId="2" priority="2835"/>
  </conditionalFormatting>
  <conditionalFormatting sqref="B297:C1048576 B287:C288 B2:C17 B291:C292 B294:C294 B19:C59 B114:C214 B61:C112 B216:C284 C3:C295">
    <cfRule type="duplicateValues" dxfId="1" priority="2844"/>
  </conditionalFormatting>
  <conditionalFormatting sqref="B297:C1048576 B287:C288 B3:C17 B291:C292 B294:C294 B19:C59 B114:C214 B61:C112 B216:C284">
    <cfRule type="duplicateValues" dxfId="0" priority="2853"/>
  </conditionalFormatting>
  <hyperlinks>
    <hyperlink ref="H189" r:id="rId1" xr:uid="{0A2B9D69-DEC3-4824-BEC8-737874CA8E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Parmeet STORYEXP</dc:creator>
  <cp:lastModifiedBy>Rishabh.S STORYEXP (MIS)</cp:lastModifiedBy>
  <dcterms:created xsi:type="dcterms:W3CDTF">2026-06-01T07:23:22Z</dcterms:created>
  <dcterms:modified xsi:type="dcterms:W3CDTF">2026-10-26T11:56:03Z</dcterms:modified>
</cp:coreProperties>
</file>