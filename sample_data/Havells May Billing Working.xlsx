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oryexperiencespvtltd-my.sharepoint.com/personal/parmeet_storyexp_com/Documents/Desktop/Parmeet - Story/HAVELLS Program/Billing &amp; Payments/6th Billing - May'26/"/>
    </mc:Choice>
  </mc:AlternateContent>
  <xr:revisionPtr revIDLastSave="463" documentId="8_{60027138-4692-4522-9B6C-6DF0909BD8F5}" xr6:coauthVersionLast="47" xr6:coauthVersionMax="47" xr10:uidLastSave="{987FBD6F-E895-457A-9CCC-C2B90549FF38}"/>
  <bookViews>
    <workbookView xWindow="-108" yWindow="-108" windowWidth="23256" windowHeight="12456" xr2:uid="{B47658CC-658E-47BA-B132-99370F0E75E3}"/>
  </bookViews>
  <sheets>
    <sheet name="MAY MONTH" sheetId="2" r:id="rId1"/>
  </sheets>
  <externalReferences>
    <externalReference r:id="rId2"/>
  </externalReferences>
  <definedNames>
    <definedName name="_xlnm._FilterDatabase" localSheetId="0" hidden="1">'MAY MONTH'!$A$1:$AB$145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6" i="2" l="1"/>
  <c r="O146" i="2"/>
  <c r="N146" i="2"/>
  <c r="P2" i="2"/>
  <c r="N114" i="2"/>
  <c r="P114" i="2" s="1"/>
  <c r="N101" i="2"/>
  <c r="N84" i="2"/>
  <c r="P84" i="2" s="1"/>
  <c r="N62" i="2"/>
  <c r="P62" i="2" s="1"/>
  <c r="N47" i="2"/>
  <c r="P47" i="2" s="1"/>
  <c r="N27" i="2"/>
  <c r="P27" i="2" s="1"/>
  <c r="N20" i="2"/>
  <c r="P20" i="2" s="1"/>
  <c r="N16" i="2"/>
  <c r="P16" i="2" s="1"/>
  <c r="P3" i="2"/>
  <c r="P4" i="2"/>
  <c r="P5" i="2"/>
  <c r="P6" i="2"/>
  <c r="P7" i="2"/>
  <c r="P8" i="2"/>
  <c r="P9" i="2"/>
  <c r="P10" i="2"/>
  <c r="P11" i="2"/>
  <c r="P12" i="2"/>
  <c r="P14" i="2"/>
  <c r="P15" i="2"/>
  <c r="P17" i="2"/>
  <c r="P18" i="2"/>
  <c r="P19" i="2"/>
  <c r="P21" i="2"/>
  <c r="P23" i="2"/>
  <c r="P24" i="2"/>
  <c r="P26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4" i="2"/>
  <c r="P45" i="2"/>
  <c r="P46" i="2"/>
  <c r="P48" i="2"/>
  <c r="P49" i="2"/>
  <c r="P50" i="2"/>
  <c r="P52" i="2"/>
  <c r="P53" i="2"/>
  <c r="P54" i="2"/>
  <c r="P55" i="2"/>
  <c r="P56" i="2"/>
  <c r="P57" i="2"/>
  <c r="P58" i="2"/>
  <c r="P59" i="2"/>
  <c r="P60" i="2"/>
  <c r="P61" i="2"/>
  <c r="P63" i="2"/>
  <c r="P64" i="2"/>
  <c r="P65" i="2"/>
  <c r="P66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6" i="2"/>
  <c r="P137" i="2"/>
  <c r="P138" i="2"/>
  <c r="P139" i="2"/>
  <c r="P140" i="2"/>
  <c r="P141" i="2"/>
  <c r="P142" i="2"/>
  <c r="P143" i="2"/>
  <c r="P144" i="2"/>
  <c r="P145" i="2"/>
  <c r="S25" i="2" l="1"/>
  <c r="S66" i="2"/>
  <c r="S73" i="2"/>
  <c r="S87" i="2"/>
  <c r="S134" i="2"/>
  <c r="R3" i="2"/>
  <c r="R4" i="2"/>
  <c r="R5" i="2"/>
  <c r="R6" i="2"/>
  <c r="R7" i="2"/>
  <c r="R8" i="2"/>
  <c r="R9" i="2"/>
  <c r="R10" i="2"/>
  <c r="R11" i="2"/>
  <c r="R12" i="2"/>
  <c r="R14" i="2"/>
  <c r="R15" i="2"/>
  <c r="R16" i="2"/>
  <c r="R17" i="2"/>
  <c r="R18" i="2"/>
  <c r="R19" i="2"/>
  <c r="R20" i="2"/>
  <c r="R21" i="2"/>
  <c r="R23" i="2"/>
  <c r="R24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4" i="2"/>
  <c r="R45" i="2"/>
  <c r="R46" i="2"/>
  <c r="R47" i="2"/>
  <c r="R48" i="2"/>
  <c r="R49" i="2"/>
  <c r="R50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6" i="2"/>
  <c r="R137" i="2"/>
  <c r="R138" i="2"/>
  <c r="R139" i="2"/>
  <c r="R140" i="2"/>
  <c r="R141" i="2"/>
  <c r="R142" i="2"/>
  <c r="R143" i="2"/>
  <c r="R144" i="2"/>
  <c r="R145" i="2"/>
  <c r="R2" i="2"/>
  <c r="AA2" i="2"/>
  <c r="AA3" i="2"/>
  <c r="AA4" i="2"/>
  <c r="AA5" i="2"/>
  <c r="AA6" i="2"/>
  <c r="AA7" i="2"/>
  <c r="AA8" i="2"/>
  <c r="AA9" i="2"/>
  <c r="AA10" i="2"/>
  <c r="AA11" i="2"/>
  <c r="AA12" i="2"/>
  <c r="N13" i="2"/>
  <c r="AA14" i="2"/>
  <c r="AA15" i="2"/>
  <c r="AA16" i="2"/>
  <c r="AA17" i="2"/>
  <c r="AA18" i="2"/>
  <c r="AA19" i="2"/>
  <c r="AA20" i="2"/>
  <c r="AA21" i="2"/>
  <c r="N22" i="2"/>
  <c r="P22" i="2" s="1"/>
  <c r="AA23" i="2"/>
  <c r="AA24" i="2"/>
  <c r="N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N43" i="2"/>
  <c r="AA44" i="2"/>
  <c r="AA45" i="2"/>
  <c r="AA46" i="2"/>
  <c r="AA47" i="2"/>
  <c r="AA48" i="2"/>
  <c r="AA49" i="2"/>
  <c r="AA50" i="2"/>
  <c r="N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N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N135" i="2"/>
  <c r="AA136" i="2"/>
  <c r="AA137" i="2"/>
  <c r="AA138" i="2"/>
  <c r="AA139" i="2"/>
  <c r="AA140" i="2"/>
  <c r="AA141" i="2"/>
  <c r="AA142" i="2"/>
  <c r="AA143" i="2"/>
  <c r="AA144" i="2"/>
  <c r="AA145" i="2"/>
  <c r="S146" i="2" l="1"/>
  <c r="AA135" i="2"/>
  <c r="P135" i="2"/>
  <c r="R135" i="2"/>
  <c r="AA13" i="2"/>
  <c r="P13" i="2"/>
  <c r="R22" i="2"/>
  <c r="R13" i="2"/>
  <c r="AA67" i="2"/>
  <c r="P67" i="2"/>
  <c r="AA51" i="2"/>
  <c r="P51" i="2"/>
  <c r="AA43" i="2"/>
  <c r="P43" i="2"/>
  <c r="R67" i="2"/>
  <c r="R51" i="2"/>
  <c r="R43" i="2"/>
  <c r="AA25" i="2"/>
  <c r="P25" i="2"/>
  <c r="R25" i="2"/>
  <c r="AA22" i="2"/>
  <c r="P146" i="2" l="1"/>
  <c r="R146" i="2"/>
</calcChain>
</file>

<file path=xl/sharedStrings.xml><?xml version="1.0" encoding="utf-8"?>
<sst xmlns="http://schemas.openxmlformats.org/spreadsheetml/2006/main" count="1900" uniqueCount="810">
  <si>
    <t>UPI</t>
  </si>
  <si>
    <t>SEPL</t>
  </si>
  <si>
    <t>Ravinder</t>
  </si>
  <si>
    <t>Ala-carte</t>
  </si>
  <si>
    <t>5 adults</t>
  </si>
  <si>
    <t>Hotel Turmeric</t>
  </si>
  <si>
    <t>Erode</t>
  </si>
  <si>
    <t>Dine-Out</t>
  </si>
  <si>
    <t>Suresh Kumar</t>
  </si>
  <si>
    <t>Best Marketing</t>
  </si>
  <si>
    <t xml:space="preserve">CBE0056 </t>
  </si>
  <si>
    <t>Sambandh - 10k</t>
  </si>
  <si>
    <t>Himanshu</t>
  </si>
  <si>
    <t>Simran</t>
  </si>
  <si>
    <t>Buffet</t>
  </si>
  <si>
    <t>4 Adults + 2 Kids (&lt; 10 yrs)</t>
  </si>
  <si>
    <t>Sayaji Vadodara</t>
  </si>
  <si>
    <t>VADODARA</t>
  </si>
  <si>
    <t>GORDHAN SINGH</t>
  </si>
  <si>
    <t>RAJPUROHIT ELECTRICALS</t>
  </si>
  <si>
    <t>CRA2177</t>
  </si>
  <si>
    <t>Parsun</t>
  </si>
  <si>
    <t>Spa</t>
  </si>
  <si>
    <t>2 Pax</t>
  </si>
  <si>
    <t>Ocean Palms Spa</t>
  </si>
  <si>
    <t>Bellary</t>
  </si>
  <si>
    <t>Subash/ Rounak Jain</t>
  </si>
  <si>
    <t>Mahaveer Electricals</t>
  </si>
  <si>
    <t>Cma0013</t>
  </si>
  <si>
    <t>Bharti</t>
  </si>
  <si>
    <t>2 pax</t>
  </si>
  <si>
    <t>Hotel Grand Riviera</t>
  </si>
  <si>
    <t>HIMACHAL PRADESH</t>
  </si>
  <si>
    <t>Brijesh Goel</t>
  </si>
  <si>
    <t>INDUSTRIAL SUPPLIERS ENGINEERS</t>
  </si>
  <si>
    <t>CIN0161</t>
  </si>
  <si>
    <t>2 Adults + 2 Kids (&lt;10 yrs)</t>
  </si>
  <si>
    <t>Triguna Clarks Inn</t>
  </si>
  <si>
    <t>AP</t>
  </si>
  <si>
    <t>Arjun S</t>
  </si>
  <si>
    <t xml:space="preserve">Durga Agencis </t>
  </si>
  <si>
    <t>CDU0079</t>
  </si>
  <si>
    <t xml:space="preserve">3 Adults </t>
  </si>
  <si>
    <t>Taj City Centre, Patna</t>
  </si>
  <si>
    <t>PATNA</t>
  </si>
  <si>
    <t>Jay Hind Electricals</t>
  </si>
  <si>
    <t>CJA1010</t>
  </si>
  <si>
    <t xml:space="preserve">2 Adults </t>
  </si>
  <si>
    <t xml:space="preserve">Copper chimney, Worli </t>
  </si>
  <si>
    <t>Mumbai</t>
  </si>
  <si>
    <t>Jafar Mapara</t>
  </si>
  <si>
    <t>Unity Engineers</t>
  </si>
  <si>
    <t>CUN0498</t>
  </si>
  <si>
    <t>4 adults</t>
  </si>
  <si>
    <t>Gateway Madurai</t>
  </si>
  <si>
    <t>Madurai</t>
  </si>
  <si>
    <t>Revanthsarathy P</t>
  </si>
  <si>
    <t>ANNAI MARKETING</t>
  </si>
  <si>
    <t>CAN1196</t>
  </si>
  <si>
    <t>2 adults</t>
  </si>
  <si>
    <t>Senthil Subramanian</t>
  </si>
  <si>
    <t>Pandian Plastic Traders</t>
  </si>
  <si>
    <t>CPA0919</t>
  </si>
  <si>
    <t>Taj Coromandel , Chennai</t>
  </si>
  <si>
    <t>CHENNAI</t>
  </si>
  <si>
    <t>Kumaran Home Decors</t>
  </si>
  <si>
    <t>CKU0341</t>
  </si>
  <si>
    <t>3 Adults +1 kid (7yr)</t>
  </si>
  <si>
    <t>Naivedyam Hubli</t>
  </si>
  <si>
    <t>Hubli</t>
  </si>
  <si>
    <t>Bharat_Patwari</t>
  </si>
  <si>
    <t>Pooja Electricals</t>
  </si>
  <si>
    <t>CPO0525/CPO0151</t>
  </si>
  <si>
    <t>3 adults</t>
  </si>
  <si>
    <t>JW Marriott</t>
  </si>
  <si>
    <t>Bangalore</t>
  </si>
  <si>
    <t>Harish. K. N</t>
  </si>
  <si>
    <t>Laxmi Ganesh Distributors</t>
  </si>
  <si>
    <t>CSR0846</t>
  </si>
  <si>
    <t>Deena K R</t>
  </si>
  <si>
    <t>Sree Ganesh Enterprises</t>
  </si>
  <si>
    <t>CSR0213</t>
  </si>
  <si>
    <t>Brick and basil</t>
  </si>
  <si>
    <t>KARNATAKA Davangere</t>
  </si>
  <si>
    <t xml:space="preserve">Lalith Subash </t>
  </si>
  <si>
    <t>Swastik Enterprises</t>
  </si>
  <si>
    <t>CSW0109</t>
  </si>
  <si>
    <t>Aayushi</t>
  </si>
  <si>
    <t>4 PAX</t>
  </si>
  <si>
    <t>The Ark Restaurant &amp; Resort</t>
  </si>
  <si>
    <t>MP</t>
  </si>
  <si>
    <t xml:space="preserve">Murtuza </t>
  </si>
  <si>
    <t>Mansoor Iron Works</t>
  </si>
  <si>
    <t>CMA2410</t>
  </si>
  <si>
    <t>Parmeet</t>
  </si>
  <si>
    <t>2 adults + 1 kid (4.5 years)</t>
  </si>
  <si>
    <t>Silver Waves Resort &amp; Spa Daman</t>
  </si>
  <si>
    <t>Vapi</t>
  </si>
  <si>
    <t xml:space="preserve">Sweta	Agrawal
</t>
  </si>
  <si>
    <t>Shree Gajanan Enterprise</t>
  </si>
  <si>
    <t>CSH3125</t>
  </si>
  <si>
    <t>MAYFAIR Lagoon, Bhubaneswar</t>
  </si>
  <si>
    <t xml:space="preserve">Bhubaneswar </t>
  </si>
  <si>
    <t>Satabdi Subhankar Mallick</t>
  </si>
  <si>
    <t>Kanha Enterprises</t>
  </si>
  <si>
    <t>CKA1098</t>
  </si>
  <si>
    <t>5 Adults</t>
  </si>
  <si>
    <t>Hyderabad</t>
  </si>
  <si>
    <t>Abdul Hameem</t>
  </si>
  <si>
    <t>Coverage Agencies</t>
  </si>
  <si>
    <t>CCO0139</t>
  </si>
  <si>
    <t xml:space="preserve">Taj Patna </t>
  </si>
  <si>
    <t xml:space="preserve">Patna </t>
  </si>
  <si>
    <t>Sahenwaz Ansari</t>
  </si>
  <si>
    <t>Electric Ghar</t>
  </si>
  <si>
    <t>CEL0311</t>
  </si>
  <si>
    <t>Hotal centre point purniya</t>
  </si>
  <si>
    <t>Bihar purniya</t>
  </si>
  <si>
    <t xml:space="preserve">Lalan Tiwari </t>
  </si>
  <si>
    <t>Tiwari Machinery Tools</t>
  </si>
  <si>
    <t>CTI0223</t>
  </si>
  <si>
    <t>Mavelikara</t>
  </si>
  <si>
    <t>Edwin John</t>
  </si>
  <si>
    <t>Parayil Agencies</t>
  </si>
  <si>
    <t>CPA0759</t>
  </si>
  <si>
    <t>4 Adults &amp; 2 Kids</t>
  </si>
  <si>
    <t>The Floresta</t>
  </si>
  <si>
    <t>Hazaribagh</t>
  </si>
  <si>
    <t>Vinay Kumar</t>
  </si>
  <si>
    <t>Jyoti Bijli Ghar</t>
  </si>
  <si>
    <t>CJY0074</t>
  </si>
  <si>
    <t>Radisson Blu Hotel, Guwahati</t>
  </si>
  <si>
    <t>Guwahati</t>
  </si>
  <si>
    <t>Anurag Jalan</t>
  </si>
  <si>
    <t>Assam Supply Syndicate</t>
  </si>
  <si>
    <t>CAS0716</t>
  </si>
  <si>
    <t>Fortune Park, Vellore</t>
  </si>
  <si>
    <t>Vellore</t>
  </si>
  <si>
    <t>Umesh M</t>
  </si>
  <si>
    <t>S. M. Trading Company</t>
  </si>
  <si>
    <t>Csm0075</t>
  </si>
  <si>
    <t>The LaLiT Grand Palace Srinagar</t>
  </si>
  <si>
    <t>J&amp;K Budgam</t>
  </si>
  <si>
    <t>Bilal Ahmed</t>
  </si>
  <si>
    <t>BILAL SUPER SHINE</t>
  </si>
  <si>
    <t>CBI0361</t>
  </si>
  <si>
    <t>3 Adults</t>
  </si>
  <si>
    <t>Grand Hyatt Kochi, Bologatty</t>
  </si>
  <si>
    <t>ERNAKULAM</t>
  </si>
  <si>
    <t>Mohammed Basheer Mohammed Basheer</t>
  </si>
  <si>
    <t>SUMI AGENCIES</t>
  </si>
  <si>
    <t>CSU1660</t>
  </si>
  <si>
    <t>2 Adults (Female)</t>
  </si>
  <si>
    <t>Geetanjali Salon</t>
  </si>
  <si>
    <t>Meerut</t>
  </si>
  <si>
    <t>Salon</t>
  </si>
  <si>
    <t>RAKESH / MANOJ</t>
  </si>
  <si>
    <t>Kumar Electric Store</t>
  </si>
  <si>
    <t>CKU0095</t>
  </si>
  <si>
    <t>2 Pax &amp; 3 Kids</t>
  </si>
  <si>
    <t>Thiruvantpuram</t>
  </si>
  <si>
    <t>Jerald Christy</t>
  </si>
  <si>
    <t>Renergy Systems India Private Limited</t>
  </si>
  <si>
    <t>CRE1194</t>
  </si>
  <si>
    <t>Mandi</t>
  </si>
  <si>
    <t>Hemant Kumar</t>
  </si>
  <si>
    <t>Pawar Electrical Store</t>
  </si>
  <si>
    <t>CPA0273</t>
  </si>
  <si>
    <t>5 Adults + 2 Kids</t>
  </si>
  <si>
    <t>Welcomhotel by ITC Hot</t>
  </si>
  <si>
    <t>Allahabad</t>
  </si>
  <si>
    <t>Shobhit Gupta</t>
  </si>
  <si>
    <t>Rajeev Electricals</t>
  </si>
  <si>
    <t>CRA1969</t>
  </si>
  <si>
    <t>N Harisvdaa</t>
  </si>
  <si>
    <t>Sri Raam Marketing</t>
  </si>
  <si>
    <t>CSR0587</t>
  </si>
  <si>
    <t>We paid 3k advance but the bill was of 1255/- only, hence refund of 1745/- recd.</t>
  </si>
  <si>
    <t>3 Adults + 2 Kids (12 yrs and 9 yrs)</t>
  </si>
  <si>
    <t>Ranjeet Hotel</t>
  </si>
  <si>
    <t>Akola</t>
  </si>
  <si>
    <t>Chandrakant Shah</t>
  </si>
  <si>
    <t>Ashish Sales</t>
  </si>
  <si>
    <t>CAS0367</t>
  </si>
  <si>
    <t>3 Pax</t>
  </si>
  <si>
    <t>HARIDWAR</t>
  </si>
  <si>
    <t>Priyanshu_Mittal</t>
  </si>
  <si>
    <t>Mittal Electricales</t>
  </si>
  <si>
    <t>CMI0201</t>
  </si>
  <si>
    <t>6 Adults + 2 Kids (5 &amp;8yr)</t>
  </si>
  <si>
    <t>The landmark towers waterside Kanpur</t>
  </si>
  <si>
    <t>Kanpur</t>
  </si>
  <si>
    <t>Avish_Vohra</t>
  </si>
  <si>
    <t>Vohra Electricals</t>
  </si>
  <si>
    <t>CVO0053</t>
  </si>
  <si>
    <t>2 pax (F+F)</t>
  </si>
  <si>
    <t>kannur</t>
  </si>
  <si>
    <t xml:space="preserve">Saifu </t>
  </si>
  <si>
    <t>Safiya Build Mart</t>
  </si>
  <si>
    <t>CSA0928</t>
  </si>
  <si>
    <t>2 pax (M+M)</t>
  </si>
  <si>
    <t>Toni &amp; Guy</t>
  </si>
  <si>
    <t>kozhikode</t>
  </si>
  <si>
    <t>Sandeep Menon</t>
  </si>
  <si>
    <t>TERRA LIVE LUXURIOUSLY LLP</t>
  </si>
  <si>
    <t>CTE0394</t>
  </si>
  <si>
    <t>Kerela</t>
  </si>
  <si>
    <t>Shereefudhen P A Shereefudhen P A</t>
  </si>
  <si>
    <t>New Bright Electrcals</t>
  </si>
  <si>
    <t>CNE0226</t>
  </si>
  <si>
    <t xml:space="preserve">Ghaziabad </t>
  </si>
  <si>
    <t>RAJESH</t>
  </si>
  <si>
    <t>K V R Enterprises</t>
  </si>
  <si>
    <t>CKV0016</t>
  </si>
  <si>
    <t>Accord Restaurant</t>
  </si>
  <si>
    <t>M.P CHHINDWARA</t>
  </si>
  <si>
    <t>Rajkumar Sharma</t>
  </si>
  <si>
    <t>MK DISTRIBUTOR GALAXY</t>
  </si>
  <si>
    <t>CMK0027</t>
  </si>
  <si>
    <t>3 PAX &amp; 1 Kid(7 Year)</t>
  </si>
  <si>
    <t>Aneesh S</t>
  </si>
  <si>
    <t>Adhithyan Solar Power Solutions</t>
  </si>
  <si>
    <t>CAD0553</t>
  </si>
  <si>
    <t>Norbu Restaurant</t>
  </si>
  <si>
    <t>KANGRA</t>
  </si>
  <si>
    <t xml:space="preserve">Parth </t>
  </si>
  <si>
    <t>VERMA ELECTRIC STORE</t>
  </si>
  <si>
    <t>CVE0722</t>
  </si>
  <si>
    <t>ITC Narmada, Ahmedabad</t>
  </si>
  <si>
    <t>Ahmedabad</t>
  </si>
  <si>
    <t>Akshar Sales Corporation</t>
  </si>
  <si>
    <t>CAK0164</t>
  </si>
  <si>
    <t>2 adults + 2 kids (10 and 12 yrs)</t>
  </si>
  <si>
    <t>Conrad Pune</t>
  </si>
  <si>
    <t>PUNE</t>
  </si>
  <si>
    <t>Sneha Ghatole</t>
  </si>
  <si>
    <t>Illumina Controls</t>
  </si>
  <si>
    <t>CIL0020</t>
  </si>
  <si>
    <t>Besillio Grand Hotel &amp; Restaurant</t>
  </si>
  <si>
    <t>Sundar Nagar</t>
  </si>
  <si>
    <t>Ambika</t>
  </si>
  <si>
    <t xml:space="preserve">Sharma Communication </t>
  </si>
  <si>
    <t>CSH2836</t>
  </si>
  <si>
    <t>SPA Villa Wellness</t>
  </si>
  <si>
    <t>NAGPUR</t>
  </si>
  <si>
    <t>Ravi Shetty</t>
  </si>
  <si>
    <t>RS Battery</t>
  </si>
  <si>
    <t>CRS0107</t>
  </si>
  <si>
    <t>2 Adults +1 Kid</t>
  </si>
  <si>
    <t xml:space="preserve">
Hyatt Hyderabad Gachibowli</t>
  </si>
  <si>
    <t xml:space="preserve">Hyderabad </t>
  </si>
  <si>
    <t>Ayeena_Jabeen</t>
  </si>
  <si>
    <t xml:space="preserve">Alsafa Trading Company </t>
  </si>
  <si>
    <t>CAL1169</t>
  </si>
  <si>
    <t xml:space="preserve">5 Pax </t>
  </si>
  <si>
    <t>Hotel The Arindam</t>
  </si>
  <si>
    <t>Katni</t>
  </si>
  <si>
    <t>Bharat Kumar Choudha</t>
  </si>
  <si>
    <t>Gopal Enterprises</t>
  </si>
  <si>
    <t>CGO0580</t>
  </si>
  <si>
    <t>Falak- The Revolving Restaurant</t>
  </si>
  <si>
    <t>Jammu</t>
  </si>
  <si>
    <t xml:space="preserve">S Kuldip Singh Bains </t>
  </si>
  <si>
    <t>Khalsa electric Co</t>
  </si>
  <si>
    <t>CKH0054</t>
  </si>
  <si>
    <t>6 Pax</t>
  </si>
  <si>
    <t>District 9</t>
  </si>
  <si>
    <t>Palakkad</t>
  </si>
  <si>
    <t>U RAGHU M.A. Jayasree</t>
  </si>
  <si>
    <t>Radio Electric Emporium</t>
  </si>
  <si>
    <t>CRA0001</t>
  </si>
  <si>
    <t>Taj Wayanad Resort &amp; Spa Kerala</t>
  </si>
  <si>
    <t>kalpetta</t>
  </si>
  <si>
    <t xml:space="preserve">Pilassery Abid </t>
  </si>
  <si>
    <t>WHITE HOUSE MARKETING</t>
  </si>
  <si>
    <t>CWH0031</t>
  </si>
  <si>
    <t xml:space="preserve">Nodia </t>
  </si>
  <si>
    <t>DIVYAM GOYAL</t>
  </si>
  <si>
    <t>Aggarwal Electrical Store</t>
  </si>
  <si>
    <t>CAG0220</t>
  </si>
  <si>
    <t>Vivanta Chennai IT Expressway</t>
  </si>
  <si>
    <t>Chemman Cherry</t>
  </si>
  <si>
    <t>Kailash D</t>
  </si>
  <si>
    <t>Ganesh Electricals And Hardares</t>
  </si>
  <si>
    <t>CGA0621</t>
  </si>
  <si>
    <t>2 Adults + 1 kid (1.5 yrs)</t>
  </si>
  <si>
    <t>Mantra Koodam, CGH Earth, Kumbakonam</t>
  </si>
  <si>
    <t>Kumbakonam</t>
  </si>
  <si>
    <t>Samu Electricals</t>
  </si>
  <si>
    <t>CSA0177</t>
  </si>
  <si>
    <t xml:space="preserve">Parsun </t>
  </si>
  <si>
    <t xml:space="preserve">4 Adults </t>
  </si>
  <si>
    <t>Evolve black</t>
  </si>
  <si>
    <t>Hospet</t>
  </si>
  <si>
    <t>K.Venkatesh</t>
  </si>
  <si>
    <t>Darshan Electricals</t>
  </si>
  <si>
    <t>CDH0040</t>
  </si>
  <si>
    <t>4 pax</t>
  </si>
  <si>
    <t>Hotel Minerva Grand Nellore</t>
  </si>
  <si>
    <t>Nellore</t>
  </si>
  <si>
    <t>Venkateshwarlu</t>
  </si>
  <si>
    <t>Sai Teja Electricals</t>
  </si>
  <si>
    <t>CSA0664</t>
  </si>
  <si>
    <t>RK GRAND Family Restaurant, Kanigiri</t>
  </si>
  <si>
    <t>Kanigiri</t>
  </si>
  <si>
    <t>Krishna reddy</t>
  </si>
  <si>
    <t>AVR Electricials &amp; Snantary</t>
  </si>
  <si>
    <t>CAV0150</t>
  </si>
  <si>
    <t>Ramada Encore by Wyndham Ambala</t>
  </si>
  <si>
    <t>YAMUNANAGAR</t>
  </si>
  <si>
    <t>Virender Singh</t>
  </si>
  <si>
    <t>DASHMESH ELECTRICAL</t>
  </si>
  <si>
    <t>CDA0363</t>
  </si>
  <si>
    <t>TONI&amp;GUY</t>
  </si>
  <si>
    <t>Mayur _Menghani</t>
  </si>
  <si>
    <t>Mayur Electric Company</t>
  </si>
  <si>
    <t>CMA1579</t>
  </si>
  <si>
    <t>Taj mussoorie foothills dehradun</t>
  </si>
  <si>
    <t>Dehradun</t>
  </si>
  <si>
    <t>Rajender_Chamoli</t>
  </si>
  <si>
    <t xml:space="preserve">Mentor Water Experts Private Limited </t>
  </si>
  <si>
    <t>CME1158</t>
  </si>
  <si>
    <t>Ritz Carlton</t>
  </si>
  <si>
    <t xml:space="preserve">Sailesh Kumar
</t>
  </si>
  <si>
    <t>Vaibhav electric inc</t>
  </si>
  <si>
    <t>CVA0738</t>
  </si>
  <si>
    <t>2 PAX</t>
  </si>
  <si>
    <t>Surat Mariott Hotel</t>
  </si>
  <si>
    <t>Surat</t>
  </si>
  <si>
    <t>Gajender Jain</t>
  </si>
  <si>
    <t>Mamta Sales Corporation</t>
  </si>
  <si>
    <t>CMA0357</t>
  </si>
  <si>
    <t>2 PAx</t>
  </si>
  <si>
    <t>Taj Cidade de Goa Horizon, Goa</t>
  </si>
  <si>
    <t>Goa</t>
  </si>
  <si>
    <t>Pankaj Soni</t>
  </si>
  <si>
    <t>Hira Electric Company</t>
  </si>
  <si>
    <t>CHI0096</t>
  </si>
  <si>
    <t xml:space="preserve">Tattva Spa </t>
  </si>
  <si>
    <t>Lucknow</t>
  </si>
  <si>
    <t>Parmanand Singhal</t>
  </si>
  <si>
    <t>Govind Electric Co.</t>
  </si>
  <si>
    <t>CGO0033</t>
  </si>
  <si>
    <t>PC-22k</t>
  </si>
  <si>
    <t>Hotel Sapphire</t>
  </si>
  <si>
    <t xml:space="preserve">yamannagar </t>
  </si>
  <si>
    <t>Sanjay Bansal</t>
  </si>
  <si>
    <t>Krishna Electric And General Store</t>
  </si>
  <si>
    <t>CKR0043</t>
  </si>
  <si>
    <t>Wyte Portico Hotel</t>
  </si>
  <si>
    <t>Kerala</t>
  </si>
  <si>
    <t>Gauri P</t>
  </si>
  <si>
    <t>G S Traders</t>
  </si>
  <si>
    <t>CGS0050</t>
  </si>
  <si>
    <t>5 Pax</t>
  </si>
  <si>
    <t xml:space="preserve">Malabar Village Restaurant </t>
  </si>
  <si>
    <t>Kottyam</t>
  </si>
  <si>
    <t>Raju T P</t>
  </si>
  <si>
    <t>Hi Light Enteprises</t>
  </si>
  <si>
    <t>CHI0139</t>
  </si>
  <si>
    <t>2 Adults +1 kid (3 months)</t>
  </si>
  <si>
    <t>Radisson Blu Hotel Rudrapur</t>
  </si>
  <si>
    <t>RUDRAPUR</t>
  </si>
  <si>
    <t>Mohd_Danish</t>
  </si>
  <si>
    <t>UK ENTERPRISES</t>
  </si>
  <si>
    <t>CUK0016</t>
  </si>
  <si>
    <t>Taj City Centre</t>
  </si>
  <si>
    <t>Patna</t>
  </si>
  <si>
    <t xml:space="preserve">Kumar Ajit </t>
  </si>
  <si>
    <t>S.K. Electric</t>
  </si>
  <si>
    <t>CSK0101</t>
  </si>
  <si>
    <t xml:space="preserve">5 Adults </t>
  </si>
  <si>
    <t>Holiday Regency</t>
  </si>
  <si>
    <t>Moradabad</t>
  </si>
  <si>
    <t>PUNEET / JYOTI_SETHI</t>
  </si>
  <si>
    <t>Sethi Electricals</t>
  </si>
  <si>
    <t>CSE1006</t>
  </si>
  <si>
    <t>2 Pax (Couple)</t>
  </si>
  <si>
    <t>SOHUM SPA</t>
  </si>
  <si>
    <t>Bhopal</t>
  </si>
  <si>
    <t>Praveen Mishra</t>
  </si>
  <si>
    <t>Utkarsh Enterprises</t>
  </si>
  <si>
    <t>CUT0099</t>
  </si>
  <si>
    <t>5 Pax &amp; 2 Kids</t>
  </si>
  <si>
    <t>Enrise By Saya Ji</t>
  </si>
  <si>
    <t>Reewa &amp; MP</t>
  </si>
  <si>
    <t>Ratnesh Gupta</t>
  </si>
  <si>
    <t>Shiv Electric Works</t>
  </si>
  <si>
    <t>CSH0022</t>
  </si>
  <si>
    <t>4 Adults</t>
  </si>
  <si>
    <t>Fortune Park Lakecity</t>
  </si>
  <si>
    <t>Polaram Patel</t>
  </si>
  <si>
    <t>Ambe Electrical And Hardware Stores</t>
  </si>
  <si>
    <t>CAM0050</t>
  </si>
  <si>
    <t>Kumarakom Lake Resort</t>
  </si>
  <si>
    <t>Kottayam</t>
  </si>
  <si>
    <t>Deny_Thomas</t>
  </si>
  <si>
    <t>Medistar Agencies</t>
  </si>
  <si>
    <t>CME0919</t>
  </si>
  <si>
    <t>P. Krishna Gupta</t>
  </si>
  <si>
    <t>Sri Krishna Electricals</t>
  </si>
  <si>
    <t>CSR0299</t>
  </si>
  <si>
    <t>3 Adults +1 Kid</t>
  </si>
  <si>
    <t>Trident, Nariman Point, Mumbai</t>
  </si>
  <si>
    <t>Gaurav Jhunjhunwala</t>
  </si>
  <si>
    <t>R.S. Electricals</t>
  </si>
  <si>
    <t>CRS0032</t>
  </si>
  <si>
    <t>Vivanta Thiruvananthapuram</t>
  </si>
  <si>
    <t>Trivandrum</t>
  </si>
  <si>
    <t>Dhwani_Krishna</t>
  </si>
  <si>
    <t>Sree Krishna Associates</t>
  </si>
  <si>
    <t>CSR1011</t>
  </si>
  <si>
    <t>Club 7</t>
  </si>
  <si>
    <t>Chengannur( Kerla)</t>
  </si>
  <si>
    <t>Rajeev Kumar</t>
  </si>
  <si>
    <t>G And G Agencies</t>
  </si>
  <si>
    <t>Cga0487</t>
  </si>
  <si>
    <t>7 pax</t>
  </si>
  <si>
    <t>Mayfair resort</t>
  </si>
  <si>
    <t>Raipur</t>
  </si>
  <si>
    <t>Mustfa fatmi</t>
  </si>
  <si>
    <t>Mv Raj Sales Private Limited</t>
  </si>
  <si>
    <t>CMV0022</t>
  </si>
  <si>
    <t>Grand Gayathri</t>
  </si>
  <si>
    <t>KHAMMAM</t>
  </si>
  <si>
    <t>Swathi_Jadey</t>
  </si>
  <si>
    <t>Sri Shiava Agencies- Galaxy-Khammam</t>
  </si>
  <si>
    <t>CSR5849</t>
  </si>
  <si>
    <t>2 Adults + 2 Kids (4 yrs and 8 yrs)</t>
  </si>
  <si>
    <t>Leela Gandhinagar</t>
  </si>
  <si>
    <t>ADALAJ</t>
  </si>
  <si>
    <t>RAJENDRA PATEL</t>
  </si>
  <si>
    <t>New Umiya Electric Company</t>
  </si>
  <si>
    <t>CNE1200</t>
  </si>
  <si>
    <t>Taj Hari Mahal</t>
  </si>
  <si>
    <t>Jodhpur</t>
  </si>
  <si>
    <t>A M S ELECTRICALS</t>
  </si>
  <si>
    <t>CAM2769</t>
  </si>
  <si>
    <t>2 adults + 2 kids (10 and 11 years)</t>
  </si>
  <si>
    <t>Bellevue Sarovar Premiere, Junagadh</t>
  </si>
  <si>
    <t>Junagadh</t>
  </si>
  <si>
    <t>Pareshbhai Kariya</t>
  </si>
  <si>
    <t>Venus Marketing</t>
  </si>
  <si>
    <t>CVE0223</t>
  </si>
  <si>
    <t>5 adults &amp; 3 Kids(7,5&amp;2 Year)</t>
  </si>
  <si>
    <t>Hycinth Hotel</t>
  </si>
  <si>
    <t>Thiruvananthapuram</t>
  </si>
  <si>
    <t>Jipson Mathew</t>
  </si>
  <si>
    <t>Genisys Engineers And Contractors</t>
  </si>
  <si>
    <t>CGE0252</t>
  </si>
  <si>
    <t>Jehanuma Palace</t>
  </si>
  <si>
    <t>Mayur Gupta</t>
  </si>
  <si>
    <t>Ace Marketing</t>
  </si>
  <si>
    <t>CAC0158</t>
  </si>
  <si>
    <t>Raddision Blu</t>
  </si>
  <si>
    <t>Visakhapatnam</t>
  </si>
  <si>
    <t xml:space="preserve">Mr. Pratik Jain </t>
  </si>
  <si>
    <t>Mercury Agencies</t>
  </si>
  <si>
    <t>CME0012</t>
  </si>
  <si>
    <t>2 (M+F)</t>
  </si>
  <si>
    <t>Lakme Salon For Him and Her in Civil Line,Gaya</t>
  </si>
  <si>
    <t>GAYA</t>
  </si>
  <si>
    <t>Prakash_Srivastava</t>
  </si>
  <si>
    <t xml:space="preserve">Prakash Enterprises </t>
  </si>
  <si>
    <t>CPR1088</t>
  </si>
  <si>
    <t>Gym</t>
  </si>
  <si>
    <t xml:space="preserve">1 Pax (F) </t>
  </si>
  <si>
    <t>Anand J</t>
  </si>
  <si>
    <t>Deepam Electricals</t>
  </si>
  <si>
    <t>CDE0720</t>
  </si>
  <si>
    <t>Courtyard by Marriott, surat</t>
  </si>
  <si>
    <t>Alpesh  Mevada</t>
  </si>
  <si>
    <t>Shreeji Electricals</t>
  </si>
  <si>
    <t>CSH3959</t>
  </si>
  <si>
    <t>Mayfair Lake Resort</t>
  </si>
  <si>
    <t>Ashfaque Amjed</t>
  </si>
  <si>
    <t>S.s. Enterprises</t>
  </si>
  <si>
    <t>CSS6055</t>
  </si>
  <si>
    <t>6 adults</t>
  </si>
  <si>
    <t>ITC Rajputana</t>
  </si>
  <si>
    <t>Jaipur</t>
  </si>
  <si>
    <t xml:space="preserve">Himanshu Mansaka </t>
  </si>
  <si>
    <t>City Lights</t>
  </si>
  <si>
    <t>CCI0091</t>
  </si>
  <si>
    <t>1  adult</t>
  </si>
  <si>
    <t xml:space="preserve">Aaura Luxury Unisex Beauty Salon &amp; Spa
</t>
  </si>
  <si>
    <t>Tirunelveli</t>
  </si>
  <si>
    <t>C. SRINIVASAN</t>
  </si>
  <si>
    <t>SPARK ELECTRICALS</t>
  </si>
  <si>
    <t>CSP0869</t>
  </si>
  <si>
    <t>Surat Mariott</t>
  </si>
  <si>
    <t>GUJARAT</t>
  </si>
  <si>
    <t>Vipinchandra shah / hetal shah</t>
  </si>
  <si>
    <t>ELECTRO TRADERS</t>
  </si>
  <si>
    <t>CLE0060</t>
  </si>
  <si>
    <t>5 Adult</t>
  </si>
  <si>
    <t>Alankar Restaurant, Thrissur</t>
  </si>
  <si>
    <t>KERALA</t>
  </si>
  <si>
    <t xml:space="preserve">Varghese A K </t>
  </si>
  <si>
    <t>Diya Communications</t>
  </si>
  <si>
    <t>CDI1094</t>
  </si>
  <si>
    <t>2 Adult (F+F)</t>
  </si>
  <si>
    <t>HairMovers Beauty Salon Ghumarwin</t>
  </si>
  <si>
    <t>Bilaspur</t>
  </si>
  <si>
    <t>Satish Kumar</t>
  </si>
  <si>
    <t xml:space="preserve">Ratwan Light House </t>
  </si>
  <si>
    <t>CRA0861</t>
  </si>
  <si>
    <t>ITC Narmada</t>
  </si>
  <si>
    <t>VAANYA PATEL</t>
  </si>
  <si>
    <t>Js Electromate</t>
  </si>
  <si>
    <t>CJS0074</t>
  </si>
  <si>
    <t>3 Adults &amp; 1 Kid(6 Year)</t>
  </si>
  <si>
    <t>JW MARIOTT, PUNE</t>
  </si>
  <si>
    <t>Pune</t>
  </si>
  <si>
    <t>Dilip Lalwani</t>
  </si>
  <si>
    <t>Khushi Electronics And Home Applian</t>
  </si>
  <si>
    <t>CKH0189</t>
  </si>
  <si>
    <t>2 females</t>
  </si>
  <si>
    <t>Tangles Hair Lounge</t>
  </si>
  <si>
    <t>Bhuj</t>
  </si>
  <si>
    <t>Manoj C	Patel</t>
  </si>
  <si>
    <t>Geeta Stores</t>
  </si>
  <si>
    <t xml:space="preserve">CGE0033 </t>
  </si>
  <si>
    <t>4 Pax</t>
  </si>
  <si>
    <t>Grand Mirage Radison Dhanbad</t>
  </si>
  <si>
    <t>Dhanbad</t>
  </si>
  <si>
    <t>Amit Kumar Ruia</t>
  </si>
  <si>
    <t>Ganpati Enterprises</t>
  </si>
  <si>
    <t>CGA0289</t>
  </si>
  <si>
    <t>Farsi Arabic Cafe</t>
  </si>
  <si>
    <t>ELDHO M PALAKKADAN ELDHO M PALAKKADAN</t>
  </si>
  <si>
    <t>Varkey &amp; Sons Communication</t>
  </si>
  <si>
    <t>CVA0782</t>
  </si>
  <si>
    <t>Sarovar Portico Morbi</t>
  </si>
  <si>
    <t>Morbi</t>
  </si>
  <si>
    <t>Rajnibhai Mavjbhai</t>
  </si>
  <si>
    <t>Omkar Electricals</t>
  </si>
  <si>
    <t>COM0121</t>
  </si>
  <si>
    <t xml:space="preserve">2 Pax </t>
  </si>
  <si>
    <t>THE JAWED HABIB Salon</t>
  </si>
  <si>
    <t>Daljeet_Kaur</t>
  </si>
  <si>
    <t>Manichanda Marketing</t>
  </si>
  <si>
    <t>CMA1694</t>
  </si>
  <si>
    <t>Tarun Gupta</t>
  </si>
  <si>
    <t>Jay Ambey Associate</t>
  </si>
  <si>
    <t>CJA1462</t>
  </si>
  <si>
    <t>2 adults + 2 kids (09 yrs, 11 yrs)</t>
  </si>
  <si>
    <t xml:space="preserve">Radisson Blu Hotel, Atria Bengaluru
</t>
  </si>
  <si>
    <t xml:space="preserve">Bangalore </t>
  </si>
  <si>
    <t>Lathika</t>
  </si>
  <si>
    <t>Sri Nagneswari Industries</t>
  </si>
  <si>
    <t>CSR0840</t>
  </si>
  <si>
    <t>Valsad</t>
  </si>
  <si>
    <t>Niyati .K. Patel</t>
  </si>
  <si>
    <t>Kiran Electrical</t>
  </si>
  <si>
    <t>CKI0001</t>
  </si>
  <si>
    <t>3 Adults &amp; 1kid</t>
  </si>
  <si>
    <t xml:space="preserve">Regency Cafe-Hyatt </t>
  </si>
  <si>
    <t>THRISSUR-KL</t>
  </si>
  <si>
    <t>SANOJ KALLARACKAL Sanoj Kallarakkal</t>
  </si>
  <si>
    <t>Marissa Connect</t>
  </si>
  <si>
    <t>CMA3026</t>
  </si>
  <si>
    <t>Lakme salon</t>
  </si>
  <si>
    <t>Deoghar</t>
  </si>
  <si>
    <t>Sandeep Keshri</t>
  </si>
  <si>
    <t>Rameshwaram Electricals</t>
  </si>
  <si>
    <t>CRA0822</t>
  </si>
  <si>
    <t>Tattva Spa</t>
  </si>
  <si>
    <t>Prasad</t>
  </si>
  <si>
    <t>Chandana Appliances</t>
  </si>
  <si>
    <t>CCH0485</t>
  </si>
  <si>
    <t>BIRYANIS AND MORE , Bobbili</t>
  </si>
  <si>
    <t>ANDHDRA PRADESH</t>
  </si>
  <si>
    <t>Vanaja Sunkari</t>
  </si>
  <si>
    <t>Venu Electrical Center</t>
  </si>
  <si>
    <t>CVE0497</t>
  </si>
  <si>
    <t xml:space="preserve"> Western Gatz </t>
  </si>
  <si>
    <t>THENI ALLINAGARAM</t>
  </si>
  <si>
    <t>Kalavathi S</t>
  </si>
  <si>
    <t>Thirupathy Electricals Sanitaryware</t>
  </si>
  <si>
    <t xml:space="preserve">CTH0482 </t>
  </si>
  <si>
    <t>Taj Dal View</t>
  </si>
  <si>
    <t>Srinagar</t>
  </si>
  <si>
    <t>Hilal Ahmed Shah</t>
  </si>
  <si>
    <t>Imperial Shah Store</t>
  </si>
  <si>
    <t>CIM0007</t>
  </si>
  <si>
    <t>5 pax</t>
  </si>
  <si>
    <t>Hotel Lohara Inn</t>
  </si>
  <si>
    <t>Chandrapur</t>
  </si>
  <si>
    <t>Ramesh Bothra</t>
  </si>
  <si>
    <t>Jain Trading Company</t>
  </si>
  <si>
    <t>CJA0292</t>
  </si>
  <si>
    <t>2 adults + 2 kids (14 yrs, 8 yrs)</t>
  </si>
  <si>
    <t xml:space="preserve">Raj Mahal Palace Hotel </t>
  </si>
  <si>
    <t>Raj Kumar</t>
  </si>
  <si>
    <t>Naina Infotech</t>
  </si>
  <si>
    <t>CNA1208</t>
  </si>
  <si>
    <t>Taj Bekal Resort &amp; Spa</t>
  </si>
  <si>
    <t>kasargod</t>
  </si>
  <si>
    <t xml:space="preserve">Muzamil </t>
  </si>
  <si>
    <t>Eskay Agencies</t>
  </si>
  <si>
    <t>CES0095</t>
  </si>
  <si>
    <t>2 pax - Couple</t>
  </si>
  <si>
    <t>Styloria</t>
  </si>
  <si>
    <t>HARDIK PATEL</t>
  </si>
  <si>
    <t>Bhagwati Integrated Solutions Pvt L</t>
  </si>
  <si>
    <t>CBH1045</t>
  </si>
  <si>
    <t>DIPESH JOSHI</t>
  </si>
  <si>
    <t>GAYATRI SALES AND SERVICE PRIVATE L</t>
  </si>
  <si>
    <t>CGA0837</t>
  </si>
  <si>
    <t>2 pax (M+F)</t>
  </si>
  <si>
    <t>SALON XVI
 190 CL, Model Town, Karnal, Haryana 132001</t>
  </si>
  <si>
    <t>KARNAL</t>
  </si>
  <si>
    <t>Sumit Bhutani</t>
  </si>
  <si>
    <t>Bhutani Electric Store</t>
  </si>
  <si>
    <t>CBH0019</t>
  </si>
  <si>
    <t>Fortune Walkway Mall, Haldwani</t>
  </si>
  <si>
    <t xml:space="preserve">HALDWANI	</t>
  </si>
  <si>
    <t>Ritu Kohli</t>
  </si>
  <si>
    <t>KOHLI TRADERS</t>
  </si>
  <si>
    <t>CKO0212</t>
  </si>
  <si>
    <t>4 Adults &amp; 4 Kids</t>
  </si>
  <si>
    <t xml:space="preserve">Denissons Hotel Hubli </t>
  </si>
  <si>
    <t>HUBLI</t>
  </si>
  <si>
    <t>Ravi</t>
  </si>
  <si>
    <t>NANKIA ELECTRICALS</t>
  </si>
  <si>
    <t>CNA1282</t>
  </si>
  <si>
    <t>2 Adults + 3 Kids (16 yrs,13 yrs,7 yrs)</t>
  </si>
  <si>
    <t>Radisson Blu, Nagpur</t>
  </si>
  <si>
    <t>Rahul Wath</t>
  </si>
  <si>
    <t>Gandhi Electric Stores</t>
  </si>
  <si>
    <t>CGA0584</t>
  </si>
  <si>
    <t>Studio 99</t>
  </si>
  <si>
    <t>BHAGALPUR</t>
  </si>
  <si>
    <t>Rakesh_Kumar</t>
  </si>
  <si>
    <t>Light Centre</t>
  </si>
  <si>
    <t>CLI0035</t>
  </si>
  <si>
    <t>Le Meridien Delhi</t>
  </si>
  <si>
    <t>CHANGANASSERY</t>
  </si>
  <si>
    <t>K Jose</t>
  </si>
  <si>
    <t>Impex Distribution Llp</t>
  </si>
  <si>
    <t>CIM0048</t>
  </si>
  <si>
    <t>5 PAX</t>
  </si>
  <si>
    <t xml:space="preserve">Bageecha Resort- Sitamarhi </t>
  </si>
  <si>
    <t>Sitamarhi(bihar)</t>
  </si>
  <si>
    <t xml:space="preserve">Kezarbhai Dodia </t>
  </si>
  <si>
    <t>Patna Machinery Stores</t>
  </si>
  <si>
    <t>CPA0760</t>
  </si>
  <si>
    <t>Regency Cafe - Hyatt Regency</t>
  </si>
  <si>
    <t>Daison T P Daison T P</t>
  </si>
  <si>
    <t>New Kable Point</t>
  </si>
  <si>
    <t>CNE0588</t>
  </si>
  <si>
    <t>5 adults + 1 kid (2yr old)</t>
  </si>
  <si>
    <t>The Leela Palace, Chanakyapuri, New Delhi</t>
  </si>
  <si>
    <t>Delhi</t>
  </si>
  <si>
    <t>Bhuvan Gosain</t>
  </si>
  <si>
    <t>Elmec</t>
  </si>
  <si>
    <t>CEL0179</t>
  </si>
  <si>
    <t>Kerala (Kottayam)</t>
  </si>
  <si>
    <t>Jijo. T</t>
  </si>
  <si>
    <t>Pipeco</t>
  </si>
  <si>
    <t>CPI0176</t>
  </si>
  <si>
    <t>BBLUNT Salon - Peddar Road</t>
  </si>
  <si>
    <t>Kaushik Kadkia</t>
  </si>
  <si>
    <t>S P Electrical Industries</t>
  </si>
  <si>
    <t>CSP0007</t>
  </si>
  <si>
    <t>3 Pax (Adults)</t>
  </si>
  <si>
    <t>MAHARASHTRA</t>
  </si>
  <si>
    <t>Sandesh Pathani</t>
  </si>
  <si>
    <t>Success Enterprises</t>
  </si>
  <si>
    <t>CSU0821</t>
  </si>
  <si>
    <t>Hyatt Place Vadodara</t>
  </si>
  <si>
    <t>Vadodara</t>
  </si>
  <si>
    <t>KALPESH S. PATEL</t>
  </si>
  <si>
    <t>Shivam Electricals</t>
  </si>
  <si>
    <t>CSH0701</t>
  </si>
  <si>
    <t>Park Inn by Radisson, Thrissur</t>
  </si>
  <si>
    <t>Thrissur</t>
  </si>
  <si>
    <t>John Tharayil John Tharayil</t>
  </si>
  <si>
    <t>EMAC AUTOMATION SOLUTIONS INDIA PRI</t>
  </si>
  <si>
    <t>CEM0125</t>
  </si>
  <si>
    <t>Hyatt Regency Dehradun Resort and Spa</t>
  </si>
  <si>
    <t>DEHRADUN</t>
  </si>
  <si>
    <t>Virendra_Singhal</t>
  </si>
  <si>
    <t>Shree Ganesh Traders</t>
  </si>
  <si>
    <t>CSH3891</t>
  </si>
  <si>
    <t>2 pax - couple</t>
  </si>
  <si>
    <t>Novotel Kochi Infopark - KUNNATHUNAD</t>
  </si>
  <si>
    <t>KUNNATHUNAD</t>
  </si>
  <si>
    <t xml:space="preserve">Shaji Thomas </t>
  </si>
  <si>
    <t>JIBIN ELECTRICALS &amp; HOME APPLIANCES</t>
  </si>
  <si>
    <t>CJI0245</t>
  </si>
  <si>
    <t>Signature spa therapies Radisson Salem</t>
  </si>
  <si>
    <t>Salem</t>
  </si>
  <si>
    <t>Sathriyan K</t>
  </si>
  <si>
    <t>Krish Enterprisess</t>
  </si>
  <si>
    <t xml:space="preserve">CKR0436 </t>
  </si>
  <si>
    <t>CC/UPI</t>
  </si>
  <si>
    <t>JW Mariott, Pune</t>
  </si>
  <si>
    <t>Chintamani Kelkar</t>
  </si>
  <si>
    <t>Live Wire Tech Services Llp</t>
  </si>
  <si>
    <t>CLI0300</t>
  </si>
  <si>
    <t>4 Adults &amp; 2 kids (10 Year)</t>
  </si>
  <si>
    <t>Ananta By The Hill</t>
  </si>
  <si>
    <t>Jharkhand</t>
  </si>
  <si>
    <t>Manjoor Alam</t>
  </si>
  <si>
    <t>M.M Traders</t>
  </si>
  <si>
    <t>CMM0025</t>
  </si>
  <si>
    <t>2 Pax(couple)</t>
  </si>
  <si>
    <t>Atmanamm wellness and longevity</t>
  </si>
  <si>
    <t>JabalPur</t>
  </si>
  <si>
    <t>Divyansh Goplani</t>
  </si>
  <si>
    <t>Universal Electricals</t>
  </si>
  <si>
    <t>CUN0042</t>
  </si>
  <si>
    <t>Amnish Patial</t>
  </si>
  <si>
    <t>Radiant Hardware</t>
  </si>
  <si>
    <t>CRA0677</t>
  </si>
  <si>
    <t>3 Adults + 4 Children</t>
  </si>
  <si>
    <t>Grand Heritage Narmada Jacksons</t>
  </si>
  <si>
    <t>Neha Jain</t>
  </si>
  <si>
    <t>Neeraj Traders</t>
  </si>
  <si>
    <t>CNE1037</t>
  </si>
  <si>
    <t>Concert</t>
  </si>
  <si>
    <t>Rajkot</t>
  </si>
  <si>
    <t>Hansa Shivlal Barasia</t>
  </si>
  <si>
    <t>Hindustan Electric Corporation</t>
  </si>
  <si>
    <t>CHI0083</t>
  </si>
  <si>
    <t>3 Pax &amp; 1 Kids(12years)</t>
  </si>
  <si>
    <t>Grand Hyatt, Kochi Bolagatty</t>
  </si>
  <si>
    <t>Eranakulam</t>
  </si>
  <si>
    <t>Ajish Nambiar Ajish Nambiar</t>
  </si>
  <si>
    <t>Adithi Business Solutions</t>
  </si>
  <si>
    <t>CAD0630</t>
  </si>
  <si>
    <t>3 Adults &amp; 2 Kids</t>
  </si>
  <si>
    <t>Hyatt Regency</t>
  </si>
  <si>
    <t>Thrissur(kerela)</t>
  </si>
  <si>
    <t>Jinson T J Jinson T J</t>
  </si>
  <si>
    <t>J J Traders</t>
  </si>
  <si>
    <t>CJJ0024</t>
  </si>
  <si>
    <t>2 PAX &amp; 2 kid( 7&amp;8 Year)</t>
  </si>
  <si>
    <t>Park Inn by Radisson, Jabalpur</t>
  </si>
  <si>
    <t>Jabalpur</t>
  </si>
  <si>
    <t>Vishal Jeswani</t>
  </si>
  <si>
    <t>SAFFRON SOLAR SYSTEMS</t>
  </si>
  <si>
    <t>CSA2472</t>
  </si>
  <si>
    <t>6 Adults</t>
  </si>
  <si>
    <t>Hotel Canary Inn</t>
  </si>
  <si>
    <t>jharkhand (ICHAK )</t>
  </si>
  <si>
    <t>Rakhi Devi</t>
  </si>
  <si>
    <t>Rakhi Traders</t>
  </si>
  <si>
    <t>CRA1613</t>
  </si>
  <si>
    <t>payyannur</t>
  </si>
  <si>
    <t>Vijayakumar V  K</t>
  </si>
  <si>
    <t>Branz Hexa India Private Limited</t>
  </si>
  <si>
    <t>CBR0195</t>
  </si>
  <si>
    <t>Boulevard 9</t>
  </si>
  <si>
    <t>Kheda</t>
  </si>
  <si>
    <t>SEJAL SHAH</t>
  </si>
  <si>
    <t>Ambica Electricals</t>
  </si>
  <si>
    <t>CAM0375</t>
  </si>
  <si>
    <t>Approved by Client</t>
  </si>
  <si>
    <t>Payment Status</t>
  </si>
  <si>
    <t>Remarks</t>
  </si>
  <si>
    <t>Refund Date</t>
  </si>
  <si>
    <t xml:space="preserve">Refund </t>
  </si>
  <si>
    <t>Payment Mode - Direct/Zomato or Refund</t>
  </si>
  <si>
    <t xml:space="preserve">Payment Mode </t>
  </si>
  <si>
    <t>Payment Date</t>
  </si>
  <si>
    <t>Paid by</t>
  </si>
  <si>
    <t>Amount Paid</t>
  </si>
  <si>
    <t>Zomato Amount</t>
  </si>
  <si>
    <t>PAYMENT SPOC</t>
  </si>
  <si>
    <t>RM</t>
  </si>
  <si>
    <t>Buffet/Ala-Carte/Salon/Photoshoot/Concert/Spa</t>
  </si>
  <si>
    <t>Avail Date</t>
  </si>
  <si>
    <t>No of Pax</t>
  </si>
  <si>
    <t>Hotel/Restaurant/Salon/Photoshoot/Concert Name</t>
  </si>
  <si>
    <t>City &amp; State</t>
  </si>
  <si>
    <t>Dine-Out/Salon/Spa/
Photoshoot/Concert</t>
  </si>
  <si>
    <t>Dealer/Partner Name</t>
  </si>
  <si>
    <t>Firm Name</t>
  </si>
  <si>
    <t>Dealer Code</t>
  </si>
  <si>
    <t>Sambandh - 10k/PC -22k</t>
  </si>
  <si>
    <t>Billing Amount</t>
  </si>
  <si>
    <t>STORY</t>
  </si>
  <si>
    <t>Budget</t>
  </si>
  <si>
    <t>Q-N</t>
  </si>
  <si>
    <t>Approval Amount</t>
  </si>
  <si>
    <t xml:space="preserve">Pilibhit house </t>
  </si>
  <si>
    <t>Country Inn &amp; Suites by Radisson, Sahibabad</t>
  </si>
  <si>
    <t xml:space="preserve">Ritz Carlton, Pune </t>
  </si>
  <si>
    <t xml:space="preserve">Radisson Blu, Kochi </t>
  </si>
  <si>
    <t>Gujjubhai Ni Exchange Offer</t>
  </si>
  <si>
    <t xml:space="preserve">The Hair lounge luxury salon
</t>
  </si>
  <si>
    <t>Gold's Gym Basavanagudi</t>
  </si>
  <si>
    <t xml:space="preserve">Looks Salon Logix Mall </t>
  </si>
  <si>
    <t>The Westin Hyderabad Mindspace</t>
  </si>
  <si>
    <t>Hyatt Regency, Trivandrum</t>
  </si>
  <si>
    <t>Naturals Salon</t>
  </si>
  <si>
    <t xml:space="preserve">The Regent Palm </t>
  </si>
  <si>
    <t>Hyatt Trivandrum</t>
  </si>
  <si>
    <t xml:space="preserve">Hyderabad Marriott Hotel &amp; Convention Centre </t>
  </si>
  <si>
    <t>Bodhis Salon and Spa</t>
  </si>
  <si>
    <t xml:space="preserve">Ayirath ayurveda hospital 
</t>
  </si>
  <si>
    <t>4 Adults +1 Kid</t>
  </si>
  <si>
    <t xml:space="preserve">Anbuganapathi. S </t>
  </si>
  <si>
    <t xml:space="preserve">Sumit </t>
  </si>
  <si>
    <t>ANUJ KUMAR MODI</t>
  </si>
  <si>
    <t xml:space="preserve">Ankur Jain </t>
  </si>
  <si>
    <t xml:space="preserve">Maheswaran 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</si>
</sst>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##,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8"/>
      <color rgb="FF1F497D"/>
      <name val="Verdana"/>
      <family val="2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6" fillId="5" borderId="6" applyNumberFormat="0" applyAlignment="0" applyProtection="0">
      <alignment horizontal="left" vertical="center" indent="1"/>
    </xf>
  </cellStyleXfs>
  <cellXfs count="47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indent="2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43" fontId="3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15" fontId="5" fillId="0" borderId="1" xfId="0" applyNumberFormat="1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15" fontId="4" fillId="2" borderId="1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4" fontId="4" fillId="0" borderId="1" xfId="1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43" fontId="4" fillId="4" borderId="1" xfId="1" applyFont="1" applyFill="1" applyBorder="1" applyAlignment="1">
      <alignment horizontal="center" vertical="center" wrapText="1"/>
    </xf>
    <xf numFmtId="15" fontId="4" fillId="4" borderId="1" xfId="0" applyNumberFormat="1" applyFont="1" applyFill="1" applyBorder="1" applyAlignment="1">
      <alignment horizontal="center" vertical="center" wrapText="1"/>
    </xf>
    <xf numFmtId="14" fontId="4" fillId="0" borderId="1" xfId="1" applyNumberFormat="1" applyFont="1" applyFill="1" applyBorder="1" applyAlignment="1">
      <alignment horizontal="center" vertical="center" wrapText="1"/>
    </xf>
    <xf numFmtId="43" fontId="4" fillId="0" borderId="1" xfId="1" applyFont="1" applyFill="1" applyBorder="1" applyAlignment="1">
      <alignment horizontal="center" vertical="center" wrapText="1"/>
    </xf>
    <xf numFmtId="16" fontId="4" fillId="0" borderId="1" xfId="0" applyNumberFormat="1" applyFont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0" borderId="1" xfId="2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4" fontId="7" fillId="9" borderId="1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SAPMemberCell" xfId="2" xr:uid="{D02BC57B-E0C0-429C-9D85-32DCC30205E9}"/>
  </cellStyles>
  <dxfs count="3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toryexperiencespvtltd-my.sharepoint.com/personal/parmeet_storyexp_com/Documents/Desktop/Parmeet%20-%20Story/HAVELLS%20Program/Billing%20&amp;%20Payments/6th%20Billing%20-%20May'26/Havells%20Sambandh%20_%20May'26%20Month%20Additional%20Cost%20Approval%20Sheet%20.xlsx" TargetMode="External"/><Relationship Id="rId2" Type="http://schemas.microsoft.com/office/2019/04/relationships/externalLinkLongPath" Target="Havells%20Sambandh%20_%20May'26%20Month%20Additional%20Cost%20Approval%20Sheet%20.xlsx?9157F81C" TargetMode="External"/><Relationship Id="rId1" Type="http://schemas.openxmlformats.org/officeDocument/2006/relationships/externalLinkPath" Target="file:///\\9157F81C\Havells%20Sambandh%20_%20May'26%20Month%20Additional%20Cost%20Approval%20Sheet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heet1"/>
    </sheetNames>
    <sheetDataSet>
      <sheetData sheetId="0">
        <row r="1">
          <cell r="B1" t="str">
            <v>Dealer Code</v>
          </cell>
          <cell r="C1" t="str">
            <v>Firm Name</v>
          </cell>
          <cell r="D1" t="str">
            <v>Dealer/Partner Name</v>
          </cell>
          <cell r="E1" t="str">
            <v>City</v>
          </cell>
          <cell r="F1" t="str">
            <v>State</v>
          </cell>
          <cell r="G1" t="str">
            <v>Dine-Out/Salon/Spa/
Photoshoot/Concert</v>
          </cell>
          <cell r="H1" t="str">
            <v>Hotel/Restaurant/Salon/Photoshoot/Concert Name</v>
          </cell>
          <cell r="I1" t="str">
            <v>Total Pax</v>
          </cell>
          <cell r="J1" t="str">
            <v>Additional Cost</v>
          </cell>
        </row>
        <row r="2">
          <cell r="B2" t="str">
            <v>CSR0299</v>
          </cell>
          <cell r="C2" t="str">
            <v>Sri Krishna Electricals</v>
          </cell>
          <cell r="D2" t="str">
            <v>P. Krishna</v>
          </cell>
          <cell r="E2" t="str">
            <v>Hyderabad</v>
          </cell>
          <cell r="F2" t="str">
            <v>TELANGANA</v>
          </cell>
          <cell r="G2" t="str">
            <v>Spa</v>
          </cell>
          <cell r="H2" t="str">
            <v>Kaya Kalp – ITC Kohenur</v>
          </cell>
          <cell r="I2" t="str">
            <v xml:space="preserve">2 Adults </v>
          </cell>
          <cell r="J2">
            <v>3027</v>
          </cell>
        </row>
        <row r="3">
          <cell r="B3" t="str">
            <v>CAM2769</v>
          </cell>
          <cell r="C3" t="str">
            <v>A M S ELECTRICALS</v>
          </cell>
          <cell r="D3" t="str">
            <v>Ankur Jain</v>
          </cell>
          <cell r="E3" t="str">
            <v>Jodhpur</v>
          </cell>
          <cell r="F3" t="str">
            <v>Rajasthan</v>
          </cell>
          <cell r="G3" t="str">
            <v>Dine-out</v>
          </cell>
          <cell r="H3" t="str">
            <v>Taj Hari Mahal</v>
          </cell>
          <cell r="I3" t="str">
            <v>4 Adult</v>
          </cell>
          <cell r="J3">
            <v>3000</v>
          </cell>
        </row>
        <row r="4">
          <cell r="B4" t="str">
            <v>CVA0738</v>
          </cell>
          <cell r="C4" t="str">
            <v>Vaibhav electric inc</v>
          </cell>
          <cell r="D4" t="str">
            <v>Sailesh Kumar</v>
          </cell>
          <cell r="E4" t="str">
            <v>Bangalore</v>
          </cell>
          <cell r="F4" t="str">
            <v>KARNATAKA</v>
          </cell>
          <cell r="G4" t="str">
            <v>Spa</v>
          </cell>
          <cell r="H4" t="str">
            <v>Ritz carlton</v>
          </cell>
          <cell r="I4" t="str">
            <v xml:space="preserve">2 Adults </v>
          </cell>
          <cell r="J4">
            <v>2380</v>
          </cell>
        </row>
        <row r="5">
          <cell r="B5" t="str">
            <v>CSR0846</v>
          </cell>
          <cell r="C5" t="str">
            <v>Laxmi Ganesh Distributors</v>
          </cell>
          <cell r="D5" t="str">
            <v>Harish. K. N</v>
          </cell>
          <cell r="E5" t="str">
            <v>Bangalore</v>
          </cell>
          <cell r="F5" t="str">
            <v>KARNATAKA</v>
          </cell>
          <cell r="G5" t="str">
            <v>Dine-Out</v>
          </cell>
          <cell r="H5" t="str">
            <v>The Oberoi</v>
          </cell>
          <cell r="I5" t="str">
            <v>3 Adult</v>
          </cell>
          <cell r="J5">
            <v>2000</v>
          </cell>
        </row>
        <row r="6">
          <cell r="B6" t="str">
            <v>CIM0048</v>
          </cell>
          <cell r="C6" t="str">
            <v>Impex Distribution Llp</v>
          </cell>
          <cell r="D6" t="str">
            <v>K Jose</v>
          </cell>
          <cell r="E6" t="str">
            <v>CHANGANASSERY</v>
          </cell>
          <cell r="F6" t="str">
            <v>Kerala</v>
          </cell>
          <cell r="G6" t="str">
            <v>Dine-Out</v>
          </cell>
          <cell r="H6" t="str">
            <v>Le Meriddien Delhi</v>
          </cell>
          <cell r="I6" t="str">
            <v>2 Adult</v>
          </cell>
          <cell r="J6">
            <v>2314</v>
          </cell>
        </row>
        <row r="8">
          <cell r="J8">
            <v>12721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625A-DCD3-45ED-ACDA-6FD9D0A563E6}">
  <dimension ref="A1:BD146"/>
  <sheetViews>
    <sheetView tabSelected="1" topLeftCell="H1" zoomScale="90" zoomScaleNormal="90" workbookViewId="0">
      <pane ySplit="1" topLeftCell="A2" activePane="bottomLeft" state="frozen"/>
      <selection pane="bottomLeft" activeCell="R1" sqref="R1"/>
    </sheetView>
  </sheetViews>
  <sheetFormatPr defaultColWidth="9.109375" defaultRowHeight="14.4" x14ac:dyDescent="0.3"/>
  <cols>
    <col min="1" max="1" width="19.44140625" style="1" bestFit="1" customWidth="1"/>
    <col min="2" max="2" width="18.109375" style="3" bestFit="1" customWidth="1"/>
    <col min="3" max="3" width="38.5546875" style="1" bestFit="1" customWidth="1"/>
    <col min="4" max="4" width="43.21875" style="1" bestFit="1" customWidth="1"/>
    <col min="5" max="5" width="19.77734375" style="1" bestFit="1" customWidth="1"/>
    <col min="6" max="6" width="21.44140625" style="1" bestFit="1" customWidth="1"/>
    <col min="7" max="7" width="43" style="1" bestFit="1" customWidth="1"/>
    <col min="8" max="8" width="33.5546875" style="1" bestFit="1" customWidth="1"/>
    <col min="9" max="9" width="11.21875" style="1" bestFit="1" customWidth="1"/>
    <col min="10" max="10" width="34.5546875" style="1" bestFit="1" customWidth="1"/>
    <col min="11" max="11" width="8.6640625" style="1" bestFit="1" customWidth="1"/>
    <col min="12" max="13" width="15" style="1" bestFit="1" customWidth="1"/>
    <col min="14" max="14" width="13.6640625" style="1" bestFit="1" customWidth="1"/>
    <col min="15" max="15" width="13.88671875" style="1" bestFit="1" customWidth="1"/>
    <col min="16" max="16" width="12.5546875" style="1" bestFit="1" customWidth="1"/>
    <col min="17" max="17" width="13.6640625" style="1" bestFit="1" customWidth="1"/>
    <col min="18" max="18" width="12.5546875" style="1" bestFit="1" customWidth="1"/>
    <col min="19" max="19" width="16.5546875" style="1" bestFit="1" customWidth="1"/>
    <col min="20" max="20" width="7.44140625" style="1" bestFit="1" customWidth="1"/>
    <col min="21" max="21" width="13.5546875" style="2" bestFit="1" customWidth="1"/>
    <col min="22" max="22" width="14.6640625" style="1" bestFit="1" customWidth="1"/>
    <col min="23" max="23" width="23.33203125" style="1" bestFit="1" customWidth="1"/>
    <col min="24" max="24" width="9.77734375" style="1" bestFit="1" customWidth="1"/>
    <col min="25" max="25" width="12.109375" style="1" bestFit="1" customWidth="1"/>
    <col min="26" max="26" width="72" style="1" bestFit="1" customWidth="1"/>
    <col min="27" max="27" width="14.88671875" style="1" bestFit="1" customWidth="1"/>
    <col min="28" max="28" width="17.88671875" style="1" bestFit="1" customWidth="1"/>
    <col min="29" max="55" width="9.109375" style="1"/>
    <col min="56" max="56" width="10.33203125" style="1" customWidth="1"/>
    <col min="57" max="16384" width="9.109375" style="1"/>
  </cols>
  <sheetData>
    <row r="1" spans="1:29" s="39" customFormat="1" ht="43.2" x14ac:dyDescent="0.3">
      <c r="A1" s="45" t="s">
        <v>782</v>
      </c>
      <c r="B1" s="42" t="s">
        <v>781</v>
      </c>
      <c r="C1" s="42" t="s">
        <v>780</v>
      </c>
      <c r="D1" s="42" t="s">
        <v>779</v>
      </c>
      <c r="E1" s="46" t="s">
        <v>778</v>
      </c>
      <c r="F1" s="45" t="s">
        <v>777</v>
      </c>
      <c r="G1" s="42" t="s">
        <v>776</v>
      </c>
      <c r="H1" s="42" t="s">
        <v>775</v>
      </c>
      <c r="I1" s="42" t="s">
        <v>774</v>
      </c>
      <c r="J1" s="46" t="s">
        <v>773</v>
      </c>
      <c r="K1" s="45" t="s">
        <v>772</v>
      </c>
      <c r="L1" s="45" t="s">
        <v>771</v>
      </c>
      <c r="M1" s="41" t="s">
        <v>770</v>
      </c>
      <c r="N1" s="41" t="s">
        <v>769</v>
      </c>
      <c r="O1" s="43" t="s">
        <v>783</v>
      </c>
      <c r="P1" s="43" t="s">
        <v>784</v>
      </c>
      <c r="Q1" s="41" t="s">
        <v>785</v>
      </c>
      <c r="R1" s="41" t="s">
        <v>786</v>
      </c>
      <c r="S1" s="41" t="s">
        <v>787</v>
      </c>
      <c r="T1" s="43" t="s">
        <v>768</v>
      </c>
      <c r="U1" s="44" t="s">
        <v>767</v>
      </c>
      <c r="V1" s="43" t="s">
        <v>766</v>
      </c>
      <c r="W1" s="43" t="s">
        <v>765</v>
      </c>
      <c r="X1" s="42" t="s">
        <v>764</v>
      </c>
      <c r="Y1" s="42" t="s">
        <v>763</v>
      </c>
      <c r="Z1" s="42" t="s">
        <v>762</v>
      </c>
      <c r="AA1" s="41" t="s">
        <v>761</v>
      </c>
      <c r="AB1" s="40" t="s">
        <v>760</v>
      </c>
    </row>
    <row r="2" spans="1:29" x14ac:dyDescent="0.3">
      <c r="A2" s="8" t="s">
        <v>11</v>
      </c>
      <c r="B2" s="8" t="s">
        <v>759</v>
      </c>
      <c r="C2" s="8" t="s">
        <v>758</v>
      </c>
      <c r="D2" s="8" t="s">
        <v>757</v>
      </c>
      <c r="E2" s="8" t="s">
        <v>22</v>
      </c>
      <c r="F2" s="8" t="s">
        <v>756</v>
      </c>
      <c r="G2" s="8" t="s">
        <v>755</v>
      </c>
      <c r="H2" s="8" t="s">
        <v>602</v>
      </c>
      <c r="I2" s="11">
        <v>46158</v>
      </c>
      <c r="J2" s="11" t="s">
        <v>22</v>
      </c>
      <c r="K2" s="8" t="s">
        <v>13</v>
      </c>
      <c r="L2" s="8" t="s">
        <v>13</v>
      </c>
      <c r="M2" s="9">
        <v>0</v>
      </c>
      <c r="N2" s="9">
        <v>10000</v>
      </c>
      <c r="O2" s="9">
        <v>10000</v>
      </c>
      <c r="P2" s="9">
        <f>O2-N2</f>
        <v>0</v>
      </c>
      <c r="Q2" s="9">
        <v>10000</v>
      </c>
      <c r="R2" s="9">
        <f>Q2-N2</f>
        <v>0</v>
      </c>
      <c r="S2" s="9">
        <v>0</v>
      </c>
      <c r="T2" s="8" t="s">
        <v>1</v>
      </c>
      <c r="U2" s="10">
        <v>46158</v>
      </c>
      <c r="V2" s="8" t="s">
        <v>0</v>
      </c>
      <c r="W2" s="8"/>
      <c r="X2" s="8"/>
      <c r="Y2" s="8"/>
      <c r="Z2" s="8"/>
      <c r="AA2" s="8" t="str">
        <f t="shared" ref="AA2:AA30" si="0">IF(N2,"Paid","Unpaid")</f>
        <v>Paid</v>
      </c>
      <c r="AB2" s="8"/>
    </row>
    <row r="3" spans="1:29" x14ac:dyDescent="0.3">
      <c r="A3" s="8" t="s">
        <v>11</v>
      </c>
      <c r="B3" s="8" t="s">
        <v>754</v>
      </c>
      <c r="C3" s="8" t="s">
        <v>753</v>
      </c>
      <c r="D3" s="8" t="s">
        <v>752</v>
      </c>
      <c r="E3" s="8" t="s">
        <v>155</v>
      </c>
      <c r="F3" s="8" t="s">
        <v>751</v>
      </c>
      <c r="G3" s="8" t="s">
        <v>802</v>
      </c>
      <c r="H3" s="8" t="s">
        <v>195</v>
      </c>
      <c r="I3" s="11">
        <v>46156</v>
      </c>
      <c r="J3" s="8" t="s">
        <v>155</v>
      </c>
      <c r="K3" s="8" t="s">
        <v>13</v>
      </c>
      <c r="L3" s="8" t="s">
        <v>12</v>
      </c>
      <c r="M3" s="9">
        <v>0</v>
      </c>
      <c r="N3" s="9">
        <v>8600</v>
      </c>
      <c r="O3" s="9">
        <v>9600</v>
      </c>
      <c r="P3" s="9">
        <f t="shared" ref="P3:P61" si="1">O3-N3</f>
        <v>1000</v>
      </c>
      <c r="Q3" s="9">
        <v>10000</v>
      </c>
      <c r="R3" s="9">
        <f t="shared" ref="R3:R61" si="2">Q3-N3</f>
        <v>1400</v>
      </c>
      <c r="S3" s="9">
        <v>0</v>
      </c>
      <c r="T3" s="8" t="s">
        <v>1</v>
      </c>
      <c r="U3" s="10">
        <v>46156</v>
      </c>
      <c r="V3" s="8" t="s">
        <v>0</v>
      </c>
      <c r="W3" s="8"/>
      <c r="X3" s="9"/>
      <c r="Y3" s="8"/>
      <c r="Z3" s="8"/>
      <c r="AA3" s="8" t="str">
        <f t="shared" si="0"/>
        <v>Paid</v>
      </c>
      <c r="AB3" s="8"/>
    </row>
    <row r="4" spans="1:29" x14ac:dyDescent="0.3">
      <c r="A4" s="8" t="s">
        <v>11</v>
      </c>
      <c r="B4" s="8" t="s">
        <v>750</v>
      </c>
      <c r="C4" s="8" t="s">
        <v>749</v>
      </c>
      <c r="D4" s="8" t="s">
        <v>748</v>
      </c>
      <c r="E4" s="8" t="s">
        <v>7</v>
      </c>
      <c r="F4" s="8" t="s">
        <v>747</v>
      </c>
      <c r="G4" s="8" t="s">
        <v>746</v>
      </c>
      <c r="H4" s="8" t="s">
        <v>745</v>
      </c>
      <c r="I4" s="11">
        <v>46158</v>
      </c>
      <c r="J4" s="29" t="s">
        <v>3</v>
      </c>
      <c r="K4" s="8" t="s">
        <v>21</v>
      </c>
      <c r="L4" s="9" t="s">
        <v>21</v>
      </c>
      <c r="M4" s="9">
        <v>0</v>
      </c>
      <c r="N4" s="9">
        <v>4076</v>
      </c>
      <c r="O4" s="9">
        <v>6776</v>
      </c>
      <c r="P4" s="9">
        <f t="shared" si="1"/>
        <v>2700</v>
      </c>
      <c r="Q4" s="9">
        <v>10000</v>
      </c>
      <c r="R4" s="9">
        <f t="shared" si="2"/>
        <v>5924</v>
      </c>
      <c r="S4" s="9">
        <v>0</v>
      </c>
      <c r="T4" s="8" t="s">
        <v>1</v>
      </c>
      <c r="U4" s="10">
        <v>46158</v>
      </c>
      <c r="V4" s="8" t="s">
        <v>0</v>
      </c>
      <c r="W4" s="8"/>
      <c r="X4" s="9"/>
      <c r="Y4" s="8"/>
      <c r="Z4" s="8"/>
      <c r="AA4" s="8" t="str">
        <f t="shared" si="0"/>
        <v>Paid</v>
      </c>
      <c r="AB4" s="8"/>
    </row>
    <row r="5" spans="1:29" x14ac:dyDescent="0.3">
      <c r="A5" s="8" t="s">
        <v>11</v>
      </c>
      <c r="B5" s="8" t="s">
        <v>744</v>
      </c>
      <c r="C5" s="8" t="s">
        <v>743</v>
      </c>
      <c r="D5" s="8" t="s">
        <v>742</v>
      </c>
      <c r="E5" s="8" t="s">
        <v>7</v>
      </c>
      <c r="F5" s="8" t="s">
        <v>741</v>
      </c>
      <c r="G5" s="8" t="s">
        <v>740</v>
      </c>
      <c r="H5" s="8" t="s">
        <v>739</v>
      </c>
      <c r="I5" s="11">
        <v>46158</v>
      </c>
      <c r="J5" s="36" t="s">
        <v>3</v>
      </c>
      <c r="K5" s="8" t="s">
        <v>87</v>
      </c>
      <c r="L5" s="8" t="s">
        <v>12</v>
      </c>
      <c r="M5" s="9">
        <v>0</v>
      </c>
      <c r="N5" s="9">
        <v>2223.9</v>
      </c>
      <c r="O5" s="9">
        <v>4223</v>
      </c>
      <c r="P5" s="9">
        <f t="shared" si="1"/>
        <v>1999.1</v>
      </c>
      <c r="Q5" s="9">
        <v>10000</v>
      </c>
      <c r="R5" s="9">
        <f t="shared" si="2"/>
        <v>7776.1</v>
      </c>
      <c r="S5" s="9">
        <v>0</v>
      </c>
      <c r="T5" s="8" t="s">
        <v>1</v>
      </c>
      <c r="U5" s="10">
        <v>46171</v>
      </c>
      <c r="V5" s="8" t="s">
        <v>0</v>
      </c>
      <c r="W5" s="8"/>
      <c r="X5" s="9"/>
      <c r="Y5" s="8"/>
      <c r="Z5" s="8"/>
      <c r="AA5" s="8" t="str">
        <f t="shared" si="0"/>
        <v>Paid</v>
      </c>
      <c r="AB5" s="8"/>
    </row>
    <row r="6" spans="1:29" x14ac:dyDescent="0.3">
      <c r="A6" s="8" t="s">
        <v>11</v>
      </c>
      <c r="B6" s="8" t="s">
        <v>738</v>
      </c>
      <c r="C6" s="8" t="s">
        <v>737</v>
      </c>
      <c r="D6" s="8" t="s">
        <v>736</v>
      </c>
      <c r="E6" s="8" t="s">
        <v>7</v>
      </c>
      <c r="F6" s="8" t="s">
        <v>735</v>
      </c>
      <c r="G6" s="8" t="s">
        <v>734</v>
      </c>
      <c r="H6" s="8" t="s">
        <v>733</v>
      </c>
      <c r="I6" s="11">
        <v>46159</v>
      </c>
      <c r="J6" s="36" t="s">
        <v>14</v>
      </c>
      <c r="K6" s="8" t="s">
        <v>87</v>
      </c>
      <c r="L6" s="9" t="s">
        <v>87</v>
      </c>
      <c r="M6" s="9">
        <v>0</v>
      </c>
      <c r="N6" s="9">
        <v>8491.25</v>
      </c>
      <c r="O6" s="9">
        <v>9491</v>
      </c>
      <c r="P6" s="9">
        <f t="shared" si="1"/>
        <v>999.75</v>
      </c>
      <c r="Q6" s="9">
        <v>10000</v>
      </c>
      <c r="R6" s="9">
        <f t="shared" si="2"/>
        <v>1508.75</v>
      </c>
      <c r="S6" s="9">
        <v>0</v>
      </c>
      <c r="T6" s="8" t="s">
        <v>1</v>
      </c>
      <c r="U6" s="10">
        <v>46159</v>
      </c>
      <c r="V6" s="8" t="s">
        <v>0</v>
      </c>
      <c r="W6" s="8"/>
      <c r="X6" s="9"/>
      <c r="Y6" s="8"/>
      <c r="Z6" s="8"/>
      <c r="AA6" s="8" t="str">
        <f t="shared" si="0"/>
        <v>Paid</v>
      </c>
      <c r="AB6" s="8"/>
    </row>
    <row r="7" spans="1:29" x14ac:dyDescent="0.3">
      <c r="A7" s="8" t="s">
        <v>11</v>
      </c>
      <c r="B7" s="24" t="s">
        <v>732</v>
      </c>
      <c r="C7" s="24" t="s">
        <v>731</v>
      </c>
      <c r="D7" s="8" t="s">
        <v>730</v>
      </c>
      <c r="E7" s="8" t="s">
        <v>7</v>
      </c>
      <c r="F7" s="8" t="s">
        <v>729</v>
      </c>
      <c r="G7" s="8" t="s">
        <v>728</v>
      </c>
      <c r="H7" s="8" t="s">
        <v>727</v>
      </c>
      <c r="I7" s="11">
        <v>46158</v>
      </c>
      <c r="J7" s="8" t="s">
        <v>14</v>
      </c>
      <c r="K7" s="8" t="s">
        <v>87</v>
      </c>
      <c r="L7" s="8" t="s">
        <v>94</v>
      </c>
      <c r="M7" s="9">
        <v>0</v>
      </c>
      <c r="N7" s="9">
        <v>9665</v>
      </c>
      <c r="O7" s="9">
        <v>9665</v>
      </c>
      <c r="P7" s="9">
        <f t="shared" si="1"/>
        <v>0</v>
      </c>
      <c r="Q7" s="9">
        <v>10000</v>
      </c>
      <c r="R7" s="9">
        <f t="shared" si="2"/>
        <v>335</v>
      </c>
      <c r="S7" s="9">
        <v>0</v>
      </c>
      <c r="T7" s="8" t="s">
        <v>1</v>
      </c>
      <c r="U7" s="10">
        <v>46160</v>
      </c>
      <c r="V7" s="8" t="s">
        <v>0</v>
      </c>
      <c r="W7" s="8"/>
      <c r="X7" s="9"/>
      <c r="Y7" s="8"/>
      <c r="Z7" s="8"/>
      <c r="AA7" s="8" t="str">
        <f t="shared" si="0"/>
        <v>Paid</v>
      </c>
      <c r="AB7" s="8"/>
    </row>
    <row r="8" spans="1:29" x14ac:dyDescent="0.3">
      <c r="A8" s="8" t="s">
        <v>11</v>
      </c>
      <c r="B8" s="8" t="s">
        <v>726</v>
      </c>
      <c r="C8" s="8" t="s">
        <v>725</v>
      </c>
      <c r="D8" s="8" t="s">
        <v>724</v>
      </c>
      <c r="E8" s="8" t="s">
        <v>7</v>
      </c>
      <c r="F8" s="8" t="s">
        <v>723</v>
      </c>
      <c r="G8" s="8" t="s">
        <v>792</v>
      </c>
      <c r="H8" s="8" t="s">
        <v>53</v>
      </c>
      <c r="I8" s="11">
        <v>46168</v>
      </c>
      <c r="J8" s="11" t="s">
        <v>722</v>
      </c>
      <c r="K8" s="8" t="s">
        <v>2</v>
      </c>
      <c r="L8" s="8" t="s">
        <v>12</v>
      </c>
      <c r="M8" s="9">
        <v>0</v>
      </c>
      <c r="N8" s="9">
        <v>5154</v>
      </c>
      <c r="O8" s="9">
        <v>5154</v>
      </c>
      <c r="P8" s="9">
        <f t="shared" si="1"/>
        <v>0</v>
      </c>
      <c r="Q8" s="9">
        <v>10000</v>
      </c>
      <c r="R8" s="9">
        <f t="shared" si="2"/>
        <v>4846</v>
      </c>
      <c r="S8" s="9">
        <v>0</v>
      </c>
      <c r="T8" s="8" t="s">
        <v>1</v>
      </c>
      <c r="U8" s="10">
        <v>46171</v>
      </c>
      <c r="V8" s="8" t="s">
        <v>0</v>
      </c>
      <c r="W8" s="8"/>
      <c r="X8" s="9"/>
      <c r="Y8" s="8"/>
      <c r="Z8" s="8"/>
      <c r="AA8" s="8" t="str">
        <f t="shared" si="0"/>
        <v>Paid</v>
      </c>
      <c r="AB8" s="8"/>
    </row>
    <row r="9" spans="1:29" x14ac:dyDescent="0.3">
      <c r="A9" s="8" t="s">
        <v>11</v>
      </c>
      <c r="B9" s="8" t="s">
        <v>721</v>
      </c>
      <c r="C9" s="8" t="s">
        <v>720</v>
      </c>
      <c r="D9" s="8" t="s">
        <v>719</v>
      </c>
      <c r="E9" s="8" t="s">
        <v>7</v>
      </c>
      <c r="F9" s="8" t="s">
        <v>379</v>
      </c>
      <c r="G9" s="8" t="s">
        <v>718</v>
      </c>
      <c r="H9" s="8" t="s">
        <v>717</v>
      </c>
      <c r="I9" s="11">
        <v>46159</v>
      </c>
      <c r="J9" s="36" t="s">
        <v>3</v>
      </c>
      <c r="K9" s="8" t="s">
        <v>87</v>
      </c>
      <c r="L9" s="8" t="s">
        <v>12</v>
      </c>
      <c r="M9" s="9">
        <v>0</v>
      </c>
      <c r="N9" s="9">
        <v>3938</v>
      </c>
      <c r="O9" s="9">
        <v>5938</v>
      </c>
      <c r="P9" s="9">
        <f t="shared" si="1"/>
        <v>2000</v>
      </c>
      <c r="Q9" s="9">
        <v>10000</v>
      </c>
      <c r="R9" s="9">
        <f t="shared" si="2"/>
        <v>6062</v>
      </c>
      <c r="S9" s="9">
        <v>0</v>
      </c>
      <c r="T9" s="8" t="s">
        <v>1</v>
      </c>
      <c r="U9" s="10">
        <v>46159</v>
      </c>
      <c r="V9" s="8" t="s">
        <v>0</v>
      </c>
      <c r="W9" s="8"/>
      <c r="X9" s="9"/>
      <c r="Y9" s="8"/>
      <c r="Z9" s="8"/>
      <c r="AA9" s="8" t="str">
        <f t="shared" si="0"/>
        <v>Paid</v>
      </c>
      <c r="AB9" s="8"/>
    </row>
    <row r="10" spans="1:29" ht="28.8" x14ac:dyDescent="0.3">
      <c r="A10" s="8" t="s">
        <v>11</v>
      </c>
      <c r="B10" s="8" t="s">
        <v>716</v>
      </c>
      <c r="C10" s="8" t="s">
        <v>715</v>
      </c>
      <c r="D10" s="8" t="s">
        <v>714</v>
      </c>
      <c r="E10" s="8" t="s">
        <v>155</v>
      </c>
      <c r="F10" s="8" t="s">
        <v>503</v>
      </c>
      <c r="G10" s="8" t="s">
        <v>793</v>
      </c>
      <c r="H10" s="8" t="s">
        <v>686</v>
      </c>
      <c r="I10" s="11">
        <v>46159</v>
      </c>
      <c r="J10" s="8" t="s">
        <v>155</v>
      </c>
      <c r="K10" s="8" t="s">
        <v>13</v>
      </c>
      <c r="L10" s="8" t="s">
        <v>12</v>
      </c>
      <c r="M10" s="9">
        <v>0</v>
      </c>
      <c r="N10" s="9">
        <v>8350</v>
      </c>
      <c r="O10" s="9">
        <v>9350</v>
      </c>
      <c r="P10" s="9">
        <f t="shared" si="1"/>
        <v>1000</v>
      </c>
      <c r="Q10" s="9">
        <v>10000</v>
      </c>
      <c r="R10" s="9">
        <f t="shared" si="2"/>
        <v>1650</v>
      </c>
      <c r="S10" s="9">
        <v>0</v>
      </c>
      <c r="T10" s="8" t="s">
        <v>1</v>
      </c>
      <c r="U10" s="10">
        <v>46159</v>
      </c>
      <c r="V10" s="8" t="s">
        <v>0</v>
      </c>
      <c r="W10" s="8"/>
      <c r="X10" s="9"/>
      <c r="Y10" s="8"/>
      <c r="Z10" s="8"/>
      <c r="AA10" s="8" t="str">
        <f t="shared" si="0"/>
        <v>Paid</v>
      </c>
      <c r="AB10" s="8"/>
    </row>
    <row r="11" spans="1:29" x14ac:dyDescent="0.3">
      <c r="A11" s="8" t="s">
        <v>11</v>
      </c>
      <c r="B11" s="8" t="s">
        <v>713</v>
      </c>
      <c r="C11" s="8" t="s">
        <v>712</v>
      </c>
      <c r="D11" s="8" t="s">
        <v>711</v>
      </c>
      <c r="E11" s="8" t="s">
        <v>22</v>
      </c>
      <c r="F11" s="8" t="s">
        <v>710</v>
      </c>
      <c r="G11" s="8" t="s">
        <v>709</v>
      </c>
      <c r="H11" s="8" t="s">
        <v>708</v>
      </c>
      <c r="I11" s="11">
        <v>46161</v>
      </c>
      <c r="J11" s="11" t="s">
        <v>22</v>
      </c>
      <c r="K11" s="8" t="s">
        <v>87</v>
      </c>
      <c r="L11" s="8" t="s">
        <v>12</v>
      </c>
      <c r="M11" s="9">
        <v>0</v>
      </c>
      <c r="N11" s="9">
        <v>8280</v>
      </c>
      <c r="O11" s="9">
        <v>9485</v>
      </c>
      <c r="P11" s="9">
        <f t="shared" si="1"/>
        <v>1205</v>
      </c>
      <c r="Q11" s="9">
        <v>10000</v>
      </c>
      <c r="R11" s="9">
        <f t="shared" si="2"/>
        <v>1720</v>
      </c>
      <c r="S11" s="9">
        <v>0</v>
      </c>
      <c r="T11" s="8" t="s">
        <v>1</v>
      </c>
      <c r="U11" s="10">
        <v>46160</v>
      </c>
      <c r="V11" s="8" t="s">
        <v>0</v>
      </c>
      <c r="W11" s="8"/>
      <c r="X11" s="9"/>
      <c r="Y11" s="8"/>
      <c r="Z11" s="8"/>
      <c r="AA11" s="8" t="str">
        <f t="shared" si="0"/>
        <v>Paid</v>
      </c>
      <c r="AB11" s="8"/>
    </row>
    <row r="12" spans="1:29" x14ac:dyDescent="0.3">
      <c r="A12" s="8" t="s">
        <v>11</v>
      </c>
      <c r="B12" s="8" t="s">
        <v>707</v>
      </c>
      <c r="C12" s="8" t="s">
        <v>706</v>
      </c>
      <c r="D12" s="8" t="s">
        <v>705</v>
      </c>
      <c r="E12" s="8" t="s">
        <v>7</v>
      </c>
      <c r="F12" s="8" t="s">
        <v>704</v>
      </c>
      <c r="G12" s="8" t="s">
        <v>703</v>
      </c>
      <c r="H12" s="8" t="s">
        <v>702</v>
      </c>
      <c r="I12" s="11">
        <v>46162</v>
      </c>
      <c r="J12" s="29" t="s">
        <v>3</v>
      </c>
      <c r="K12" s="8" t="s">
        <v>87</v>
      </c>
      <c r="L12" s="8" t="s">
        <v>94</v>
      </c>
      <c r="M12" s="9">
        <v>0</v>
      </c>
      <c r="N12" s="34">
        <v>5754</v>
      </c>
      <c r="O12" s="9">
        <v>7754</v>
      </c>
      <c r="P12" s="9">
        <f t="shared" si="1"/>
        <v>2000</v>
      </c>
      <c r="Q12" s="9">
        <v>10000</v>
      </c>
      <c r="R12" s="9">
        <f t="shared" si="2"/>
        <v>4246</v>
      </c>
      <c r="S12" s="9">
        <v>0</v>
      </c>
      <c r="T12" s="8" t="s">
        <v>1</v>
      </c>
      <c r="U12" s="28">
        <v>46176</v>
      </c>
      <c r="V12" s="8" t="s">
        <v>0</v>
      </c>
      <c r="W12" s="8"/>
      <c r="X12" s="9"/>
      <c r="Y12" s="8"/>
      <c r="Z12" s="8"/>
      <c r="AA12" s="8" t="str">
        <f t="shared" si="0"/>
        <v>Paid</v>
      </c>
      <c r="AB12" s="8"/>
    </row>
    <row r="13" spans="1:29" s="21" customFormat="1" x14ac:dyDescent="0.3">
      <c r="A13" s="8" t="s">
        <v>11</v>
      </c>
      <c r="B13" s="8" t="s">
        <v>701</v>
      </c>
      <c r="C13" s="8" t="s">
        <v>700</v>
      </c>
      <c r="D13" s="8" t="s">
        <v>699</v>
      </c>
      <c r="E13" s="8" t="s">
        <v>7</v>
      </c>
      <c r="F13" s="8" t="s">
        <v>513</v>
      </c>
      <c r="G13" s="8" t="s">
        <v>698</v>
      </c>
      <c r="H13" s="8" t="s">
        <v>184</v>
      </c>
      <c r="I13" s="11">
        <v>46162</v>
      </c>
      <c r="J13" s="8" t="s">
        <v>14</v>
      </c>
      <c r="K13" s="8" t="s">
        <v>87</v>
      </c>
      <c r="L13" s="8" t="s">
        <v>94</v>
      </c>
      <c r="M13" s="9">
        <v>11680</v>
      </c>
      <c r="N13" s="34">
        <f>8566+75</f>
        <v>8641</v>
      </c>
      <c r="O13" s="9">
        <v>10000</v>
      </c>
      <c r="P13" s="9">
        <f t="shared" si="1"/>
        <v>1359</v>
      </c>
      <c r="Q13" s="9">
        <v>10000</v>
      </c>
      <c r="R13" s="9">
        <f t="shared" si="2"/>
        <v>1359</v>
      </c>
      <c r="S13" s="9">
        <v>0</v>
      </c>
      <c r="T13" s="8" t="s">
        <v>1</v>
      </c>
      <c r="U13" s="28">
        <v>46176</v>
      </c>
      <c r="V13" s="8" t="s">
        <v>697</v>
      </c>
      <c r="W13" s="8"/>
      <c r="X13" s="9"/>
      <c r="Y13" s="8"/>
      <c r="Z13" s="8"/>
      <c r="AA13" s="8" t="str">
        <f t="shared" si="0"/>
        <v>Paid</v>
      </c>
      <c r="AB13" s="8"/>
      <c r="AC13" s="1"/>
    </row>
    <row r="14" spans="1:29" x14ac:dyDescent="0.3">
      <c r="A14" s="8" t="s">
        <v>11</v>
      </c>
      <c r="B14" s="8" t="s">
        <v>696</v>
      </c>
      <c r="C14" s="8" t="s">
        <v>695</v>
      </c>
      <c r="D14" s="8" t="s">
        <v>694</v>
      </c>
      <c r="E14" s="8" t="s">
        <v>22</v>
      </c>
      <c r="F14" s="8" t="s">
        <v>693</v>
      </c>
      <c r="G14" s="8" t="s">
        <v>692</v>
      </c>
      <c r="H14" s="8" t="s">
        <v>686</v>
      </c>
      <c r="I14" s="11">
        <v>46162</v>
      </c>
      <c r="J14" s="11" t="s">
        <v>22</v>
      </c>
      <c r="K14" s="8" t="s">
        <v>2</v>
      </c>
      <c r="L14" s="8" t="s">
        <v>29</v>
      </c>
      <c r="M14" s="9">
        <v>0</v>
      </c>
      <c r="N14" s="9">
        <v>7000</v>
      </c>
      <c r="O14" s="9">
        <v>8000</v>
      </c>
      <c r="P14" s="9">
        <f t="shared" si="1"/>
        <v>1000</v>
      </c>
      <c r="Q14" s="9">
        <v>10000</v>
      </c>
      <c r="R14" s="9">
        <f t="shared" si="2"/>
        <v>3000</v>
      </c>
      <c r="S14" s="9">
        <v>0</v>
      </c>
      <c r="T14" s="8" t="s">
        <v>1</v>
      </c>
      <c r="U14" s="28">
        <v>46162</v>
      </c>
      <c r="V14" s="8" t="s">
        <v>0</v>
      </c>
      <c r="W14" s="8"/>
      <c r="X14" s="9"/>
      <c r="Y14" s="8"/>
      <c r="Z14" s="8"/>
      <c r="AA14" s="8" t="str">
        <f t="shared" si="0"/>
        <v>Paid</v>
      </c>
      <c r="AB14" s="8"/>
    </row>
    <row r="15" spans="1:29" x14ac:dyDescent="0.3">
      <c r="A15" s="8" t="s">
        <v>11</v>
      </c>
      <c r="B15" s="24" t="s">
        <v>691</v>
      </c>
      <c r="C15" s="24" t="s">
        <v>690</v>
      </c>
      <c r="D15" s="8" t="s">
        <v>689</v>
      </c>
      <c r="E15" s="8" t="s">
        <v>7</v>
      </c>
      <c r="F15" s="8" t="s">
        <v>688</v>
      </c>
      <c r="G15" s="8" t="s">
        <v>687</v>
      </c>
      <c r="H15" s="8" t="s">
        <v>686</v>
      </c>
      <c r="I15" s="11">
        <v>46162</v>
      </c>
      <c r="J15" s="10" t="s">
        <v>14</v>
      </c>
      <c r="K15" s="8" t="s">
        <v>87</v>
      </c>
      <c r="L15" s="8" t="s">
        <v>29</v>
      </c>
      <c r="M15" s="9">
        <v>0</v>
      </c>
      <c r="N15" s="9">
        <v>4336.5</v>
      </c>
      <c r="O15" s="9">
        <v>6336</v>
      </c>
      <c r="P15" s="9">
        <f t="shared" si="1"/>
        <v>1999.5</v>
      </c>
      <c r="Q15" s="9">
        <v>10000</v>
      </c>
      <c r="R15" s="9">
        <f t="shared" si="2"/>
        <v>5663.5</v>
      </c>
      <c r="S15" s="9">
        <v>0</v>
      </c>
      <c r="T15" s="8" t="s">
        <v>1</v>
      </c>
      <c r="U15" s="28">
        <v>46162</v>
      </c>
      <c r="V15" s="8" t="s">
        <v>0</v>
      </c>
      <c r="W15" s="8"/>
      <c r="X15" s="9"/>
      <c r="Y15" s="8"/>
      <c r="Z15" s="8"/>
      <c r="AA15" s="8" t="str">
        <f t="shared" si="0"/>
        <v>Paid</v>
      </c>
      <c r="AB15" s="8"/>
    </row>
    <row r="16" spans="1:29" ht="28.8" x14ac:dyDescent="0.3">
      <c r="A16" s="8" t="s">
        <v>11</v>
      </c>
      <c r="B16" s="8" t="s">
        <v>680</v>
      </c>
      <c r="C16" s="8" t="s">
        <v>679</v>
      </c>
      <c r="D16" s="8" t="s">
        <v>678</v>
      </c>
      <c r="E16" s="8" t="s">
        <v>7</v>
      </c>
      <c r="F16" s="8" t="s">
        <v>677</v>
      </c>
      <c r="G16" s="8" t="s">
        <v>676</v>
      </c>
      <c r="H16" s="8" t="s">
        <v>523</v>
      </c>
      <c r="I16" s="11">
        <v>46162</v>
      </c>
      <c r="J16" s="10" t="s">
        <v>14</v>
      </c>
      <c r="K16" s="8" t="s">
        <v>87</v>
      </c>
      <c r="L16" s="8" t="s">
        <v>12</v>
      </c>
      <c r="M16" s="9">
        <v>0</v>
      </c>
      <c r="N16" s="9">
        <f>3000+3088</f>
        <v>6088</v>
      </c>
      <c r="O16" s="9">
        <v>8088</v>
      </c>
      <c r="P16" s="9">
        <f t="shared" si="1"/>
        <v>2000</v>
      </c>
      <c r="Q16" s="9">
        <v>10000</v>
      </c>
      <c r="R16" s="9">
        <f t="shared" si="2"/>
        <v>3912</v>
      </c>
      <c r="S16" s="9">
        <v>0</v>
      </c>
      <c r="T16" s="8" t="s">
        <v>1</v>
      </c>
      <c r="U16" s="28">
        <v>46162</v>
      </c>
      <c r="V16" s="8" t="s">
        <v>0</v>
      </c>
      <c r="W16" s="8"/>
      <c r="X16" s="9"/>
      <c r="Y16" s="8"/>
      <c r="Z16" s="8"/>
      <c r="AA16" s="8" t="str">
        <f t="shared" si="0"/>
        <v>Paid</v>
      </c>
      <c r="AB16" s="8"/>
    </row>
    <row r="17" spans="1:29" x14ac:dyDescent="0.3">
      <c r="A17" s="8" t="s">
        <v>11</v>
      </c>
      <c r="B17" s="8" t="s">
        <v>685</v>
      </c>
      <c r="C17" s="8" t="s">
        <v>684</v>
      </c>
      <c r="D17" s="8" t="s">
        <v>683</v>
      </c>
      <c r="E17" s="8" t="s">
        <v>7</v>
      </c>
      <c r="F17" s="8" t="s">
        <v>682</v>
      </c>
      <c r="G17" s="8" t="s">
        <v>681</v>
      </c>
      <c r="H17" s="8" t="s">
        <v>23</v>
      </c>
      <c r="I17" s="11">
        <v>46162</v>
      </c>
      <c r="J17" s="10" t="s">
        <v>14</v>
      </c>
      <c r="K17" s="8" t="s">
        <v>21</v>
      </c>
      <c r="L17" s="9" t="s">
        <v>21</v>
      </c>
      <c r="M17" s="9">
        <v>5546</v>
      </c>
      <c r="N17" s="9">
        <v>4314</v>
      </c>
      <c r="O17" s="9">
        <v>7714</v>
      </c>
      <c r="P17" s="9">
        <f t="shared" si="1"/>
        <v>3400</v>
      </c>
      <c r="Q17" s="9">
        <v>10000</v>
      </c>
      <c r="R17" s="9">
        <f t="shared" si="2"/>
        <v>5686</v>
      </c>
      <c r="S17" s="9">
        <v>0</v>
      </c>
      <c r="T17" s="8" t="s">
        <v>1</v>
      </c>
      <c r="U17" s="28">
        <v>46164</v>
      </c>
      <c r="V17" s="8" t="s">
        <v>0</v>
      </c>
      <c r="W17" s="8"/>
      <c r="X17" s="9"/>
      <c r="Y17" s="8"/>
      <c r="Z17" s="8"/>
      <c r="AA17" s="8" t="str">
        <f t="shared" si="0"/>
        <v>Paid</v>
      </c>
      <c r="AB17" s="8"/>
    </row>
    <row r="18" spans="1:29" x14ac:dyDescent="0.3">
      <c r="A18" s="8" t="s">
        <v>11</v>
      </c>
      <c r="B18" s="8" t="s">
        <v>675</v>
      </c>
      <c r="C18" s="8" t="s">
        <v>674</v>
      </c>
      <c r="D18" s="8" t="s">
        <v>673</v>
      </c>
      <c r="E18" s="8" t="s">
        <v>7</v>
      </c>
      <c r="F18" s="8" t="s">
        <v>672</v>
      </c>
      <c r="G18" s="8" t="s">
        <v>671</v>
      </c>
      <c r="H18" s="8" t="s">
        <v>23</v>
      </c>
      <c r="I18" s="11">
        <v>46165</v>
      </c>
      <c r="J18" s="11" t="s">
        <v>14</v>
      </c>
      <c r="K18" s="8" t="s">
        <v>13</v>
      </c>
      <c r="L18" s="8" t="s">
        <v>29</v>
      </c>
      <c r="M18" s="9">
        <v>0</v>
      </c>
      <c r="N18" s="9">
        <v>4580.59</v>
      </c>
      <c r="O18" s="9">
        <v>5580</v>
      </c>
      <c r="P18" s="9">
        <f t="shared" si="1"/>
        <v>999.40999999999985</v>
      </c>
      <c r="Q18" s="9">
        <v>10000</v>
      </c>
      <c r="R18" s="9">
        <f t="shared" si="2"/>
        <v>5419.41</v>
      </c>
      <c r="S18" s="9">
        <v>0</v>
      </c>
      <c r="T18" s="8" t="s">
        <v>1</v>
      </c>
      <c r="U18" s="28">
        <v>46163</v>
      </c>
      <c r="V18" s="8" t="s">
        <v>0</v>
      </c>
      <c r="W18" s="8"/>
      <c r="X18" s="9"/>
      <c r="Y18" s="8"/>
      <c r="Z18" s="8"/>
      <c r="AA18" s="8" t="str">
        <f t="shared" si="0"/>
        <v>Paid</v>
      </c>
      <c r="AB18" s="8"/>
    </row>
    <row r="19" spans="1:29" x14ac:dyDescent="0.3">
      <c r="A19" s="8" t="s">
        <v>11</v>
      </c>
      <c r="B19" s="8" t="s">
        <v>670</v>
      </c>
      <c r="C19" s="8" t="s">
        <v>669</v>
      </c>
      <c r="D19" s="8" t="s">
        <v>668</v>
      </c>
      <c r="E19" s="8" t="s">
        <v>7</v>
      </c>
      <c r="F19" s="8" t="s">
        <v>667</v>
      </c>
      <c r="G19" s="8" t="s">
        <v>790</v>
      </c>
      <c r="H19" s="8" t="s">
        <v>666</v>
      </c>
      <c r="I19" s="11">
        <v>46166</v>
      </c>
      <c r="J19" s="10" t="s">
        <v>14</v>
      </c>
      <c r="K19" s="8" t="s">
        <v>87</v>
      </c>
      <c r="L19" s="8" t="s">
        <v>29</v>
      </c>
      <c r="M19" s="9">
        <v>0</v>
      </c>
      <c r="N19" s="9">
        <v>9894</v>
      </c>
      <c r="O19" s="9">
        <v>9894</v>
      </c>
      <c r="P19" s="9">
        <f t="shared" si="1"/>
        <v>0</v>
      </c>
      <c r="Q19" s="9">
        <v>10000</v>
      </c>
      <c r="R19" s="9">
        <f t="shared" si="2"/>
        <v>106</v>
      </c>
      <c r="S19" s="9">
        <v>0</v>
      </c>
      <c r="T19" s="8" t="s">
        <v>1</v>
      </c>
      <c r="U19" s="28">
        <v>46163</v>
      </c>
      <c r="V19" s="8" t="s">
        <v>0</v>
      </c>
      <c r="W19" s="8"/>
      <c r="X19" s="9"/>
      <c r="Y19" s="8"/>
      <c r="Z19" s="8"/>
      <c r="AA19" s="8" t="str">
        <f t="shared" si="0"/>
        <v>Paid</v>
      </c>
      <c r="AB19" s="8"/>
    </row>
    <row r="20" spans="1:29" x14ac:dyDescent="0.3">
      <c r="A20" s="8" t="s">
        <v>11</v>
      </c>
      <c r="B20" s="8" t="s">
        <v>661</v>
      </c>
      <c r="C20" s="8" t="s">
        <v>660</v>
      </c>
      <c r="D20" s="8" t="s">
        <v>659</v>
      </c>
      <c r="E20" s="8" t="s">
        <v>7</v>
      </c>
      <c r="F20" s="8" t="s">
        <v>658</v>
      </c>
      <c r="G20" s="8" t="s">
        <v>394</v>
      </c>
      <c r="H20" s="8" t="s">
        <v>804</v>
      </c>
      <c r="I20" s="11">
        <v>46166</v>
      </c>
      <c r="J20" s="10" t="s">
        <v>14</v>
      </c>
      <c r="K20" s="8" t="s">
        <v>21</v>
      </c>
      <c r="L20" s="9" t="s">
        <v>21</v>
      </c>
      <c r="M20" s="9">
        <v>0</v>
      </c>
      <c r="N20" s="9">
        <f>6750+6053</f>
        <v>12803</v>
      </c>
      <c r="O20" s="9">
        <v>10000</v>
      </c>
      <c r="P20" s="9">
        <f t="shared" si="1"/>
        <v>-2803</v>
      </c>
      <c r="Q20" s="9">
        <v>10000</v>
      </c>
      <c r="R20" s="9">
        <f t="shared" si="2"/>
        <v>-2803</v>
      </c>
      <c r="S20" s="9">
        <v>0</v>
      </c>
      <c r="T20" s="8" t="s">
        <v>1</v>
      </c>
      <c r="U20" s="28">
        <v>46164</v>
      </c>
      <c r="V20" s="8" t="s">
        <v>0</v>
      </c>
      <c r="W20" s="8"/>
      <c r="X20" s="9"/>
      <c r="Y20" s="8"/>
      <c r="Z20" s="8"/>
      <c r="AA20" s="8" t="str">
        <f t="shared" si="0"/>
        <v>Paid</v>
      </c>
      <c r="AB20" s="8"/>
    </row>
    <row r="21" spans="1:29" x14ac:dyDescent="0.3">
      <c r="A21" s="8" t="s">
        <v>11</v>
      </c>
      <c r="B21" s="8" t="s">
        <v>665</v>
      </c>
      <c r="C21" s="8" t="s">
        <v>664</v>
      </c>
      <c r="D21" s="8" t="s">
        <v>663</v>
      </c>
      <c r="E21" s="8" t="s">
        <v>155</v>
      </c>
      <c r="F21" s="8" t="s">
        <v>49</v>
      </c>
      <c r="G21" s="8" t="s">
        <v>662</v>
      </c>
      <c r="H21" s="8" t="s">
        <v>23</v>
      </c>
      <c r="I21" s="11">
        <v>46166</v>
      </c>
      <c r="J21" s="8" t="s">
        <v>155</v>
      </c>
      <c r="K21" s="8" t="s">
        <v>21</v>
      </c>
      <c r="L21" s="8" t="s">
        <v>29</v>
      </c>
      <c r="M21" s="9">
        <v>0</v>
      </c>
      <c r="N21" s="9">
        <v>10000</v>
      </c>
      <c r="O21" s="9">
        <v>10000</v>
      </c>
      <c r="P21" s="9">
        <f t="shared" si="1"/>
        <v>0</v>
      </c>
      <c r="Q21" s="9">
        <v>10000</v>
      </c>
      <c r="R21" s="9">
        <f t="shared" si="2"/>
        <v>0</v>
      </c>
      <c r="S21" s="9">
        <v>0</v>
      </c>
      <c r="T21" s="8" t="s">
        <v>1</v>
      </c>
      <c r="U21" s="28">
        <v>46164</v>
      </c>
      <c r="V21" s="8" t="s">
        <v>0</v>
      </c>
      <c r="W21" s="8"/>
      <c r="X21" s="9"/>
      <c r="Y21" s="8"/>
      <c r="Z21" s="8"/>
      <c r="AA21" s="8" t="str">
        <f t="shared" si="0"/>
        <v>Paid</v>
      </c>
      <c r="AB21" s="8"/>
    </row>
    <row r="22" spans="1:29" x14ac:dyDescent="0.3">
      <c r="A22" s="8" t="s">
        <v>343</v>
      </c>
      <c r="B22" s="24" t="s">
        <v>657</v>
      </c>
      <c r="C22" s="24" t="s">
        <v>656</v>
      </c>
      <c r="D22" s="24" t="s">
        <v>655</v>
      </c>
      <c r="E22" s="8" t="s">
        <v>7</v>
      </c>
      <c r="F22" s="8" t="s">
        <v>654</v>
      </c>
      <c r="G22" s="8" t="s">
        <v>653</v>
      </c>
      <c r="H22" s="8" t="s">
        <v>652</v>
      </c>
      <c r="I22" s="11">
        <v>46166</v>
      </c>
      <c r="J22" s="8" t="s">
        <v>14</v>
      </c>
      <c r="K22" s="8" t="s">
        <v>13</v>
      </c>
      <c r="L22" s="8" t="s">
        <v>13</v>
      </c>
      <c r="M22" s="9">
        <v>0</v>
      </c>
      <c r="N22" s="34">
        <f>5000+12000</f>
        <v>17000</v>
      </c>
      <c r="O22" s="9">
        <v>17000</v>
      </c>
      <c r="P22" s="9">
        <f t="shared" si="1"/>
        <v>0</v>
      </c>
      <c r="Q22" s="34">
        <v>22000</v>
      </c>
      <c r="R22" s="9">
        <f t="shared" si="2"/>
        <v>5000</v>
      </c>
      <c r="S22" s="9">
        <v>0</v>
      </c>
      <c r="T22" s="8" t="s">
        <v>1</v>
      </c>
      <c r="U22" s="28">
        <v>46176</v>
      </c>
      <c r="V22" s="8" t="s">
        <v>0</v>
      </c>
      <c r="W22" s="8"/>
      <c r="X22" s="9"/>
      <c r="Y22" s="8"/>
      <c r="Z22" s="8"/>
      <c r="AA22" s="8" t="str">
        <f t="shared" si="0"/>
        <v>Paid</v>
      </c>
      <c r="AB22" s="8"/>
    </row>
    <row r="23" spans="1:29" s="21" customFormat="1" x14ac:dyDescent="0.3">
      <c r="A23" s="29" t="s">
        <v>11</v>
      </c>
      <c r="B23" s="8" t="s">
        <v>651</v>
      </c>
      <c r="C23" s="8" t="s">
        <v>650</v>
      </c>
      <c r="D23" s="8" t="s">
        <v>649</v>
      </c>
      <c r="E23" s="8" t="s">
        <v>7</v>
      </c>
      <c r="F23" s="8" t="s">
        <v>558</v>
      </c>
      <c r="G23" s="8" t="s">
        <v>648</v>
      </c>
      <c r="H23" s="8" t="s">
        <v>602</v>
      </c>
      <c r="I23" s="11">
        <v>46164</v>
      </c>
      <c r="J23" s="10" t="s">
        <v>3</v>
      </c>
      <c r="K23" s="8" t="s">
        <v>87</v>
      </c>
      <c r="L23" s="9" t="s">
        <v>87</v>
      </c>
      <c r="M23" s="9">
        <v>0</v>
      </c>
      <c r="N23" s="9">
        <v>3301</v>
      </c>
      <c r="O23" s="9">
        <v>5801</v>
      </c>
      <c r="P23" s="9">
        <f t="shared" si="1"/>
        <v>2500</v>
      </c>
      <c r="Q23" s="9">
        <v>10000</v>
      </c>
      <c r="R23" s="9">
        <f t="shared" si="2"/>
        <v>6699</v>
      </c>
      <c r="S23" s="9">
        <v>0</v>
      </c>
      <c r="T23" s="8" t="s">
        <v>1</v>
      </c>
      <c r="U23" s="28">
        <v>46164</v>
      </c>
      <c r="V23" s="8" t="s">
        <v>0</v>
      </c>
      <c r="W23" s="8"/>
      <c r="X23" s="9"/>
      <c r="Y23" s="8"/>
      <c r="Z23" s="8"/>
      <c r="AA23" s="8" t="str">
        <f t="shared" si="0"/>
        <v>Paid</v>
      </c>
      <c r="AB23" s="8"/>
      <c r="AC23" s="1"/>
    </row>
    <row r="24" spans="1:29" x14ac:dyDescent="0.3">
      <c r="A24" s="29" t="s">
        <v>11</v>
      </c>
      <c r="B24" s="8" t="s">
        <v>647</v>
      </c>
      <c r="C24" s="8" t="s">
        <v>646</v>
      </c>
      <c r="D24" s="8" t="s">
        <v>645</v>
      </c>
      <c r="E24" s="8" t="s">
        <v>7</v>
      </c>
      <c r="F24" s="8" t="s">
        <v>644</v>
      </c>
      <c r="G24" s="8" t="s">
        <v>643</v>
      </c>
      <c r="H24" s="8" t="s">
        <v>642</v>
      </c>
      <c r="I24" s="11">
        <v>46165</v>
      </c>
      <c r="J24" s="11" t="s">
        <v>3</v>
      </c>
      <c r="K24" s="8" t="s">
        <v>87</v>
      </c>
      <c r="L24" s="9" t="s">
        <v>87</v>
      </c>
      <c r="M24" s="9">
        <v>0</v>
      </c>
      <c r="N24" s="9">
        <v>2350</v>
      </c>
      <c r="O24" s="9">
        <v>4350</v>
      </c>
      <c r="P24" s="9">
        <f t="shared" si="1"/>
        <v>2000</v>
      </c>
      <c r="Q24" s="9">
        <v>10000</v>
      </c>
      <c r="R24" s="9">
        <f t="shared" si="2"/>
        <v>7650</v>
      </c>
      <c r="S24" s="9">
        <v>0</v>
      </c>
      <c r="T24" s="9" t="s">
        <v>1</v>
      </c>
      <c r="U24" s="28">
        <v>46165</v>
      </c>
      <c r="V24" s="8" t="s">
        <v>0</v>
      </c>
      <c r="W24" s="8"/>
      <c r="X24" s="9"/>
      <c r="Y24" s="8"/>
      <c r="Z24" s="8"/>
      <c r="AA24" s="8" t="str">
        <f t="shared" si="0"/>
        <v>Paid</v>
      </c>
      <c r="AB24" s="8"/>
    </row>
    <row r="25" spans="1:29" x14ac:dyDescent="0.3">
      <c r="A25" s="29" t="s">
        <v>11</v>
      </c>
      <c r="B25" s="8" t="s">
        <v>641</v>
      </c>
      <c r="C25" s="8" t="s">
        <v>640</v>
      </c>
      <c r="D25" s="8" t="s">
        <v>639</v>
      </c>
      <c r="E25" s="8" t="s">
        <v>7</v>
      </c>
      <c r="F25" s="8" t="s">
        <v>638</v>
      </c>
      <c r="G25" s="8" t="s">
        <v>637</v>
      </c>
      <c r="H25" s="8" t="s">
        <v>73</v>
      </c>
      <c r="I25" s="11">
        <v>46166</v>
      </c>
      <c r="J25" s="11" t="s">
        <v>14</v>
      </c>
      <c r="K25" s="8" t="s">
        <v>87</v>
      </c>
      <c r="L25" s="8" t="s">
        <v>12</v>
      </c>
      <c r="M25" s="9">
        <v>14868</v>
      </c>
      <c r="N25" s="34">
        <f>8420+2731+1163</f>
        <v>12314</v>
      </c>
      <c r="O25" s="9">
        <v>12314</v>
      </c>
      <c r="P25" s="9">
        <f t="shared" si="1"/>
        <v>0</v>
      </c>
      <c r="Q25" s="9">
        <v>10000</v>
      </c>
      <c r="R25" s="9">
        <f t="shared" si="2"/>
        <v>-2314</v>
      </c>
      <c r="S25" s="9">
        <f>VLOOKUP(B25,[1]Sheet1!$B:$J,9,0)</f>
        <v>2314</v>
      </c>
      <c r="T25" s="8" t="s">
        <v>1</v>
      </c>
      <c r="U25" s="28">
        <v>46176</v>
      </c>
      <c r="V25" s="8" t="s">
        <v>0</v>
      </c>
      <c r="W25" s="8"/>
      <c r="X25" s="9"/>
      <c r="Y25" s="8"/>
      <c r="Z25" s="8"/>
      <c r="AA25" s="8" t="str">
        <f t="shared" si="0"/>
        <v>Paid</v>
      </c>
      <c r="AB25" s="8"/>
    </row>
    <row r="26" spans="1:29" s="21" customFormat="1" x14ac:dyDescent="0.3">
      <c r="A26" s="8" t="s">
        <v>11</v>
      </c>
      <c r="B26" s="8" t="s">
        <v>636</v>
      </c>
      <c r="C26" s="8" t="s">
        <v>635</v>
      </c>
      <c r="D26" s="8" t="s">
        <v>634</v>
      </c>
      <c r="E26" s="8" t="s">
        <v>155</v>
      </c>
      <c r="F26" s="8" t="s">
        <v>633</v>
      </c>
      <c r="G26" s="8" t="s">
        <v>632</v>
      </c>
      <c r="H26" s="8" t="s">
        <v>47</v>
      </c>
      <c r="I26" s="11">
        <v>46166</v>
      </c>
      <c r="J26" s="8" t="s">
        <v>155</v>
      </c>
      <c r="K26" s="8" t="s">
        <v>21</v>
      </c>
      <c r="L26" s="8" t="s">
        <v>12</v>
      </c>
      <c r="M26" s="9">
        <v>0</v>
      </c>
      <c r="N26" s="9">
        <v>9200</v>
      </c>
      <c r="O26" s="9">
        <v>9950</v>
      </c>
      <c r="P26" s="9">
        <f t="shared" si="1"/>
        <v>750</v>
      </c>
      <c r="Q26" s="9">
        <v>10000</v>
      </c>
      <c r="R26" s="9">
        <f t="shared" si="2"/>
        <v>800</v>
      </c>
      <c r="S26" s="9">
        <v>0</v>
      </c>
      <c r="T26" s="9" t="s">
        <v>1</v>
      </c>
      <c r="U26" s="28">
        <v>46166</v>
      </c>
      <c r="V26" s="8" t="s">
        <v>0</v>
      </c>
      <c r="W26" s="8"/>
      <c r="X26" s="9"/>
      <c r="Y26" s="8"/>
      <c r="Z26" s="8"/>
      <c r="AA26" s="8" t="str">
        <f t="shared" si="0"/>
        <v>Paid</v>
      </c>
      <c r="AB26" s="8"/>
      <c r="AC26" s="1"/>
    </row>
    <row r="27" spans="1:29" ht="28.8" x14ac:dyDescent="0.3">
      <c r="A27" s="8" t="s">
        <v>11</v>
      </c>
      <c r="B27" s="8" t="s">
        <v>631</v>
      </c>
      <c r="C27" s="8" t="s">
        <v>630</v>
      </c>
      <c r="D27" s="8" t="s">
        <v>629</v>
      </c>
      <c r="E27" s="8" t="s">
        <v>7</v>
      </c>
      <c r="F27" s="8" t="s">
        <v>244</v>
      </c>
      <c r="G27" s="8" t="s">
        <v>628</v>
      </c>
      <c r="H27" s="8" t="s">
        <v>627</v>
      </c>
      <c r="I27" s="11">
        <v>46166</v>
      </c>
      <c r="J27" s="8" t="s">
        <v>14</v>
      </c>
      <c r="K27" s="8" t="s">
        <v>13</v>
      </c>
      <c r="L27" s="8" t="s">
        <v>94</v>
      </c>
      <c r="M27" s="9">
        <v>0</v>
      </c>
      <c r="N27" s="9">
        <f>8466+1361</f>
        <v>9827</v>
      </c>
      <c r="O27" s="9">
        <v>9827</v>
      </c>
      <c r="P27" s="9">
        <f t="shared" si="1"/>
        <v>0</v>
      </c>
      <c r="Q27" s="9">
        <v>10000</v>
      </c>
      <c r="R27" s="9">
        <f t="shared" si="2"/>
        <v>173</v>
      </c>
      <c r="S27" s="9">
        <v>0</v>
      </c>
      <c r="T27" s="9" t="s">
        <v>1</v>
      </c>
      <c r="U27" s="28">
        <v>46166</v>
      </c>
      <c r="V27" s="8" t="s">
        <v>0</v>
      </c>
      <c r="W27" s="8"/>
      <c r="X27" s="9"/>
      <c r="Y27" s="8"/>
      <c r="Z27" s="8"/>
      <c r="AA27" s="8" t="str">
        <f t="shared" si="0"/>
        <v>Paid</v>
      </c>
      <c r="AB27" s="8"/>
    </row>
    <row r="28" spans="1:29" x14ac:dyDescent="0.3">
      <c r="A28" s="8" t="s">
        <v>11</v>
      </c>
      <c r="B28" s="8" t="s">
        <v>626</v>
      </c>
      <c r="C28" s="8" t="s">
        <v>625</v>
      </c>
      <c r="D28" s="8" t="s">
        <v>624</v>
      </c>
      <c r="E28" s="8" t="s">
        <v>7</v>
      </c>
      <c r="F28" s="8" t="s">
        <v>623</v>
      </c>
      <c r="G28" s="8" t="s">
        <v>622</v>
      </c>
      <c r="H28" s="8" t="s">
        <v>621</v>
      </c>
      <c r="I28" s="11">
        <v>46166</v>
      </c>
      <c r="J28" s="29" t="s">
        <v>3</v>
      </c>
      <c r="K28" s="8" t="s">
        <v>21</v>
      </c>
      <c r="L28" s="9" t="s">
        <v>21</v>
      </c>
      <c r="M28" s="9">
        <v>0</v>
      </c>
      <c r="N28" s="9">
        <v>9504</v>
      </c>
      <c r="O28" s="9">
        <v>9504</v>
      </c>
      <c r="P28" s="9">
        <f t="shared" si="1"/>
        <v>0</v>
      </c>
      <c r="Q28" s="9">
        <v>10000</v>
      </c>
      <c r="R28" s="9">
        <f t="shared" si="2"/>
        <v>496</v>
      </c>
      <c r="S28" s="9">
        <v>0</v>
      </c>
      <c r="T28" s="9" t="s">
        <v>1</v>
      </c>
      <c r="U28" s="28">
        <v>46166</v>
      </c>
      <c r="V28" s="8" t="s">
        <v>0</v>
      </c>
      <c r="W28" s="8"/>
      <c r="X28" s="9"/>
      <c r="Y28" s="8"/>
      <c r="Z28" s="8"/>
      <c r="AA28" s="8" t="str">
        <f t="shared" si="0"/>
        <v>Paid</v>
      </c>
      <c r="AB28" s="8"/>
    </row>
    <row r="29" spans="1:29" s="21" customFormat="1" x14ac:dyDescent="0.3">
      <c r="A29" s="8" t="s">
        <v>11</v>
      </c>
      <c r="B29" s="8" t="s">
        <v>620</v>
      </c>
      <c r="C29" s="8" t="s">
        <v>619</v>
      </c>
      <c r="D29" s="8" t="s">
        <v>618</v>
      </c>
      <c r="E29" s="8" t="s">
        <v>7</v>
      </c>
      <c r="F29" s="8" t="s">
        <v>617</v>
      </c>
      <c r="G29" s="8" t="s">
        <v>616</v>
      </c>
      <c r="H29" s="8" t="s">
        <v>47</v>
      </c>
      <c r="I29" s="11">
        <v>46166</v>
      </c>
      <c r="J29" s="10" t="s">
        <v>14</v>
      </c>
      <c r="K29" s="8" t="s">
        <v>21</v>
      </c>
      <c r="L29" s="8" t="s">
        <v>21</v>
      </c>
      <c r="M29" s="9">
        <v>0</v>
      </c>
      <c r="N29" s="9">
        <v>3820</v>
      </c>
      <c r="O29" s="9">
        <v>4820</v>
      </c>
      <c r="P29" s="9">
        <f t="shared" si="1"/>
        <v>1000</v>
      </c>
      <c r="Q29" s="9">
        <v>10000</v>
      </c>
      <c r="R29" s="9">
        <f t="shared" si="2"/>
        <v>6180</v>
      </c>
      <c r="S29" s="9">
        <v>0</v>
      </c>
      <c r="T29" s="8" t="s">
        <v>1</v>
      </c>
      <c r="U29" s="28">
        <v>46176</v>
      </c>
      <c r="V29" s="8" t="s">
        <v>0</v>
      </c>
      <c r="W29" s="8"/>
      <c r="X29" s="9"/>
      <c r="Y29" s="8"/>
      <c r="Z29" s="8"/>
      <c r="AA29" s="8" t="str">
        <f t="shared" si="0"/>
        <v>Paid</v>
      </c>
      <c r="AB29" s="8"/>
      <c r="AC29" s="1"/>
    </row>
    <row r="30" spans="1:29" ht="28.8" x14ac:dyDescent="0.3">
      <c r="A30" s="8" t="s">
        <v>11</v>
      </c>
      <c r="B30" s="24" t="s">
        <v>615</v>
      </c>
      <c r="C30" s="24" t="s">
        <v>614</v>
      </c>
      <c r="D30" s="8" t="s">
        <v>613</v>
      </c>
      <c r="E30" s="8" t="s">
        <v>155</v>
      </c>
      <c r="F30" s="24" t="s">
        <v>612</v>
      </c>
      <c r="G30" s="24" t="s">
        <v>611</v>
      </c>
      <c r="H30" s="8" t="s">
        <v>610</v>
      </c>
      <c r="I30" s="11">
        <v>46166</v>
      </c>
      <c r="J30" s="8" t="s">
        <v>155</v>
      </c>
      <c r="K30" s="8" t="s">
        <v>13</v>
      </c>
      <c r="L30" s="8" t="s">
        <v>13</v>
      </c>
      <c r="M30" s="9">
        <v>0</v>
      </c>
      <c r="N30" s="9">
        <v>6100</v>
      </c>
      <c r="O30" s="9">
        <v>8755</v>
      </c>
      <c r="P30" s="9">
        <f t="shared" si="1"/>
        <v>2655</v>
      </c>
      <c r="Q30" s="9">
        <v>10000</v>
      </c>
      <c r="R30" s="9">
        <f t="shared" si="2"/>
        <v>3900</v>
      </c>
      <c r="S30" s="9">
        <v>0</v>
      </c>
      <c r="T30" s="9" t="s">
        <v>1</v>
      </c>
      <c r="U30" s="28">
        <v>46165</v>
      </c>
      <c r="V30" s="8" t="s">
        <v>0</v>
      </c>
      <c r="W30" s="8"/>
      <c r="X30" s="9"/>
      <c r="Y30" s="8"/>
      <c r="Z30" s="8"/>
      <c r="AA30" s="8" t="str">
        <f t="shared" si="0"/>
        <v>Paid</v>
      </c>
      <c r="AB30" s="8"/>
    </row>
    <row r="31" spans="1:29" x14ac:dyDescent="0.3">
      <c r="A31" s="8" t="s">
        <v>11</v>
      </c>
      <c r="B31" s="24" t="s">
        <v>609</v>
      </c>
      <c r="C31" s="8" t="s">
        <v>608</v>
      </c>
      <c r="D31" s="8" t="s">
        <v>607</v>
      </c>
      <c r="E31" s="8" t="s">
        <v>155</v>
      </c>
      <c r="F31" s="8" t="s">
        <v>17</v>
      </c>
      <c r="G31" s="8" t="s">
        <v>603</v>
      </c>
      <c r="H31" s="8" t="s">
        <v>200</v>
      </c>
      <c r="I31" s="11">
        <v>46167</v>
      </c>
      <c r="J31" s="8" t="s">
        <v>155</v>
      </c>
      <c r="K31" s="8" t="s">
        <v>13</v>
      </c>
      <c r="L31" s="8" t="s">
        <v>13</v>
      </c>
      <c r="M31" s="9">
        <v>0</v>
      </c>
      <c r="N31" s="9">
        <v>6600</v>
      </c>
      <c r="O31" s="9">
        <v>9675</v>
      </c>
      <c r="P31" s="9">
        <f t="shared" si="1"/>
        <v>3075</v>
      </c>
      <c r="Q31" s="9">
        <v>10000</v>
      </c>
      <c r="R31" s="9">
        <f t="shared" si="2"/>
        <v>3400</v>
      </c>
      <c r="S31" s="9">
        <v>0</v>
      </c>
      <c r="T31" s="9" t="s">
        <v>1</v>
      </c>
      <c r="U31" s="28">
        <v>46166</v>
      </c>
      <c r="V31" s="8" t="s">
        <v>0</v>
      </c>
      <c r="W31" s="8"/>
      <c r="X31" s="9"/>
      <c r="Y31" s="8"/>
      <c r="Z31" s="8"/>
      <c r="AA31" s="8" t="str">
        <f t="shared" ref="AA31:AA60" si="3">IF(N31,"Paid","Unpaid")</f>
        <v>Paid</v>
      </c>
      <c r="AB31" s="8"/>
    </row>
    <row r="32" spans="1:29" s="21" customFormat="1" x14ac:dyDescent="0.3">
      <c r="A32" s="8" t="s">
        <v>11</v>
      </c>
      <c r="B32" s="8" t="s">
        <v>606</v>
      </c>
      <c r="C32" s="8" t="s">
        <v>605</v>
      </c>
      <c r="D32" s="8" t="s">
        <v>604</v>
      </c>
      <c r="E32" s="8" t="s">
        <v>155</v>
      </c>
      <c r="F32" s="8" t="s">
        <v>17</v>
      </c>
      <c r="G32" s="8" t="s">
        <v>603</v>
      </c>
      <c r="H32" s="8" t="s">
        <v>602</v>
      </c>
      <c r="I32" s="11">
        <v>46172</v>
      </c>
      <c r="J32" s="8" t="s">
        <v>155</v>
      </c>
      <c r="K32" s="8" t="s">
        <v>13</v>
      </c>
      <c r="L32" s="8" t="s">
        <v>13</v>
      </c>
      <c r="M32" s="9">
        <v>0</v>
      </c>
      <c r="N32" s="9">
        <v>8800</v>
      </c>
      <c r="O32" s="9">
        <v>9500</v>
      </c>
      <c r="P32" s="9">
        <f t="shared" si="1"/>
        <v>700</v>
      </c>
      <c r="Q32" s="9">
        <v>10000</v>
      </c>
      <c r="R32" s="9">
        <f t="shared" si="2"/>
        <v>1200</v>
      </c>
      <c r="S32" s="9">
        <v>0</v>
      </c>
      <c r="T32" s="9" t="s">
        <v>1</v>
      </c>
      <c r="U32" s="28">
        <v>46166</v>
      </c>
      <c r="V32" s="8" t="s">
        <v>0</v>
      </c>
      <c r="W32" s="8"/>
      <c r="X32" s="9"/>
      <c r="Y32" s="8"/>
      <c r="Z32" s="8"/>
      <c r="AA32" s="8" t="str">
        <f t="shared" si="3"/>
        <v>Paid</v>
      </c>
      <c r="AB32" s="8"/>
      <c r="AC32" s="1"/>
    </row>
    <row r="33" spans="1:29" x14ac:dyDescent="0.3">
      <c r="A33" s="8" t="s">
        <v>11</v>
      </c>
      <c r="B33" s="8" t="s">
        <v>601</v>
      </c>
      <c r="C33" s="8" t="s">
        <v>600</v>
      </c>
      <c r="D33" s="8" t="s">
        <v>599</v>
      </c>
      <c r="E33" s="8" t="s">
        <v>7</v>
      </c>
      <c r="F33" s="8" t="s">
        <v>598</v>
      </c>
      <c r="G33" s="8" t="s">
        <v>597</v>
      </c>
      <c r="H33" s="8" t="s">
        <v>30</v>
      </c>
      <c r="I33" s="11">
        <v>46164</v>
      </c>
      <c r="J33" s="8" t="s">
        <v>14</v>
      </c>
      <c r="K33" s="8" t="s">
        <v>13</v>
      </c>
      <c r="L33" s="8" t="s">
        <v>13</v>
      </c>
      <c r="M33" s="9">
        <v>0</v>
      </c>
      <c r="N33" s="9">
        <v>2950</v>
      </c>
      <c r="O33" s="9">
        <v>5950</v>
      </c>
      <c r="P33" s="9">
        <f t="shared" si="1"/>
        <v>3000</v>
      </c>
      <c r="Q33" s="9">
        <v>10000</v>
      </c>
      <c r="R33" s="9">
        <f t="shared" si="2"/>
        <v>7050</v>
      </c>
      <c r="S33" s="9">
        <v>0</v>
      </c>
      <c r="T33" s="9" t="s">
        <v>1</v>
      </c>
      <c r="U33" s="28">
        <v>46164</v>
      </c>
      <c r="V33" s="8" t="s">
        <v>0</v>
      </c>
      <c r="W33" s="8"/>
      <c r="X33" s="9"/>
      <c r="Y33" s="8"/>
      <c r="Z33" s="8"/>
      <c r="AA33" s="8" t="str">
        <f t="shared" si="3"/>
        <v>Paid</v>
      </c>
      <c r="AB33" s="8"/>
    </row>
    <row r="34" spans="1:29" x14ac:dyDescent="0.3">
      <c r="A34" s="8" t="s">
        <v>11</v>
      </c>
      <c r="B34" s="8" t="s">
        <v>596</v>
      </c>
      <c r="C34" s="8" t="s">
        <v>595</v>
      </c>
      <c r="D34" s="8" t="s">
        <v>594</v>
      </c>
      <c r="E34" s="8" t="s">
        <v>7</v>
      </c>
      <c r="F34" s="8" t="s">
        <v>164</v>
      </c>
      <c r="G34" s="8" t="s">
        <v>593</v>
      </c>
      <c r="H34" s="8" t="s">
        <v>592</v>
      </c>
      <c r="I34" s="11">
        <v>46165</v>
      </c>
      <c r="J34" s="29" t="s">
        <v>3</v>
      </c>
      <c r="K34" s="8" t="s">
        <v>13</v>
      </c>
      <c r="L34" s="9" t="s">
        <v>13</v>
      </c>
      <c r="M34" s="9">
        <v>0</v>
      </c>
      <c r="N34" s="9">
        <v>2981</v>
      </c>
      <c r="O34" s="9">
        <v>4981</v>
      </c>
      <c r="P34" s="9">
        <f t="shared" si="1"/>
        <v>2000</v>
      </c>
      <c r="Q34" s="9">
        <v>10000</v>
      </c>
      <c r="R34" s="9">
        <f t="shared" si="2"/>
        <v>7019</v>
      </c>
      <c r="S34" s="9">
        <v>0</v>
      </c>
      <c r="T34" s="9" t="s">
        <v>1</v>
      </c>
      <c r="U34" s="28">
        <v>46165</v>
      </c>
      <c r="V34" s="8" t="s">
        <v>0</v>
      </c>
      <c r="W34" s="8"/>
      <c r="X34" s="9"/>
      <c r="Y34" s="8"/>
      <c r="Z34" s="8"/>
      <c r="AA34" s="8" t="str">
        <f t="shared" si="3"/>
        <v>Paid</v>
      </c>
      <c r="AB34" s="8"/>
    </row>
    <row r="35" spans="1:29" x14ac:dyDescent="0.3">
      <c r="A35" s="8" t="s">
        <v>11</v>
      </c>
      <c r="B35" s="24" t="s">
        <v>591</v>
      </c>
      <c r="C35" s="24" t="s">
        <v>590</v>
      </c>
      <c r="D35" s="24" t="s">
        <v>589</v>
      </c>
      <c r="E35" s="8" t="s">
        <v>7</v>
      </c>
      <c r="F35" s="24" t="s">
        <v>588</v>
      </c>
      <c r="G35" s="8" t="s">
        <v>587</v>
      </c>
      <c r="H35" s="8" t="s">
        <v>586</v>
      </c>
      <c r="I35" s="11">
        <v>46165</v>
      </c>
      <c r="J35" s="29" t="s">
        <v>3</v>
      </c>
      <c r="K35" s="8" t="s">
        <v>13</v>
      </c>
      <c r="L35" s="8" t="s">
        <v>13</v>
      </c>
      <c r="M35" s="9">
        <v>0</v>
      </c>
      <c r="N35" s="9">
        <v>7502</v>
      </c>
      <c r="O35" s="9">
        <v>8502</v>
      </c>
      <c r="P35" s="9">
        <f t="shared" si="1"/>
        <v>1000</v>
      </c>
      <c r="Q35" s="9">
        <v>10000</v>
      </c>
      <c r="R35" s="9">
        <f t="shared" si="2"/>
        <v>2498</v>
      </c>
      <c r="S35" s="9">
        <v>0</v>
      </c>
      <c r="T35" s="9" t="s">
        <v>1</v>
      </c>
      <c r="U35" s="28">
        <v>46165</v>
      </c>
      <c r="V35" s="8" t="s">
        <v>0</v>
      </c>
      <c r="W35" s="8"/>
      <c r="X35" s="9"/>
      <c r="Y35" s="8"/>
      <c r="Z35" s="8"/>
      <c r="AA35" s="8" t="str">
        <f t="shared" si="3"/>
        <v>Paid</v>
      </c>
      <c r="AB35" s="8"/>
    </row>
    <row r="36" spans="1:29" x14ac:dyDescent="0.3">
      <c r="A36" s="8" t="s">
        <v>343</v>
      </c>
      <c r="B36" s="8" t="s">
        <v>585</v>
      </c>
      <c r="C36" s="8" t="s">
        <v>584</v>
      </c>
      <c r="D36" s="8" t="s">
        <v>583</v>
      </c>
      <c r="E36" s="8" t="s">
        <v>7</v>
      </c>
      <c r="F36" s="8" t="s">
        <v>582</v>
      </c>
      <c r="G36" s="8" t="s">
        <v>581</v>
      </c>
      <c r="H36" s="8" t="s">
        <v>47</v>
      </c>
      <c r="I36" s="11">
        <v>46166</v>
      </c>
      <c r="J36" s="8" t="s">
        <v>14</v>
      </c>
      <c r="K36" s="8" t="s">
        <v>2</v>
      </c>
      <c r="L36" s="8" t="s">
        <v>12</v>
      </c>
      <c r="M36" s="9">
        <v>0</v>
      </c>
      <c r="N36" s="9">
        <v>10620</v>
      </c>
      <c r="O36" s="9">
        <v>10620</v>
      </c>
      <c r="P36" s="9">
        <f t="shared" si="1"/>
        <v>0</v>
      </c>
      <c r="Q36" s="34">
        <v>22000</v>
      </c>
      <c r="R36" s="9">
        <f t="shared" si="2"/>
        <v>11380</v>
      </c>
      <c r="S36" s="9">
        <v>0</v>
      </c>
      <c r="T36" s="9" t="s">
        <v>1</v>
      </c>
      <c r="U36" s="28">
        <v>46166</v>
      </c>
      <c r="V36" s="8" t="s">
        <v>0</v>
      </c>
      <c r="W36" s="8"/>
      <c r="X36" s="9"/>
      <c r="Y36" s="8"/>
      <c r="Z36" s="8"/>
      <c r="AA36" s="8" t="str">
        <f t="shared" si="3"/>
        <v>Paid</v>
      </c>
      <c r="AB36" s="8"/>
    </row>
    <row r="37" spans="1:29" s="21" customFormat="1" x14ac:dyDescent="0.3">
      <c r="A37" s="8" t="s">
        <v>11</v>
      </c>
      <c r="B37" s="8" t="s">
        <v>580</v>
      </c>
      <c r="C37" s="8" t="s">
        <v>579</v>
      </c>
      <c r="D37" s="8" t="s">
        <v>578</v>
      </c>
      <c r="E37" s="8" t="s">
        <v>7</v>
      </c>
      <c r="F37" s="8" t="s">
        <v>577</v>
      </c>
      <c r="G37" s="8" t="s">
        <v>576</v>
      </c>
      <c r="H37" s="8" t="s">
        <v>59</v>
      </c>
      <c r="I37" s="11">
        <v>46166</v>
      </c>
      <c r="J37" s="29" t="s">
        <v>3</v>
      </c>
      <c r="K37" s="8" t="s">
        <v>2</v>
      </c>
      <c r="L37" s="8" t="s">
        <v>12</v>
      </c>
      <c r="M37" s="9">
        <v>0</v>
      </c>
      <c r="N37" s="9">
        <v>3791</v>
      </c>
      <c r="O37" s="9">
        <v>4891</v>
      </c>
      <c r="P37" s="9">
        <f t="shared" si="1"/>
        <v>1100</v>
      </c>
      <c r="Q37" s="9">
        <v>10000</v>
      </c>
      <c r="R37" s="9">
        <f t="shared" si="2"/>
        <v>6209</v>
      </c>
      <c r="S37" s="9">
        <v>0</v>
      </c>
      <c r="T37" s="9" t="s">
        <v>1</v>
      </c>
      <c r="U37" s="28">
        <v>46166</v>
      </c>
      <c r="V37" s="8" t="s">
        <v>0</v>
      </c>
      <c r="W37" s="8"/>
      <c r="X37" s="9"/>
      <c r="Y37" s="8"/>
      <c r="Z37" s="8"/>
      <c r="AA37" s="8" t="str">
        <f t="shared" si="3"/>
        <v>Paid</v>
      </c>
      <c r="AB37" s="8"/>
      <c r="AC37" s="1"/>
    </row>
    <row r="38" spans="1:29" x14ac:dyDescent="0.3">
      <c r="A38" s="8" t="s">
        <v>11</v>
      </c>
      <c r="B38" s="8" t="s">
        <v>575</v>
      </c>
      <c r="C38" s="8" t="s">
        <v>574</v>
      </c>
      <c r="D38" s="8" t="s">
        <v>573</v>
      </c>
      <c r="E38" s="8" t="s">
        <v>7</v>
      </c>
      <c r="F38" s="8" t="s">
        <v>572</v>
      </c>
      <c r="G38" s="8" t="s">
        <v>571</v>
      </c>
      <c r="H38" s="8" t="s">
        <v>354</v>
      </c>
      <c r="I38" s="11">
        <v>46166</v>
      </c>
      <c r="J38" s="29" t="s">
        <v>3</v>
      </c>
      <c r="K38" s="8" t="s">
        <v>87</v>
      </c>
      <c r="L38" s="8" t="s">
        <v>12</v>
      </c>
      <c r="M38" s="9">
        <v>0</v>
      </c>
      <c r="N38" s="9">
        <v>3420</v>
      </c>
      <c r="O38" s="9">
        <v>4120</v>
      </c>
      <c r="P38" s="9">
        <f t="shared" si="1"/>
        <v>700</v>
      </c>
      <c r="Q38" s="9">
        <v>10000</v>
      </c>
      <c r="R38" s="9">
        <f t="shared" si="2"/>
        <v>6580</v>
      </c>
      <c r="S38" s="9">
        <v>0</v>
      </c>
      <c r="T38" s="9" t="s">
        <v>1</v>
      </c>
      <c r="U38" s="28">
        <v>46166</v>
      </c>
      <c r="V38" s="8" t="s">
        <v>0</v>
      </c>
      <c r="W38" s="8"/>
      <c r="X38" s="9"/>
      <c r="Y38" s="8"/>
      <c r="Z38" s="8"/>
      <c r="AA38" s="8" t="str">
        <f t="shared" si="3"/>
        <v>Paid</v>
      </c>
      <c r="AB38" s="8"/>
    </row>
    <row r="39" spans="1:29" x14ac:dyDescent="0.3">
      <c r="A39" s="8" t="s">
        <v>11</v>
      </c>
      <c r="B39" s="8" t="s">
        <v>570</v>
      </c>
      <c r="C39" s="8" t="s">
        <v>569</v>
      </c>
      <c r="D39" s="8" t="s">
        <v>568</v>
      </c>
      <c r="E39" s="8" t="s">
        <v>22</v>
      </c>
      <c r="F39" s="8" t="s">
        <v>548</v>
      </c>
      <c r="G39" s="8" t="s">
        <v>567</v>
      </c>
      <c r="H39" s="8" t="s">
        <v>326</v>
      </c>
      <c r="I39" s="11">
        <v>46165</v>
      </c>
      <c r="J39" s="11" t="s">
        <v>22</v>
      </c>
      <c r="K39" s="8" t="s">
        <v>2</v>
      </c>
      <c r="L39" s="9" t="s">
        <v>2</v>
      </c>
      <c r="M39" s="9">
        <v>0</v>
      </c>
      <c r="N39" s="9">
        <v>8140</v>
      </c>
      <c r="O39" s="9">
        <v>9140</v>
      </c>
      <c r="P39" s="9">
        <f t="shared" si="1"/>
        <v>1000</v>
      </c>
      <c r="Q39" s="9">
        <v>10000</v>
      </c>
      <c r="R39" s="9">
        <f t="shared" si="2"/>
        <v>1860</v>
      </c>
      <c r="S39" s="9">
        <v>0</v>
      </c>
      <c r="T39" s="9" t="s">
        <v>1</v>
      </c>
      <c r="U39" s="28">
        <v>46165</v>
      </c>
      <c r="V39" s="8" t="s">
        <v>0</v>
      </c>
      <c r="W39" s="8"/>
      <c r="X39" s="9"/>
      <c r="Y39" s="8"/>
      <c r="Z39" s="8"/>
      <c r="AA39" s="8" t="str">
        <f t="shared" si="3"/>
        <v>Paid</v>
      </c>
      <c r="AB39" s="8"/>
    </row>
    <row r="40" spans="1:29" s="21" customFormat="1" x14ac:dyDescent="0.3">
      <c r="A40" s="8" t="s">
        <v>11</v>
      </c>
      <c r="B40" s="24" t="s">
        <v>566</v>
      </c>
      <c r="C40" s="24" t="s">
        <v>565</v>
      </c>
      <c r="D40" s="24" t="s">
        <v>564</v>
      </c>
      <c r="E40" s="8" t="s">
        <v>155</v>
      </c>
      <c r="F40" s="24" t="s">
        <v>563</v>
      </c>
      <c r="G40" s="24" t="s">
        <v>562</v>
      </c>
      <c r="H40" s="24" t="s">
        <v>459</v>
      </c>
      <c r="I40" s="11">
        <v>46166</v>
      </c>
      <c r="J40" s="8" t="s">
        <v>155</v>
      </c>
      <c r="K40" s="24" t="s">
        <v>21</v>
      </c>
      <c r="L40" s="24" t="s">
        <v>29</v>
      </c>
      <c r="M40" s="9">
        <v>0</v>
      </c>
      <c r="N40" s="9">
        <v>7905</v>
      </c>
      <c r="O40" s="9">
        <v>9125</v>
      </c>
      <c r="P40" s="9">
        <f t="shared" si="1"/>
        <v>1220</v>
      </c>
      <c r="Q40" s="9">
        <v>10000</v>
      </c>
      <c r="R40" s="9">
        <f t="shared" si="2"/>
        <v>2095</v>
      </c>
      <c r="S40" s="9">
        <v>0</v>
      </c>
      <c r="T40" s="9" t="s">
        <v>1</v>
      </c>
      <c r="U40" s="28">
        <v>46166</v>
      </c>
      <c r="V40" s="8" t="s">
        <v>0</v>
      </c>
      <c r="W40" s="8"/>
      <c r="X40" s="9"/>
      <c r="Y40" s="8"/>
      <c r="Z40" s="8"/>
      <c r="AA40" s="8" t="str">
        <f t="shared" si="3"/>
        <v>Paid</v>
      </c>
      <c r="AB40" s="8"/>
      <c r="AC40" s="1"/>
    </row>
    <row r="41" spans="1:29" x14ac:dyDescent="0.3">
      <c r="A41" s="8" t="s">
        <v>11</v>
      </c>
      <c r="B41" s="8" t="s">
        <v>561</v>
      </c>
      <c r="C41" s="8" t="s">
        <v>560</v>
      </c>
      <c r="D41" s="8" t="s">
        <v>559</v>
      </c>
      <c r="E41" s="8" t="s">
        <v>7</v>
      </c>
      <c r="F41" s="8" t="s">
        <v>558</v>
      </c>
      <c r="G41" s="38" t="s">
        <v>557</v>
      </c>
      <c r="H41" s="8" t="s">
        <v>556</v>
      </c>
      <c r="I41" s="11">
        <v>46167</v>
      </c>
      <c r="J41" s="8" t="s">
        <v>14</v>
      </c>
      <c r="K41" s="8" t="s">
        <v>87</v>
      </c>
      <c r="L41" s="9" t="s">
        <v>87</v>
      </c>
      <c r="M41" s="9">
        <v>0</v>
      </c>
      <c r="N41" s="9">
        <v>7429.28</v>
      </c>
      <c r="O41" s="9">
        <v>8429</v>
      </c>
      <c r="P41" s="9">
        <f t="shared" si="1"/>
        <v>999.72000000000025</v>
      </c>
      <c r="Q41" s="9">
        <v>10000</v>
      </c>
      <c r="R41" s="9">
        <f t="shared" si="2"/>
        <v>2570.7200000000003</v>
      </c>
      <c r="S41" s="9">
        <v>0</v>
      </c>
      <c r="T41" s="9" t="s">
        <v>1</v>
      </c>
      <c r="U41" s="28">
        <v>46167</v>
      </c>
      <c r="V41" s="8" t="s">
        <v>0</v>
      </c>
      <c r="W41" s="8"/>
      <c r="X41" s="9"/>
      <c r="Y41" s="8"/>
      <c r="Z41" s="8"/>
      <c r="AA41" s="8" t="str">
        <f t="shared" si="3"/>
        <v>Paid</v>
      </c>
      <c r="AB41" s="8"/>
    </row>
    <row r="42" spans="1:29" x14ac:dyDescent="0.3">
      <c r="A42" s="8" t="s">
        <v>11</v>
      </c>
      <c r="B42" s="8" t="s">
        <v>555</v>
      </c>
      <c r="C42" s="8" t="s">
        <v>554</v>
      </c>
      <c r="D42" s="8" t="s">
        <v>553</v>
      </c>
      <c r="E42" s="8" t="s">
        <v>7</v>
      </c>
      <c r="F42" s="8" t="s">
        <v>491</v>
      </c>
      <c r="G42" s="8" t="s">
        <v>552</v>
      </c>
      <c r="H42" s="8" t="s">
        <v>23</v>
      </c>
      <c r="I42" s="11">
        <v>46163</v>
      </c>
      <c r="J42" s="10" t="s">
        <v>14</v>
      </c>
      <c r="K42" s="8" t="s">
        <v>2</v>
      </c>
      <c r="L42" s="9" t="s">
        <v>2</v>
      </c>
      <c r="M42" s="9">
        <v>0</v>
      </c>
      <c r="N42" s="9">
        <v>4120</v>
      </c>
      <c r="O42" s="9">
        <v>5120</v>
      </c>
      <c r="P42" s="9">
        <f t="shared" si="1"/>
        <v>1000</v>
      </c>
      <c r="Q42" s="9">
        <v>10000</v>
      </c>
      <c r="R42" s="9">
        <f t="shared" si="2"/>
        <v>5880</v>
      </c>
      <c r="S42" s="9">
        <v>0</v>
      </c>
      <c r="T42" s="9" t="s">
        <v>1</v>
      </c>
      <c r="U42" s="28">
        <v>46164</v>
      </c>
      <c r="V42" s="8" t="s">
        <v>0</v>
      </c>
      <c r="W42" s="8"/>
      <c r="X42" s="9"/>
      <c r="Y42" s="8"/>
      <c r="Z42" s="8"/>
      <c r="AA42" s="8" t="str">
        <f t="shared" si="3"/>
        <v>Paid</v>
      </c>
      <c r="AB42" s="8"/>
    </row>
    <row r="43" spans="1:29" ht="28.8" x14ac:dyDescent="0.3">
      <c r="A43" s="8" t="s">
        <v>11</v>
      </c>
      <c r="B43" s="24" t="s">
        <v>551</v>
      </c>
      <c r="C43" s="24" t="s">
        <v>550</v>
      </c>
      <c r="D43" s="24" t="s">
        <v>549</v>
      </c>
      <c r="E43" s="8" t="s">
        <v>7</v>
      </c>
      <c r="F43" s="8" t="s">
        <v>548</v>
      </c>
      <c r="G43" s="8" t="s">
        <v>547</v>
      </c>
      <c r="H43" s="8" t="s">
        <v>546</v>
      </c>
      <c r="I43" s="11">
        <v>46168</v>
      </c>
      <c r="J43" s="29" t="s">
        <v>3</v>
      </c>
      <c r="K43" s="8" t="s">
        <v>2</v>
      </c>
      <c r="L43" s="9" t="s">
        <v>2</v>
      </c>
      <c r="M43" s="9">
        <v>9281</v>
      </c>
      <c r="N43" s="34">
        <f>60+8402</f>
        <v>8462</v>
      </c>
      <c r="O43" s="9">
        <v>9581</v>
      </c>
      <c r="P43" s="9">
        <f t="shared" si="1"/>
        <v>1119</v>
      </c>
      <c r="Q43" s="9">
        <v>10000</v>
      </c>
      <c r="R43" s="9">
        <f t="shared" si="2"/>
        <v>1538</v>
      </c>
      <c r="S43" s="9">
        <v>0</v>
      </c>
      <c r="T43" s="8" t="s">
        <v>1</v>
      </c>
      <c r="U43" s="28">
        <v>46176</v>
      </c>
      <c r="V43" s="8" t="s">
        <v>0</v>
      </c>
      <c r="W43" s="8"/>
      <c r="X43" s="9"/>
      <c r="Y43" s="8"/>
      <c r="Z43" s="8"/>
      <c r="AA43" s="8" t="str">
        <f t="shared" si="3"/>
        <v>Paid</v>
      </c>
      <c r="AB43" s="8"/>
    </row>
    <row r="44" spans="1:29" x14ac:dyDescent="0.3">
      <c r="A44" s="8" t="s">
        <v>11</v>
      </c>
      <c r="B44" s="8" t="s">
        <v>545</v>
      </c>
      <c r="C44" s="8" t="s">
        <v>544</v>
      </c>
      <c r="D44" s="8" t="s">
        <v>543</v>
      </c>
      <c r="E44" s="8" t="s">
        <v>7</v>
      </c>
      <c r="F44" s="8" t="s">
        <v>379</v>
      </c>
      <c r="G44" s="8" t="s">
        <v>450</v>
      </c>
      <c r="H44" s="8" t="s">
        <v>377</v>
      </c>
      <c r="I44" s="11">
        <v>46169</v>
      </c>
      <c r="J44" s="8" t="s">
        <v>14</v>
      </c>
      <c r="K44" s="8" t="s">
        <v>87</v>
      </c>
      <c r="L44" s="8" t="s">
        <v>12</v>
      </c>
      <c r="M44" s="9">
        <v>0</v>
      </c>
      <c r="N44" s="9">
        <v>4248</v>
      </c>
      <c r="O44" s="9">
        <v>5248</v>
      </c>
      <c r="P44" s="9">
        <f t="shared" si="1"/>
        <v>1000</v>
      </c>
      <c r="Q44" s="9">
        <v>10000</v>
      </c>
      <c r="R44" s="9">
        <f t="shared" si="2"/>
        <v>5752</v>
      </c>
      <c r="S44" s="9">
        <v>0</v>
      </c>
      <c r="T44" s="9" t="s">
        <v>1</v>
      </c>
      <c r="U44" s="28">
        <v>46168</v>
      </c>
      <c r="V44" s="8" t="s">
        <v>0</v>
      </c>
      <c r="W44" s="8"/>
      <c r="X44" s="9"/>
      <c r="Y44" s="8"/>
      <c r="Z44" s="8"/>
      <c r="AA44" s="8" t="str">
        <f t="shared" si="3"/>
        <v>Paid</v>
      </c>
      <c r="AB44" s="8"/>
    </row>
    <row r="45" spans="1:29" x14ac:dyDescent="0.3">
      <c r="A45" s="8" t="s">
        <v>11</v>
      </c>
      <c r="B45" s="8" t="s">
        <v>542</v>
      </c>
      <c r="C45" s="8" t="s">
        <v>541</v>
      </c>
      <c r="D45" s="8" t="s">
        <v>540</v>
      </c>
      <c r="E45" s="8" t="s">
        <v>155</v>
      </c>
      <c r="F45" s="8" t="s">
        <v>107</v>
      </c>
      <c r="G45" s="8" t="s">
        <v>539</v>
      </c>
      <c r="H45" s="8" t="s">
        <v>538</v>
      </c>
      <c r="I45" s="11">
        <v>46169</v>
      </c>
      <c r="J45" s="8" t="s">
        <v>155</v>
      </c>
      <c r="K45" s="8" t="s">
        <v>21</v>
      </c>
      <c r="L45" s="8" t="s">
        <v>12</v>
      </c>
      <c r="M45" s="9">
        <v>0</v>
      </c>
      <c r="N45" s="9">
        <v>10000</v>
      </c>
      <c r="O45" s="9">
        <v>10000</v>
      </c>
      <c r="P45" s="9">
        <f t="shared" si="1"/>
        <v>0</v>
      </c>
      <c r="Q45" s="9">
        <v>10000</v>
      </c>
      <c r="R45" s="9">
        <f t="shared" si="2"/>
        <v>0</v>
      </c>
      <c r="S45" s="9">
        <v>0</v>
      </c>
      <c r="T45" s="9" t="s">
        <v>1</v>
      </c>
      <c r="U45" s="28">
        <v>46168</v>
      </c>
      <c r="V45" s="8" t="s">
        <v>0</v>
      </c>
      <c r="W45" s="8"/>
      <c r="X45" s="8"/>
      <c r="Y45" s="8"/>
      <c r="Z45" s="8"/>
      <c r="AA45" s="8" t="str">
        <f t="shared" si="3"/>
        <v>Paid</v>
      </c>
      <c r="AB45" s="8"/>
    </row>
    <row r="46" spans="1:29" x14ac:dyDescent="0.3">
      <c r="A46" s="8" t="s">
        <v>11</v>
      </c>
      <c r="B46" s="8" t="s">
        <v>537</v>
      </c>
      <c r="C46" s="8" t="s">
        <v>536</v>
      </c>
      <c r="D46" s="8" t="s">
        <v>535</v>
      </c>
      <c r="E46" s="8" t="s">
        <v>7</v>
      </c>
      <c r="F46" s="8" t="s">
        <v>534</v>
      </c>
      <c r="G46" s="8" t="s">
        <v>533</v>
      </c>
      <c r="H46" s="8" t="s">
        <v>73</v>
      </c>
      <c r="I46" s="11">
        <v>46168</v>
      </c>
      <c r="J46" s="29" t="s">
        <v>3</v>
      </c>
      <c r="K46" s="8" t="s">
        <v>2</v>
      </c>
      <c r="L46" s="8" t="s">
        <v>29</v>
      </c>
      <c r="M46" s="9">
        <v>3749</v>
      </c>
      <c r="N46" s="34">
        <v>3222</v>
      </c>
      <c r="O46" s="9">
        <v>4222</v>
      </c>
      <c r="P46" s="9">
        <f t="shared" si="1"/>
        <v>1000</v>
      </c>
      <c r="Q46" s="9">
        <v>10000</v>
      </c>
      <c r="R46" s="9">
        <f t="shared" si="2"/>
        <v>6778</v>
      </c>
      <c r="S46" s="9">
        <v>0</v>
      </c>
      <c r="T46" s="8" t="s">
        <v>1</v>
      </c>
      <c r="U46" s="28">
        <v>46176</v>
      </c>
      <c r="V46" s="8" t="s">
        <v>0</v>
      </c>
      <c r="W46" s="8"/>
      <c r="X46" s="9"/>
      <c r="Y46" s="8"/>
      <c r="Z46" s="8"/>
      <c r="AA46" s="8" t="str">
        <f t="shared" si="3"/>
        <v>Paid</v>
      </c>
      <c r="AB46" s="8"/>
    </row>
    <row r="47" spans="1:29" x14ac:dyDescent="0.3">
      <c r="A47" s="8" t="s">
        <v>11</v>
      </c>
      <c r="B47" s="8" t="s">
        <v>500</v>
      </c>
      <c r="C47" s="8" t="s">
        <v>499</v>
      </c>
      <c r="D47" s="8" t="s">
        <v>498</v>
      </c>
      <c r="E47" s="8" t="s">
        <v>7</v>
      </c>
      <c r="F47" s="8" t="s">
        <v>497</v>
      </c>
      <c r="G47" s="8" t="s">
        <v>496</v>
      </c>
      <c r="H47" s="8" t="s">
        <v>495</v>
      </c>
      <c r="I47" s="11">
        <v>46168</v>
      </c>
      <c r="J47" s="29" t="s">
        <v>3</v>
      </c>
      <c r="K47" s="8" t="s">
        <v>87</v>
      </c>
      <c r="L47" s="8" t="s">
        <v>29</v>
      </c>
      <c r="M47" s="9">
        <v>0</v>
      </c>
      <c r="N47" s="9">
        <f>3000+3800+40</f>
        <v>6840</v>
      </c>
      <c r="O47" s="9">
        <v>8840</v>
      </c>
      <c r="P47" s="9">
        <f t="shared" si="1"/>
        <v>2000</v>
      </c>
      <c r="Q47" s="9">
        <v>10000</v>
      </c>
      <c r="R47" s="9">
        <f t="shared" si="2"/>
        <v>3160</v>
      </c>
      <c r="S47" s="9">
        <v>0</v>
      </c>
      <c r="T47" s="9" t="s">
        <v>1</v>
      </c>
      <c r="U47" s="28">
        <v>46168</v>
      </c>
      <c r="V47" s="8" t="s">
        <v>0</v>
      </c>
      <c r="W47" s="8"/>
      <c r="X47" s="9"/>
      <c r="Y47" s="8"/>
      <c r="Z47" s="8"/>
      <c r="AA47" s="8" t="str">
        <f t="shared" si="3"/>
        <v>Paid</v>
      </c>
      <c r="AB47" s="8"/>
    </row>
    <row r="48" spans="1:29" x14ac:dyDescent="0.3">
      <c r="A48" s="8" t="s">
        <v>11</v>
      </c>
      <c r="B48" s="8" t="s">
        <v>532</v>
      </c>
      <c r="C48" s="8" t="s">
        <v>531</v>
      </c>
      <c r="D48" s="8" t="s">
        <v>530</v>
      </c>
      <c r="E48" s="8" t="s">
        <v>7</v>
      </c>
      <c r="F48" s="8" t="s">
        <v>497</v>
      </c>
      <c r="G48" s="8" t="s">
        <v>529</v>
      </c>
      <c r="H48" s="8" t="s">
        <v>354</v>
      </c>
      <c r="I48" s="11">
        <v>46168</v>
      </c>
      <c r="J48" s="29" t="s">
        <v>3</v>
      </c>
      <c r="K48" s="8" t="s">
        <v>87</v>
      </c>
      <c r="L48" s="8" t="s">
        <v>12</v>
      </c>
      <c r="M48" s="9">
        <v>0</v>
      </c>
      <c r="N48" s="9">
        <v>1610</v>
      </c>
      <c r="O48" s="9">
        <v>3610</v>
      </c>
      <c r="P48" s="9">
        <f t="shared" si="1"/>
        <v>2000</v>
      </c>
      <c r="Q48" s="9">
        <v>10000</v>
      </c>
      <c r="R48" s="9">
        <f t="shared" si="2"/>
        <v>8390</v>
      </c>
      <c r="S48" s="9">
        <v>0</v>
      </c>
      <c r="T48" s="9" t="s">
        <v>1</v>
      </c>
      <c r="U48" s="28">
        <v>46168</v>
      </c>
      <c r="V48" s="8" t="s">
        <v>0</v>
      </c>
      <c r="W48" s="8"/>
      <c r="X48" s="9"/>
      <c r="Y48" s="8"/>
      <c r="Z48" s="8"/>
      <c r="AA48" s="8" t="str">
        <f t="shared" si="3"/>
        <v>Paid</v>
      </c>
      <c r="AB48" s="8"/>
    </row>
    <row r="49" spans="1:29" x14ac:dyDescent="0.3">
      <c r="A49" s="8" t="s">
        <v>11</v>
      </c>
      <c r="B49" s="8" t="s">
        <v>528</v>
      </c>
      <c r="C49" s="8" t="s">
        <v>527</v>
      </c>
      <c r="D49" s="8" t="s">
        <v>526</v>
      </c>
      <c r="E49" s="8" t="s">
        <v>7</v>
      </c>
      <c r="F49" s="8" t="s">
        <v>525</v>
      </c>
      <c r="G49" s="8" t="s">
        <v>524</v>
      </c>
      <c r="H49" s="8" t="s">
        <v>523</v>
      </c>
      <c r="I49" s="11">
        <v>46168</v>
      </c>
      <c r="J49" s="29" t="s">
        <v>3</v>
      </c>
      <c r="K49" s="8" t="s">
        <v>87</v>
      </c>
      <c r="L49" s="8" t="s">
        <v>12</v>
      </c>
      <c r="M49" s="9">
        <v>0</v>
      </c>
      <c r="N49" s="9">
        <v>8025</v>
      </c>
      <c r="O49" s="9">
        <v>9025</v>
      </c>
      <c r="P49" s="9">
        <f t="shared" si="1"/>
        <v>1000</v>
      </c>
      <c r="Q49" s="9">
        <v>10000</v>
      </c>
      <c r="R49" s="9">
        <f t="shared" si="2"/>
        <v>1975</v>
      </c>
      <c r="S49" s="9">
        <v>0</v>
      </c>
      <c r="T49" s="9" t="s">
        <v>1</v>
      </c>
      <c r="U49" s="28">
        <v>46170</v>
      </c>
      <c r="V49" s="8" t="s">
        <v>0</v>
      </c>
      <c r="W49" s="8"/>
      <c r="X49" s="9"/>
      <c r="Y49" s="8"/>
      <c r="Z49" s="8"/>
      <c r="AA49" s="8" t="str">
        <f t="shared" si="3"/>
        <v>Paid</v>
      </c>
      <c r="AB49" s="8"/>
    </row>
    <row r="50" spans="1:29" x14ac:dyDescent="0.3">
      <c r="A50" s="8" t="s">
        <v>11</v>
      </c>
      <c r="B50" s="8" t="s">
        <v>522</v>
      </c>
      <c r="C50" s="8" t="s">
        <v>521</v>
      </c>
      <c r="D50" s="8" t="s">
        <v>520</v>
      </c>
      <c r="E50" s="8" t="s">
        <v>155</v>
      </c>
      <c r="F50" s="8" t="s">
        <v>519</v>
      </c>
      <c r="G50" s="8" t="s">
        <v>518</v>
      </c>
      <c r="H50" s="8" t="s">
        <v>517</v>
      </c>
      <c r="I50" s="11">
        <v>46169</v>
      </c>
      <c r="J50" s="8" t="s">
        <v>155</v>
      </c>
      <c r="K50" s="8" t="s">
        <v>2</v>
      </c>
      <c r="L50" s="8" t="s">
        <v>12</v>
      </c>
      <c r="M50" s="9">
        <v>0</v>
      </c>
      <c r="N50" s="9">
        <v>10000</v>
      </c>
      <c r="O50" s="9">
        <v>10000</v>
      </c>
      <c r="P50" s="9">
        <f t="shared" si="1"/>
        <v>0</v>
      </c>
      <c r="Q50" s="9">
        <v>10000</v>
      </c>
      <c r="R50" s="9">
        <f t="shared" si="2"/>
        <v>0</v>
      </c>
      <c r="S50" s="9">
        <v>0</v>
      </c>
      <c r="T50" s="9" t="s">
        <v>1</v>
      </c>
      <c r="U50" s="28">
        <v>46170</v>
      </c>
      <c r="V50" s="8" t="s">
        <v>0</v>
      </c>
      <c r="W50" s="8"/>
      <c r="X50" s="9"/>
      <c r="Y50" s="8"/>
      <c r="Z50" s="8"/>
      <c r="AA50" s="8" t="str">
        <f t="shared" si="3"/>
        <v>Paid</v>
      </c>
      <c r="AB50" s="8"/>
    </row>
    <row r="51" spans="1:29" x14ac:dyDescent="0.3">
      <c r="A51" s="8" t="s">
        <v>11</v>
      </c>
      <c r="B51" s="8" t="s">
        <v>516</v>
      </c>
      <c r="C51" s="8" t="s">
        <v>515</v>
      </c>
      <c r="D51" s="8" t="s">
        <v>514</v>
      </c>
      <c r="E51" s="8" t="s">
        <v>7</v>
      </c>
      <c r="F51" s="8" t="s">
        <v>513</v>
      </c>
      <c r="G51" s="8" t="s">
        <v>512</v>
      </c>
      <c r="H51" s="8" t="s">
        <v>511</v>
      </c>
      <c r="I51" s="11">
        <v>46171</v>
      </c>
      <c r="J51" s="29" t="s">
        <v>3</v>
      </c>
      <c r="K51" s="8" t="s">
        <v>87</v>
      </c>
      <c r="L51" s="8" t="s">
        <v>29</v>
      </c>
      <c r="M51" s="9">
        <v>10116.14</v>
      </c>
      <c r="N51" s="34">
        <f>200+7291</f>
        <v>7491</v>
      </c>
      <c r="O51" s="9">
        <v>10000</v>
      </c>
      <c r="P51" s="9">
        <f t="shared" si="1"/>
        <v>2509</v>
      </c>
      <c r="Q51" s="9">
        <v>10000</v>
      </c>
      <c r="R51" s="9">
        <f t="shared" si="2"/>
        <v>2509</v>
      </c>
      <c r="S51" s="9">
        <v>0</v>
      </c>
      <c r="T51" s="8" t="s">
        <v>1</v>
      </c>
      <c r="U51" s="28">
        <v>46176</v>
      </c>
      <c r="V51" s="8" t="s">
        <v>0</v>
      </c>
      <c r="W51" s="8"/>
      <c r="X51" s="9"/>
      <c r="Y51" s="8"/>
      <c r="Z51" s="8"/>
      <c r="AA51" s="8" t="str">
        <f t="shared" si="3"/>
        <v>Paid</v>
      </c>
      <c r="AB51" s="8"/>
    </row>
    <row r="52" spans="1:29" x14ac:dyDescent="0.3">
      <c r="A52" s="8" t="s">
        <v>11</v>
      </c>
      <c r="B52" s="8" t="s">
        <v>510</v>
      </c>
      <c r="C52" s="8" t="s">
        <v>509</v>
      </c>
      <c r="D52" s="8" t="s">
        <v>508</v>
      </c>
      <c r="E52" s="8" t="s">
        <v>7</v>
      </c>
      <c r="F52" s="8" t="s">
        <v>229</v>
      </c>
      <c r="G52" s="8" t="s">
        <v>507</v>
      </c>
      <c r="H52" s="8" t="s">
        <v>23</v>
      </c>
      <c r="I52" s="11">
        <v>46170</v>
      </c>
      <c r="J52" s="8" t="s">
        <v>14</v>
      </c>
      <c r="K52" s="8" t="s">
        <v>13</v>
      </c>
      <c r="L52" s="8" t="s">
        <v>94</v>
      </c>
      <c r="M52" s="9">
        <v>0</v>
      </c>
      <c r="N52" s="9">
        <v>4718</v>
      </c>
      <c r="O52" s="9">
        <v>5718</v>
      </c>
      <c r="P52" s="9">
        <f t="shared" si="1"/>
        <v>1000</v>
      </c>
      <c r="Q52" s="9">
        <v>10000</v>
      </c>
      <c r="R52" s="9">
        <f t="shared" si="2"/>
        <v>5282</v>
      </c>
      <c r="S52" s="9">
        <v>0</v>
      </c>
      <c r="T52" s="9" t="s">
        <v>1</v>
      </c>
      <c r="U52" s="28">
        <v>46169</v>
      </c>
      <c r="V52" s="8" t="s">
        <v>0</v>
      </c>
      <c r="W52" s="8"/>
      <c r="X52" s="9"/>
      <c r="Y52" s="8"/>
      <c r="Z52" s="8"/>
      <c r="AA52" s="8" t="str">
        <f t="shared" si="3"/>
        <v>Paid</v>
      </c>
      <c r="AB52" s="8"/>
    </row>
    <row r="53" spans="1:29" x14ac:dyDescent="0.3">
      <c r="A53" s="8" t="s">
        <v>11</v>
      </c>
      <c r="B53" s="8" t="s">
        <v>506</v>
      </c>
      <c r="C53" s="8" t="s">
        <v>505</v>
      </c>
      <c r="D53" s="8" t="s">
        <v>504</v>
      </c>
      <c r="E53" s="8" t="s">
        <v>155</v>
      </c>
      <c r="F53" s="8" t="s">
        <v>503</v>
      </c>
      <c r="G53" s="8" t="s">
        <v>502</v>
      </c>
      <c r="H53" s="8" t="s">
        <v>501</v>
      </c>
      <c r="I53" s="11">
        <v>46171</v>
      </c>
      <c r="J53" s="8" t="s">
        <v>155</v>
      </c>
      <c r="K53" s="8" t="s">
        <v>13</v>
      </c>
      <c r="L53" s="8" t="s">
        <v>29</v>
      </c>
      <c r="M53" s="9">
        <v>0</v>
      </c>
      <c r="N53" s="9">
        <v>8050</v>
      </c>
      <c r="O53" s="9">
        <v>9050</v>
      </c>
      <c r="P53" s="9">
        <f t="shared" si="1"/>
        <v>1000</v>
      </c>
      <c r="Q53" s="9">
        <v>10000</v>
      </c>
      <c r="R53" s="9">
        <f t="shared" si="2"/>
        <v>1950</v>
      </c>
      <c r="S53" s="9">
        <v>0</v>
      </c>
      <c r="T53" s="9" t="s">
        <v>1</v>
      </c>
      <c r="U53" s="28">
        <v>46169</v>
      </c>
      <c r="V53" s="8" t="s">
        <v>0</v>
      </c>
      <c r="W53" s="8"/>
      <c r="X53" s="9"/>
      <c r="Y53" s="8"/>
      <c r="Z53" s="8"/>
      <c r="AA53" s="8" t="str">
        <f t="shared" si="3"/>
        <v>Paid</v>
      </c>
      <c r="AB53" s="8"/>
    </row>
    <row r="54" spans="1:29" x14ac:dyDescent="0.3">
      <c r="A54" s="8" t="s">
        <v>11</v>
      </c>
      <c r="B54" s="8" t="s">
        <v>494</v>
      </c>
      <c r="C54" s="8" t="s">
        <v>493</v>
      </c>
      <c r="D54" s="8" t="s">
        <v>492</v>
      </c>
      <c r="E54" s="8" t="s">
        <v>7</v>
      </c>
      <c r="F54" s="8" t="s">
        <v>491</v>
      </c>
      <c r="G54" s="8" t="s">
        <v>490</v>
      </c>
      <c r="H54" s="8" t="s">
        <v>73</v>
      </c>
      <c r="I54" s="11">
        <v>46169</v>
      </c>
      <c r="J54" s="8" t="s">
        <v>14</v>
      </c>
      <c r="K54" s="8" t="s">
        <v>2</v>
      </c>
      <c r="L54" s="8" t="s">
        <v>29</v>
      </c>
      <c r="M54" s="9">
        <v>0</v>
      </c>
      <c r="N54" s="9">
        <v>7076</v>
      </c>
      <c r="O54" s="9">
        <v>8776</v>
      </c>
      <c r="P54" s="9">
        <f t="shared" si="1"/>
        <v>1700</v>
      </c>
      <c r="Q54" s="9">
        <v>10000</v>
      </c>
      <c r="R54" s="9">
        <f t="shared" si="2"/>
        <v>2924</v>
      </c>
      <c r="S54" s="9">
        <v>0</v>
      </c>
      <c r="T54" s="9" t="s">
        <v>1</v>
      </c>
      <c r="U54" s="28">
        <v>46168</v>
      </c>
      <c r="V54" s="8" t="s">
        <v>0</v>
      </c>
      <c r="W54" s="8"/>
      <c r="X54" s="9"/>
      <c r="Y54" s="8"/>
      <c r="Z54" s="8"/>
      <c r="AA54" s="8" t="str">
        <f t="shared" si="3"/>
        <v>Paid</v>
      </c>
      <c r="AB54" s="8"/>
    </row>
    <row r="55" spans="1:29" s="21" customFormat="1" ht="28.8" x14ac:dyDescent="0.3">
      <c r="A55" s="8" t="s">
        <v>11</v>
      </c>
      <c r="B55" s="8" t="s">
        <v>489</v>
      </c>
      <c r="C55" s="8" t="s">
        <v>488</v>
      </c>
      <c r="D55" s="8" t="s">
        <v>487</v>
      </c>
      <c r="E55" s="8" t="s">
        <v>22</v>
      </c>
      <c r="F55" s="8" t="s">
        <v>486</v>
      </c>
      <c r="G55" s="8" t="s">
        <v>485</v>
      </c>
      <c r="H55" s="8" t="s">
        <v>484</v>
      </c>
      <c r="I55" s="11">
        <v>46170</v>
      </c>
      <c r="J55" s="11" t="s">
        <v>22</v>
      </c>
      <c r="K55" s="8" t="s">
        <v>2</v>
      </c>
      <c r="L55" s="8" t="s">
        <v>94</v>
      </c>
      <c r="M55" s="9">
        <v>0</v>
      </c>
      <c r="N55" s="9">
        <v>3000</v>
      </c>
      <c r="O55" s="9">
        <v>5000</v>
      </c>
      <c r="P55" s="9">
        <f t="shared" si="1"/>
        <v>2000</v>
      </c>
      <c r="Q55" s="9">
        <v>10000</v>
      </c>
      <c r="R55" s="9">
        <f t="shared" si="2"/>
        <v>7000</v>
      </c>
      <c r="S55" s="9">
        <v>0</v>
      </c>
      <c r="T55" s="9" t="s">
        <v>1</v>
      </c>
      <c r="U55" s="28">
        <v>46170</v>
      </c>
      <c r="V55" s="8" t="s">
        <v>0</v>
      </c>
      <c r="W55" s="8"/>
      <c r="X55" s="9"/>
      <c r="Y55" s="8"/>
      <c r="Z55" s="8"/>
      <c r="AA55" s="8" t="str">
        <f t="shared" si="3"/>
        <v>Paid</v>
      </c>
      <c r="AB55" s="8"/>
      <c r="AC55" s="1"/>
    </row>
    <row r="56" spans="1:29" x14ac:dyDescent="0.3">
      <c r="A56" s="8" t="s">
        <v>343</v>
      </c>
      <c r="B56" s="8" t="s">
        <v>483</v>
      </c>
      <c r="C56" s="8" t="s">
        <v>482</v>
      </c>
      <c r="D56" s="8" t="s">
        <v>481</v>
      </c>
      <c r="E56" s="8" t="s">
        <v>7</v>
      </c>
      <c r="F56" s="8" t="s">
        <v>480</v>
      </c>
      <c r="G56" s="8" t="s">
        <v>479</v>
      </c>
      <c r="H56" s="8" t="s">
        <v>478</v>
      </c>
      <c r="I56" s="11">
        <v>46170</v>
      </c>
      <c r="J56" s="8" t="s">
        <v>14</v>
      </c>
      <c r="K56" s="8" t="s">
        <v>2</v>
      </c>
      <c r="L56" s="9" t="s">
        <v>2</v>
      </c>
      <c r="M56" s="9">
        <v>0</v>
      </c>
      <c r="N56" s="9">
        <v>17700</v>
      </c>
      <c r="O56" s="9">
        <v>21700</v>
      </c>
      <c r="P56" s="9">
        <f t="shared" si="1"/>
        <v>4000</v>
      </c>
      <c r="Q56" s="34">
        <v>22000</v>
      </c>
      <c r="R56" s="9">
        <f t="shared" si="2"/>
        <v>4300</v>
      </c>
      <c r="S56" s="9">
        <v>0</v>
      </c>
      <c r="T56" s="9" t="s">
        <v>1</v>
      </c>
      <c r="U56" s="28">
        <v>46170</v>
      </c>
      <c r="V56" s="8" t="s">
        <v>0</v>
      </c>
      <c r="W56" s="8"/>
      <c r="X56" s="9"/>
      <c r="Y56" s="8"/>
      <c r="Z56" s="8"/>
      <c r="AA56" s="8" t="str">
        <f t="shared" si="3"/>
        <v>Paid</v>
      </c>
      <c r="AB56" s="8"/>
    </row>
    <row r="57" spans="1:29" s="21" customFormat="1" x14ac:dyDescent="0.3">
      <c r="A57" s="8" t="s">
        <v>11</v>
      </c>
      <c r="B57" s="8" t="s">
        <v>477</v>
      </c>
      <c r="C57" s="8" t="s">
        <v>476</v>
      </c>
      <c r="D57" s="8" t="s">
        <v>475</v>
      </c>
      <c r="E57" s="8" t="s">
        <v>7</v>
      </c>
      <c r="F57" s="8" t="s">
        <v>419</v>
      </c>
      <c r="G57" s="8" t="s">
        <v>474</v>
      </c>
      <c r="H57" s="8" t="s">
        <v>53</v>
      </c>
      <c r="I57" s="11">
        <v>46167</v>
      </c>
      <c r="J57" s="8" t="s">
        <v>14</v>
      </c>
      <c r="K57" s="8" t="s">
        <v>2</v>
      </c>
      <c r="L57" s="9" t="s">
        <v>2</v>
      </c>
      <c r="M57" s="9">
        <v>0</v>
      </c>
      <c r="N57" s="9">
        <v>6816</v>
      </c>
      <c r="O57" s="9">
        <v>8816</v>
      </c>
      <c r="P57" s="9">
        <f t="shared" si="1"/>
        <v>2000</v>
      </c>
      <c r="Q57" s="9">
        <v>10000</v>
      </c>
      <c r="R57" s="9">
        <f t="shared" si="2"/>
        <v>3184</v>
      </c>
      <c r="S57" s="9">
        <v>0</v>
      </c>
      <c r="T57" s="9" t="s">
        <v>1</v>
      </c>
      <c r="U57" s="28">
        <v>46167</v>
      </c>
      <c r="V57" s="8" t="s">
        <v>0</v>
      </c>
      <c r="W57" s="8"/>
      <c r="X57" s="9"/>
      <c r="Y57" s="8"/>
      <c r="Z57" s="8"/>
      <c r="AA57" s="8" t="str">
        <f t="shared" si="3"/>
        <v>Paid</v>
      </c>
      <c r="AB57" s="8"/>
      <c r="AC57" s="1"/>
    </row>
    <row r="58" spans="1:29" s="21" customFormat="1" x14ac:dyDescent="0.3">
      <c r="A58" s="8" t="s">
        <v>11</v>
      </c>
      <c r="B58" s="8" t="s">
        <v>473</v>
      </c>
      <c r="C58" s="8" t="s">
        <v>472</v>
      </c>
      <c r="D58" s="8" t="s">
        <v>471</v>
      </c>
      <c r="E58" s="8" t="s">
        <v>7</v>
      </c>
      <c r="F58" s="8" t="s">
        <v>328</v>
      </c>
      <c r="G58" s="8" t="s">
        <v>470</v>
      </c>
      <c r="H58" s="8" t="s">
        <v>59</v>
      </c>
      <c r="I58" s="11">
        <v>46168</v>
      </c>
      <c r="J58" s="8" t="s">
        <v>14</v>
      </c>
      <c r="K58" s="8" t="s">
        <v>2</v>
      </c>
      <c r="L58" s="9" t="s">
        <v>2</v>
      </c>
      <c r="M58" s="9">
        <v>0</v>
      </c>
      <c r="N58" s="9">
        <v>3537</v>
      </c>
      <c r="O58" s="9">
        <v>5537</v>
      </c>
      <c r="P58" s="9">
        <f t="shared" si="1"/>
        <v>2000</v>
      </c>
      <c r="Q58" s="9">
        <v>10000</v>
      </c>
      <c r="R58" s="9">
        <f t="shared" si="2"/>
        <v>6463</v>
      </c>
      <c r="S58" s="9">
        <v>0</v>
      </c>
      <c r="T58" s="9" t="s">
        <v>1</v>
      </c>
      <c r="U58" s="28">
        <v>46168</v>
      </c>
      <c r="V58" s="8" t="s">
        <v>0</v>
      </c>
      <c r="W58" s="8"/>
      <c r="X58" s="9"/>
      <c r="Y58" s="8"/>
      <c r="Z58" s="8"/>
      <c r="AA58" s="8" t="str">
        <f t="shared" si="3"/>
        <v>Paid</v>
      </c>
      <c r="AB58" s="8"/>
      <c r="AC58" s="1"/>
    </row>
    <row r="59" spans="1:29" x14ac:dyDescent="0.3">
      <c r="A59" s="8" t="s">
        <v>343</v>
      </c>
      <c r="B59" s="8" t="s">
        <v>469</v>
      </c>
      <c r="C59" s="8" t="s">
        <v>468</v>
      </c>
      <c r="D59" s="8" t="s">
        <v>467</v>
      </c>
      <c r="E59" s="8" t="s">
        <v>465</v>
      </c>
      <c r="F59" s="8" t="s">
        <v>75</v>
      </c>
      <c r="G59" s="8" t="s">
        <v>794</v>
      </c>
      <c r="H59" s="8" t="s">
        <v>466</v>
      </c>
      <c r="I59" s="11">
        <v>46170</v>
      </c>
      <c r="J59" s="11" t="s">
        <v>465</v>
      </c>
      <c r="K59" s="8" t="s">
        <v>13</v>
      </c>
      <c r="L59" s="8" t="s">
        <v>12</v>
      </c>
      <c r="M59" s="9">
        <v>0</v>
      </c>
      <c r="N59" s="9">
        <v>21750</v>
      </c>
      <c r="O59" s="9">
        <v>21750</v>
      </c>
      <c r="P59" s="9">
        <f t="shared" si="1"/>
        <v>0</v>
      </c>
      <c r="Q59" s="34">
        <v>22000</v>
      </c>
      <c r="R59" s="9">
        <f t="shared" si="2"/>
        <v>250</v>
      </c>
      <c r="S59" s="9">
        <v>0</v>
      </c>
      <c r="T59" s="9" t="s">
        <v>1</v>
      </c>
      <c r="U59" s="28">
        <v>46171</v>
      </c>
      <c r="V59" s="8" t="s">
        <v>0</v>
      </c>
      <c r="W59" s="8"/>
      <c r="X59" s="9"/>
      <c r="Y59" s="8"/>
      <c r="Z59" s="8"/>
      <c r="AA59" s="8" t="str">
        <f t="shared" si="3"/>
        <v>Paid</v>
      </c>
      <c r="AB59" s="8"/>
    </row>
    <row r="60" spans="1:29" x14ac:dyDescent="0.3">
      <c r="A60" s="8" t="s">
        <v>11</v>
      </c>
      <c r="B60" s="8" t="s">
        <v>464</v>
      </c>
      <c r="C60" s="8" t="s">
        <v>463</v>
      </c>
      <c r="D60" s="8" t="s">
        <v>462</v>
      </c>
      <c r="E60" s="8" t="s">
        <v>155</v>
      </c>
      <c r="F60" s="8" t="s">
        <v>461</v>
      </c>
      <c r="G60" s="8" t="s">
        <v>460</v>
      </c>
      <c r="H60" s="8" t="s">
        <v>459</v>
      </c>
      <c r="I60" s="11">
        <v>46173</v>
      </c>
      <c r="J60" s="8" t="s">
        <v>155</v>
      </c>
      <c r="K60" s="8" t="s">
        <v>21</v>
      </c>
      <c r="L60" s="9" t="s">
        <v>12</v>
      </c>
      <c r="M60" s="9">
        <v>0</v>
      </c>
      <c r="N60" s="9">
        <v>10000</v>
      </c>
      <c r="O60" s="9">
        <v>10000</v>
      </c>
      <c r="P60" s="9">
        <f t="shared" si="1"/>
        <v>0</v>
      </c>
      <c r="Q60" s="9">
        <v>10000</v>
      </c>
      <c r="R60" s="9">
        <f t="shared" si="2"/>
        <v>0</v>
      </c>
      <c r="S60" s="9">
        <v>0</v>
      </c>
      <c r="T60" s="9" t="s">
        <v>1</v>
      </c>
      <c r="U60" s="28">
        <v>46171</v>
      </c>
      <c r="V60" s="8" t="s">
        <v>0</v>
      </c>
      <c r="W60" s="8"/>
      <c r="X60" s="9"/>
      <c r="Y60" s="8"/>
      <c r="Z60" s="8"/>
      <c r="AA60" s="8" t="str">
        <f t="shared" si="3"/>
        <v>Paid</v>
      </c>
      <c r="AB60" s="8"/>
    </row>
    <row r="61" spans="1:29" x14ac:dyDescent="0.3">
      <c r="A61" s="8" t="s">
        <v>11</v>
      </c>
      <c r="B61" s="8" t="s">
        <v>458</v>
      </c>
      <c r="C61" s="8" t="s">
        <v>457</v>
      </c>
      <c r="D61" s="8" t="s">
        <v>456</v>
      </c>
      <c r="E61" s="8" t="s">
        <v>7</v>
      </c>
      <c r="F61" s="8" t="s">
        <v>455</v>
      </c>
      <c r="G61" s="8" t="s">
        <v>454</v>
      </c>
      <c r="H61" s="8" t="s">
        <v>59</v>
      </c>
      <c r="I61" s="11">
        <v>46171</v>
      </c>
      <c r="J61" s="8" t="s">
        <v>14</v>
      </c>
      <c r="K61" s="8" t="s">
        <v>13</v>
      </c>
      <c r="L61" s="8" t="s">
        <v>94</v>
      </c>
      <c r="M61" s="9">
        <v>0</v>
      </c>
      <c r="N61" s="9">
        <v>4213</v>
      </c>
      <c r="O61" s="9">
        <v>5913</v>
      </c>
      <c r="P61" s="9">
        <f t="shared" si="1"/>
        <v>1700</v>
      </c>
      <c r="Q61" s="9">
        <v>10000</v>
      </c>
      <c r="R61" s="9">
        <f t="shared" si="2"/>
        <v>5787</v>
      </c>
      <c r="S61" s="9">
        <v>0</v>
      </c>
      <c r="T61" s="9" t="s">
        <v>1</v>
      </c>
      <c r="U61" s="28">
        <v>46171</v>
      </c>
      <c r="V61" s="8" t="s">
        <v>0</v>
      </c>
      <c r="W61" s="8"/>
      <c r="X61" s="9"/>
      <c r="Y61" s="8"/>
      <c r="Z61" s="8"/>
      <c r="AA61" s="8" t="str">
        <f t="shared" ref="AA61:AA91" si="4">IF(N61,"Paid","Unpaid")</f>
        <v>Paid</v>
      </c>
      <c r="AB61" s="8"/>
    </row>
    <row r="62" spans="1:29" s="21" customFormat="1" x14ac:dyDescent="0.3">
      <c r="A62" s="8" t="s">
        <v>11</v>
      </c>
      <c r="B62" s="8" t="s">
        <v>279</v>
      </c>
      <c r="C62" s="8" t="s">
        <v>278</v>
      </c>
      <c r="D62" s="8" t="s">
        <v>277</v>
      </c>
      <c r="E62" s="8" t="s">
        <v>155</v>
      </c>
      <c r="F62" s="8" t="s">
        <v>276</v>
      </c>
      <c r="G62" s="8" t="s">
        <v>795</v>
      </c>
      <c r="H62" s="8" t="s">
        <v>59</v>
      </c>
      <c r="I62" s="11">
        <v>46172</v>
      </c>
      <c r="J62" s="8" t="s">
        <v>155</v>
      </c>
      <c r="K62" s="8" t="s">
        <v>21</v>
      </c>
      <c r="L62" s="8" t="s">
        <v>29</v>
      </c>
      <c r="M62" s="9">
        <v>0</v>
      </c>
      <c r="N62" s="9">
        <f>8400+945</f>
        <v>9345</v>
      </c>
      <c r="O62" s="9">
        <v>9765</v>
      </c>
      <c r="P62" s="9">
        <f t="shared" ref="P62:P121" si="5">O62-N62</f>
        <v>420</v>
      </c>
      <c r="Q62" s="9">
        <v>10000</v>
      </c>
      <c r="R62" s="9">
        <f t="shared" ref="R62:R121" si="6">Q62-N62</f>
        <v>655</v>
      </c>
      <c r="S62" s="9">
        <v>0</v>
      </c>
      <c r="T62" s="9" t="s">
        <v>1</v>
      </c>
      <c r="U62" s="28">
        <v>46172</v>
      </c>
      <c r="V62" s="8" t="s">
        <v>0</v>
      </c>
      <c r="W62" s="8"/>
      <c r="X62" s="9"/>
      <c r="Y62" s="8"/>
      <c r="Z62" s="8"/>
      <c r="AA62" s="8" t="str">
        <f t="shared" si="4"/>
        <v>Paid</v>
      </c>
      <c r="AB62" s="8"/>
      <c r="AC62" s="1"/>
    </row>
    <row r="63" spans="1:29" x14ac:dyDescent="0.3">
      <c r="A63" s="8" t="s">
        <v>11</v>
      </c>
      <c r="B63" s="8" t="s">
        <v>453</v>
      </c>
      <c r="C63" s="8" t="s">
        <v>452</v>
      </c>
      <c r="D63" s="8" t="s">
        <v>451</v>
      </c>
      <c r="E63" s="8" t="s">
        <v>7</v>
      </c>
      <c r="F63" s="8" t="s">
        <v>379</v>
      </c>
      <c r="G63" s="8" t="s">
        <v>450</v>
      </c>
      <c r="H63" s="8" t="s">
        <v>23</v>
      </c>
      <c r="I63" s="11">
        <v>46172</v>
      </c>
      <c r="J63" s="8" t="s">
        <v>14</v>
      </c>
      <c r="K63" s="8" t="s">
        <v>87</v>
      </c>
      <c r="L63" s="8" t="s">
        <v>94</v>
      </c>
      <c r="M63" s="9">
        <v>0</v>
      </c>
      <c r="N63" s="9">
        <v>5192</v>
      </c>
      <c r="O63" s="9">
        <v>5192</v>
      </c>
      <c r="P63" s="9">
        <f t="shared" si="5"/>
        <v>0</v>
      </c>
      <c r="Q63" s="9">
        <v>10000</v>
      </c>
      <c r="R63" s="9">
        <f t="shared" si="6"/>
        <v>4808</v>
      </c>
      <c r="S63" s="9">
        <v>0</v>
      </c>
      <c r="T63" s="9" t="s">
        <v>1</v>
      </c>
      <c r="U63" s="28">
        <v>46172</v>
      </c>
      <c r="V63" s="8" t="s">
        <v>0</v>
      </c>
      <c r="W63" s="8"/>
      <c r="X63" s="9"/>
      <c r="Y63" s="8"/>
      <c r="Z63" s="8"/>
      <c r="AA63" s="8" t="str">
        <f t="shared" si="4"/>
        <v>Paid</v>
      </c>
      <c r="AB63" s="8"/>
    </row>
    <row r="64" spans="1:29" s="30" customFormat="1" x14ac:dyDescent="0.3">
      <c r="A64" s="8" t="s">
        <v>11</v>
      </c>
      <c r="B64" s="8" t="s">
        <v>449</v>
      </c>
      <c r="C64" s="8" t="s">
        <v>448</v>
      </c>
      <c r="D64" s="8" t="s">
        <v>447</v>
      </c>
      <c r="E64" s="8" t="s">
        <v>7</v>
      </c>
      <c r="F64" s="8" t="s">
        <v>446</v>
      </c>
      <c r="G64" s="8" t="s">
        <v>445</v>
      </c>
      <c r="H64" s="8" t="s">
        <v>444</v>
      </c>
      <c r="I64" s="11">
        <v>46172</v>
      </c>
      <c r="J64" s="8" t="s">
        <v>14</v>
      </c>
      <c r="K64" s="8" t="s">
        <v>87</v>
      </c>
      <c r="L64" s="8" t="s">
        <v>94</v>
      </c>
      <c r="M64" s="9">
        <v>0</v>
      </c>
      <c r="N64" s="9">
        <v>10000</v>
      </c>
      <c r="O64" s="9">
        <v>10000</v>
      </c>
      <c r="P64" s="9">
        <f t="shared" si="5"/>
        <v>0</v>
      </c>
      <c r="Q64" s="9">
        <v>10000</v>
      </c>
      <c r="R64" s="9">
        <f t="shared" si="6"/>
        <v>0</v>
      </c>
      <c r="S64" s="9">
        <v>0</v>
      </c>
      <c r="T64" s="9" t="s">
        <v>1</v>
      </c>
      <c r="U64" s="28">
        <v>46171</v>
      </c>
      <c r="V64" s="8" t="s">
        <v>0</v>
      </c>
      <c r="W64" s="29"/>
      <c r="X64" s="31"/>
      <c r="Y64" s="29"/>
      <c r="Z64" s="29"/>
      <c r="AA64" s="8" t="str">
        <f t="shared" si="4"/>
        <v>Paid</v>
      </c>
      <c r="AB64" s="29"/>
      <c r="AC64" s="1"/>
    </row>
    <row r="65" spans="1:29" s="30" customFormat="1" ht="28.8" x14ac:dyDescent="0.3">
      <c r="A65" s="8" t="s">
        <v>11</v>
      </c>
      <c r="B65" s="8" t="s">
        <v>443</v>
      </c>
      <c r="C65" s="8" t="s">
        <v>442</v>
      </c>
      <c r="D65" s="8" t="s">
        <v>441</v>
      </c>
      <c r="E65" s="8" t="s">
        <v>7</v>
      </c>
      <c r="F65" s="8" t="s">
        <v>440</v>
      </c>
      <c r="G65" s="8" t="s">
        <v>439</v>
      </c>
      <c r="H65" s="8" t="s">
        <v>438</v>
      </c>
      <c r="I65" s="11">
        <v>46172</v>
      </c>
      <c r="J65" s="8" t="s">
        <v>14</v>
      </c>
      <c r="K65" s="8" t="s">
        <v>2</v>
      </c>
      <c r="L65" s="8" t="s">
        <v>94</v>
      </c>
      <c r="M65" s="9">
        <v>0</v>
      </c>
      <c r="N65" s="9">
        <v>4196</v>
      </c>
      <c r="O65" s="9">
        <v>5196</v>
      </c>
      <c r="P65" s="9">
        <f t="shared" si="5"/>
        <v>1000</v>
      </c>
      <c r="Q65" s="9">
        <v>10000</v>
      </c>
      <c r="R65" s="9">
        <f t="shared" si="6"/>
        <v>5804</v>
      </c>
      <c r="S65" s="9">
        <v>0</v>
      </c>
      <c r="T65" s="9" t="s">
        <v>1</v>
      </c>
      <c r="U65" s="28">
        <v>46171</v>
      </c>
      <c r="V65" s="8" t="s">
        <v>0</v>
      </c>
      <c r="W65" s="29"/>
      <c r="X65" s="31"/>
      <c r="Y65" s="29"/>
      <c r="Z65" s="29"/>
      <c r="AA65" s="8" t="str">
        <f t="shared" si="4"/>
        <v>Paid</v>
      </c>
      <c r="AB65" s="29"/>
      <c r="AC65" s="1"/>
    </row>
    <row r="66" spans="1:29" s="30" customFormat="1" x14ac:dyDescent="0.3">
      <c r="A66" s="8" t="s">
        <v>11</v>
      </c>
      <c r="B66" s="8" t="s">
        <v>437</v>
      </c>
      <c r="C66" s="8" t="s">
        <v>436</v>
      </c>
      <c r="D66" s="8" t="s">
        <v>808</v>
      </c>
      <c r="E66" s="8" t="s">
        <v>7</v>
      </c>
      <c r="F66" s="8" t="s">
        <v>435</v>
      </c>
      <c r="G66" s="8" t="s">
        <v>434</v>
      </c>
      <c r="H66" s="8" t="s">
        <v>297</v>
      </c>
      <c r="I66" s="11">
        <v>46173</v>
      </c>
      <c r="J66" s="8" t="s">
        <v>14</v>
      </c>
      <c r="K66" s="8" t="s">
        <v>13</v>
      </c>
      <c r="L66" s="8" t="s">
        <v>94</v>
      </c>
      <c r="M66" s="9">
        <v>0</v>
      </c>
      <c r="N66" s="9">
        <v>12744</v>
      </c>
      <c r="O66" s="9">
        <v>12744</v>
      </c>
      <c r="P66" s="9">
        <f t="shared" si="5"/>
        <v>0</v>
      </c>
      <c r="Q66" s="9">
        <v>10000</v>
      </c>
      <c r="R66" s="9">
        <f t="shared" si="6"/>
        <v>-2744</v>
      </c>
      <c r="S66" s="9">
        <f>VLOOKUP(B66,[1]Sheet1!$B:$J,9,0)</f>
        <v>3000</v>
      </c>
      <c r="T66" s="9" t="s">
        <v>1</v>
      </c>
      <c r="U66" s="28">
        <v>46173</v>
      </c>
      <c r="V66" s="8" t="s">
        <v>0</v>
      </c>
      <c r="W66" s="29"/>
      <c r="X66" s="31"/>
      <c r="Y66" s="29"/>
      <c r="Z66" s="29"/>
      <c r="AA66" s="8" t="str">
        <f t="shared" si="4"/>
        <v>Paid</v>
      </c>
      <c r="AB66" s="29"/>
      <c r="AC66" s="1"/>
    </row>
    <row r="67" spans="1:29" s="30" customFormat="1" ht="28.8" x14ac:dyDescent="0.3">
      <c r="A67" s="8" t="s">
        <v>11</v>
      </c>
      <c r="B67" s="8" t="s">
        <v>433</v>
      </c>
      <c r="C67" s="8" t="s">
        <v>432</v>
      </c>
      <c r="D67" s="8" t="s">
        <v>431</v>
      </c>
      <c r="E67" s="8" t="s">
        <v>7</v>
      </c>
      <c r="F67" s="8" t="s">
        <v>430</v>
      </c>
      <c r="G67" s="8" t="s">
        <v>429</v>
      </c>
      <c r="H67" s="8" t="s">
        <v>428</v>
      </c>
      <c r="I67" s="11">
        <v>46173</v>
      </c>
      <c r="J67" s="29" t="s">
        <v>3</v>
      </c>
      <c r="K67" s="8" t="s">
        <v>13</v>
      </c>
      <c r="L67" s="8" t="s">
        <v>94</v>
      </c>
      <c r="M67" s="9">
        <v>6619</v>
      </c>
      <c r="N67" s="34">
        <f>100+5645</f>
        <v>5745</v>
      </c>
      <c r="O67" s="9">
        <v>7619</v>
      </c>
      <c r="P67" s="9">
        <f t="shared" si="5"/>
        <v>1874</v>
      </c>
      <c r="Q67" s="9">
        <v>10000</v>
      </c>
      <c r="R67" s="9">
        <f t="shared" si="6"/>
        <v>4255</v>
      </c>
      <c r="S67" s="9">
        <v>0</v>
      </c>
      <c r="T67" s="8" t="s">
        <v>1</v>
      </c>
      <c r="U67" s="28">
        <v>46176</v>
      </c>
      <c r="V67" s="8" t="s">
        <v>0</v>
      </c>
      <c r="W67" s="29"/>
      <c r="X67" s="31"/>
      <c r="Y67" s="29"/>
      <c r="Z67" s="29"/>
      <c r="AA67" s="8" t="str">
        <f t="shared" si="4"/>
        <v>Paid</v>
      </c>
      <c r="AB67" s="29"/>
      <c r="AC67" s="1"/>
    </row>
    <row r="68" spans="1:29" s="30" customFormat="1" x14ac:dyDescent="0.3">
      <c r="A68" s="8" t="s">
        <v>11</v>
      </c>
      <c r="B68" s="8" t="s">
        <v>427</v>
      </c>
      <c r="C68" s="8" t="s">
        <v>426</v>
      </c>
      <c r="D68" s="8" t="s">
        <v>425</v>
      </c>
      <c r="E68" s="8" t="s">
        <v>7</v>
      </c>
      <c r="F68" s="29" t="s">
        <v>424</v>
      </c>
      <c r="G68" s="8" t="s">
        <v>423</v>
      </c>
      <c r="H68" s="29" t="s">
        <v>291</v>
      </c>
      <c r="I68" s="32">
        <v>46171</v>
      </c>
      <c r="J68" s="29" t="s">
        <v>3</v>
      </c>
      <c r="K68" s="29" t="s">
        <v>21</v>
      </c>
      <c r="L68" s="29" t="s">
        <v>21</v>
      </c>
      <c r="M68" s="9">
        <v>0</v>
      </c>
      <c r="N68" s="9">
        <v>6743</v>
      </c>
      <c r="O68" s="9">
        <v>8743</v>
      </c>
      <c r="P68" s="9">
        <f t="shared" si="5"/>
        <v>2000</v>
      </c>
      <c r="Q68" s="9">
        <v>10000</v>
      </c>
      <c r="R68" s="9">
        <f t="shared" si="6"/>
        <v>3257</v>
      </c>
      <c r="S68" s="9">
        <v>0</v>
      </c>
      <c r="T68" s="9" t="s">
        <v>1</v>
      </c>
      <c r="U68" s="28">
        <v>46171</v>
      </c>
      <c r="V68" s="8" t="s">
        <v>0</v>
      </c>
      <c r="W68" s="29"/>
      <c r="X68" s="31"/>
      <c r="Y68" s="29"/>
      <c r="Z68" s="29"/>
      <c r="AA68" s="8" t="str">
        <f t="shared" si="4"/>
        <v>Paid</v>
      </c>
      <c r="AB68" s="29"/>
      <c r="AC68" s="1"/>
    </row>
    <row r="69" spans="1:29" x14ac:dyDescent="0.3">
      <c r="A69" s="8" t="s">
        <v>11</v>
      </c>
      <c r="B69" s="8" t="s">
        <v>422</v>
      </c>
      <c r="C69" s="8" t="s">
        <v>421</v>
      </c>
      <c r="D69" s="8" t="s">
        <v>420</v>
      </c>
      <c r="E69" s="8" t="s">
        <v>7</v>
      </c>
      <c r="F69" s="8" t="s">
        <v>419</v>
      </c>
      <c r="G69" s="8" t="s">
        <v>418</v>
      </c>
      <c r="H69" s="8" t="s">
        <v>417</v>
      </c>
      <c r="I69" s="11">
        <v>46172</v>
      </c>
      <c r="J69" s="8" t="s">
        <v>14</v>
      </c>
      <c r="K69" s="8" t="s">
        <v>2</v>
      </c>
      <c r="L69" s="8" t="s">
        <v>2</v>
      </c>
      <c r="M69" s="9">
        <v>0</v>
      </c>
      <c r="N69" s="9">
        <v>14035</v>
      </c>
      <c r="O69" s="9">
        <v>14035</v>
      </c>
      <c r="P69" s="9">
        <f t="shared" si="5"/>
        <v>0</v>
      </c>
      <c r="Q69" s="9">
        <v>10000</v>
      </c>
      <c r="R69" s="9">
        <f t="shared" si="6"/>
        <v>-4035</v>
      </c>
      <c r="S69" s="9">
        <v>0</v>
      </c>
      <c r="T69" s="9" t="s">
        <v>1</v>
      </c>
      <c r="U69" s="28">
        <v>46172</v>
      </c>
      <c r="V69" s="8" t="s">
        <v>0</v>
      </c>
      <c r="W69" s="8"/>
      <c r="X69" s="9"/>
      <c r="Y69" s="8"/>
      <c r="Z69" s="8"/>
      <c r="AA69" s="8" t="str">
        <f t="shared" si="4"/>
        <v>Paid</v>
      </c>
      <c r="AB69" s="8"/>
    </row>
    <row r="70" spans="1:29" x14ac:dyDescent="0.3">
      <c r="A70" s="8" t="s">
        <v>11</v>
      </c>
      <c r="B70" s="8" t="s">
        <v>416</v>
      </c>
      <c r="C70" s="8" t="s">
        <v>415</v>
      </c>
      <c r="D70" s="8" t="s">
        <v>414</v>
      </c>
      <c r="E70" s="8" t="s">
        <v>7</v>
      </c>
      <c r="F70" s="29" t="s">
        <v>413</v>
      </c>
      <c r="G70" s="29" t="s">
        <v>412</v>
      </c>
      <c r="H70" s="29" t="s">
        <v>184</v>
      </c>
      <c r="I70" s="32">
        <v>46172</v>
      </c>
      <c r="J70" s="29" t="s">
        <v>3</v>
      </c>
      <c r="K70" s="29" t="s">
        <v>21</v>
      </c>
      <c r="L70" s="29" t="s">
        <v>21</v>
      </c>
      <c r="M70" s="9">
        <v>0</v>
      </c>
      <c r="N70" s="9">
        <v>2304</v>
      </c>
      <c r="O70" s="9">
        <v>4304</v>
      </c>
      <c r="P70" s="9">
        <f t="shared" si="5"/>
        <v>2000</v>
      </c>
      <c r="Q70" s="9">
        <v>10000</v>
      </c>
      <c r="R70" s="9">
        <f t="shared" si="6"/>
        <v>7696</v>
      </c>
      <c r="S70" s="9">
        <v>0</v>
      </c>
      <c r="T70" s="9" t="s">
        <v>1</v>
      </c>
      <c r="U70" s="28">
        <v>46172</v>
      </c>
      <c r="V70" s="8" t="s">
        <v>0</v>
      </c>
      <c r="W70" s="8"/>
      <c r="X70" s="9"/>
      <c r="Y70" s="8"/>
      <c r="Z70" s="8"/>
      <c r="AA70" s="8" t="str">
        <f t="shared" si="4"/>
        <v>Paid</v>
      </c>
      <c r="AB70" s="8"/>
    </row>
    <row r="71" spans="1:29" x14ac:dyDescent="0.3">
      <c r="A71" s="8" t="s">
        <v>11</v>
      </c>
      <c r="B71" s="8" t="s">
        <v>411</v>
      </c>
      <c r="C71" s="8" t="s">
        <v>410</v>
      </c>
      <c r="D71" s="8" t="s">
        <v>409</v>
      </c>
      <c r="E71" s="8" t="s">
        <v>7</v>
      </c>
      <c r="F71" s="8" t="s">
        <v>408</v>
      </c>
      <c r="G71" s="8" t="s">
        <v>407</v>
      </c>
      <c r="H71" s="29" t="s">
        <v>184</v>
      </c>
      <c r="I71" s="32">
        <v>46172</v>
      </c>
      <c r="J71" s="29" t="s">
        <v>3</v>
      </c>
      <c r="K71" s="29" t="s">
        <v>21</v>
      </c>
      <c r="L71" s="29" t="s">
        <v>21</v>
      </c>
      <c r="M71" s="9">
        <v>0</v>
      </c>
      <c r="N71" s="9">
        <v>5266</v>
      </c>
      <c r="O71" s="9">
        <v>7266</v>
      </c>
      <c r="P71" s="9">
        <f t="shared" si="5"/>
        <v>2000</v>
      </c>
      <c r="Q71" s="9">
        <v>10000</v>
      </c>
      <c r="R71" s="9">
        <f t="shared" si="6"/>
        <v>4734</v>
      </c>
      <c r="S71" s="9">
        <v>0</v>
      </c>
      <c r="T71" s="9" t="s">
        <v>1</v>
      </c>
      <c r="U71" s="28">
        <v>46172</v>
      </c>
      <c r="V71" s="8" t="s">
        <v>0</v>
      </c>
      <c r="W71" s="8"/>
      <c r="X71" s="9"/>
      <c r="Y71" s="8"/>
      <c r="Z71" s="8"/>
      <c r="AA71" s="8" t="str">
        <f t="shared" si="4"/>
        <v>Paid</v>
      </c>
      <c r="AB71" s="8"/>
    </row>
    <row r="72" spans="1:29" x14ac:dyDescent="0.3">
      <c r="A72" s="8" t="s">
        <v>11</v>
      </c>
      <c r="B72" s="8" t="s">
        <v>406</v>
      </c>
      <c r="C72" s="8" t="s">
        <v>405</v>
      </c>
      <c r="D72" s="8" t="s">
        <v>404</v>
      </c>
      <c r="E72" s="8" t="s">
        <v>7</v>
      </c>
      <c r="F72" s="29" t="s">
        <v>49</v>
      </c>
      <c r="G72" s="29" t="s">
        <v>403</v>
      </c>
      <c r="H72" s="29" t="s">
        <v>402</v>
      </c>
      <c r="I72" s="32">
        <v>46172</v>
      </c>
      <c r="J72" s="10" t="s">
        <v>14</v>
      </c>
      <c r="K72" s="29" t="s">
        <v>21</v>
      </c>
      <c r="L72" s="29" t="s">
        <v>21</v>
      </c>
      <c r="M72" s="9">
        <v>11505</v>
      </c>
      <c r="N72" s="9">
        <v>9364</v>
      </c>
      <c r="O72" s="9">
        <v>10000</v>
      </c>
      <c r="P72" s="9">
        <f t="shared" si="5"/>
        <v>636</v>
      </c>
      <c r="Q72" s="9">
        <v>10000</v>
      </c>
      <c r="R72" s="9">
        <f t="shared" si="6"/>
        <v>636</v>
      </c>
      <c r="S72" s="9">
        <v>0</v>
      </c>
      <c r="T72" s="9" t="s">
        <v>1</v>
      </c>
      <c r="U72" s="28">
        <v>46176</v>
      </c>
      <c r="V72" s="8" t="s">
        <v>0</v>
      </c>
      <c r="W72" s="8"/>
      <c r="X72" s="9"/>
      <c r="Y72" s="8"/>
      <c r="Z72" s="8"/>
      <c r="AA72" s="8" t="str">
        <f t="shared" si="4"/>
        <v>Paid</v>
      </c>
      <c r="AB72" s="8"/>
    </row>
    <row r="73" spans="1:29" x14ac:dyDescent="0.3">
      <c r="A73" s="8" t="s">
        <v>11</v>
      </c>
      <c r="B73" s="37" t="s">
        <v>401</v>
      </c>
      <c r="C73" s="37" t="s">
        <v>400</v>
      </c>
      <c r="D73" s="8" t="s">
        <v>399</v>
      </c>
      <c r="E73" s="8" t="s">
        <v>22</v>
      </c>
      <c r="F73" s="8" t="s">
        <v>107</v>
      </c>
      <c r="G73" s="8" t="s">
        <v>796</v>
      </c>
      <c r="H73" s="8" t="s">
        <v>47</v>
      </c>
      <c r="I73" s="11">
        <v>46173</v>
      </c>
      <c r="J73" s="11" t="s">
        <v>22</v>
      </c>
      <c r="K73" s="8" t="s">
        <v>21</v>
      </c>
      <c r="L73" s="9" t="s">
        <v>21</v>
      </c>
      <c r="M73" s="9">
        <v>0</v>
      </c>
      <c r="N73" s="9">
        <v>13028.7</v>
      </c>
      <c r="O73" s="9">
        <v>13029</v>
      </c>
      <c r="P73" s="9">
        <f t="shared" si="5"/>
        <v>0.2999999999992724</v>
      </c>
      <c r="Q73" s="9">
        <v>10000</v>
      </c>
      <c r="R73" s="9">
        <f t="shared" si="6"/>
        <v>-3028.7000000000007</v>
      </c>
      <c r="S73" s="9">
        <f>VLOOKUP(B73,[1]Sheet1!$B:$J,9,0)</f>
        <v>3027</v>
      </c>
      <c r="T73" s="9" t="s">
        <v>1</v>
      </c>
      <c r="U73" s="28">
        <v>46176</v>
      </c>
      <c r="V73" s="8" t="s">
        <v>0</v>
      </c>
      <c r="W73" s="8"/>
      <c r="X73" s="9"/>
      <c r="Y73" s="8"/>
      <c r="Z73" s="8"/>
      <c r="AA73" s="8" t="str">
        <f t="shared" si="4"/>
        <v>Paid</v>
      </c>
      <c r="AB73" s="8"/>
    </row>
    <row r="74" spans="1:29" x14ac:dyDescent="0.3">
      <c r="A74" s="8" t="s">
        <v>11</v>
      </c>
      <c r="B74" s="8" t="s">
        <v>398</v>
      </c>
      <c r="C74" s="8" t="s">
        <v>397</v>
      </c>
      <c r="D74" s="8" t="s">
        <v>396</v>
      </c>
      <c r="E74" s="8" t="s">
        <v>7</v>
      </c>
      <c r="F74" s="8" t="s">
        <v>395</v>
      </c>
      <c r="G74" s="8" t="s">
        <v>394</v>
      </c>
      <c r="H74" s="8" t="s">
        <v>291</v>
      </c>
      <c r="I74" s="11">
        <v>46173</v>
      </c>
      <c r="J74" s="10" t="s">
        <v>14</v>
      </c>
      <c r="K74" s="8" t="s">
        <v>21</v>
      </c>
      <c r="L74" s="8" t="s">
        <v>21</v>
      </c>
      <c r="M74" s="9">
        <v>0</v>
      </c>
      <c r="N74" s="9">
        <v>7080</v>
      </c>
      <c r="O74" s="9">
        <v>8199</v>
      </c>
      <c r="P74" s="9">
        <f t="shared" si="5"/>
        <v>1119</v>
      </c>
      <c r="Q74" s="9">
        <v>10000</v>
      </c>
      <c r="R74" s="9">
        <f t="shared" si="6"/>
        <v>2920</v>
      </c>
      <c r="S74" s="9">
        <v>0</v>
      </c>
      <c r="T74" s="9" t="s">
        <v>1</v>
      </c>
      <c r="U74" s="28">
        <v>46172</v>
      </c>
      <c r="V74" s="8" t="s">
        <v>0</v>
      </c>
      <c r="W74" s="8"/>
      <c r="X74" s="9"/>
      <c r="Y74" s="8"/>
      <c r="Z74" s="8"/>
      <c r="AA74" s="8" t="str">
        <f t="shared" si="4"/>
        <v>Paid</v>
      </c>
      <c r="AB74" s="8"/>
    </row>
    <row r="75" spans="1:29" x14ac:dyDescent="0.3">
      <c r="A75" s="8" t="s">
        <v>11</v>
      </c>
      <c r="B75" s="8" t="s">
        <v>393</v>
      </c>
      <c r="C75" s="8" t="s">
        <v>392</v>
      </c>
      <c r="D75" s="8" t="s">
        <v>391</v>
      </c>
      <c r="E75" s="8" t="s">
        <v>7</v>
      </c>
      <c r="F75" s="8" t="s">
        <v>49</v>
      </c>
      <c r="G75" s="8" t="s">
        <v>390</v>
      </c>
      <c r="H75" s="8" t="s">
        <v>389</v>
      </c>
      <c r="I75" s="11">
        <v>46173</v>
      </c>
      <c r="J75" s="10" t="s">
        <v>14</v>
      </c>
      <c r="K75" s="8" t="s">
        <v>21</v>
      </c>
      <c r="L75" s="8" t="s">
        <v>21</v>
      </c>
      <c r="M75" s="9">
        <v>5192</v>
      </c>
      <c r="N75" s="9">
        <v>4843</v>
      </c>
      <c r="O75" s="9">
        <v>7192</v>
      </c>
      <c r="P75" s="9">
        <f t="shared" si="5"/>
        <v>2349</v>
      </c>
      <c r="Q75" s="9">
        <v>10000</v>
      </c>
      <c r="R75" s="9">
        <f t="shared" si="6"/>
        <v>5157</v>
      </c>
      <c r="S75" s="9">
        <v>0</v>
      </c>
      <c r="T75" s="9" t="s">
        <v>1</v>
      </c>
      <c r="U75" s="28">
        <v>46176</v>
      </c>
      <c r="V75" s="8" t="s">
        <v>0</v>
      </c>
      <c r="W75" s="8"/>
      <c r="X75" s="9"/>
      <c r="Y75" s="8"/>
      <c r="Z75" s="8"/>
      <c r="AA75" s="8" t="str">
        <f t="shared" si="4"/>
        <v>Paid</v>
      </c>
      <c r="AB75" s="8"/>
    </row>
    <row r="76" spans="1:29" x14ac:dyDescent="0.3">
      <c r="A76" s="8" t="s">
        <v>11</v>
      </c>
      <c r="B76" s="8" t="s">
        <v>388</v>
      </c>
      <c r="C76" s="8" t="s">
        <v>387</v>
      </c>
      <c r="D76" s="8" t="s">
        <v>386</v>
      </c>
      <c r="E76" s="8" t="s">
        <v>7</v>
      </c>
      <c r="F76" s="8" t="s">
        <v>385</v>
      </c>
      <c r="G76" s="8" t="s">
        <v>384</v>
      </c>
      <c r="H76" s="8" t="s">
        <v>383</v>
      </c>
      <c r="I76" s="11">
        <v>46173</v>
      </c>
      <c r="J76" s="8" t="s">
        <v>14</v>
      </c>
      <c r="K76" s="8" t="s">
        <v>87</v>
      </c>
      <c r="L76" s="8" t="s">
        <v>87</v>
      </c>
      <c r="M76" s="9">
        <v>0</v>
      </c>
      <c r="N76" s="9">
        <v>7164</v>
      </c>
      <c r="O76" s="9">
        <v>8765</v>
      </c>
      <c r="P76" s="9">
        <f t="shared" si="5"/>
        <v>1601</v>
      </c>
      <c r="Q76" s="9">
        <v>10000</v>
      </c>
      <c r="R76" s="9">
        <f t="shared" si="6"/>
        <v>2836</v>
      </c>
      <c r="S76" s="9">
        <v>0</v>
      </c>
      <c r="T76" s="9" t="s">
        <v>1</v>
      </c>
      <c r="U76" s="28">
        <v>46173</v>
      </c>
      <c r="V76" s="8" t="s">
        <v>0</v>
      </c>
      <c r="W76" s="8"/>
      <c r="X76" s="9"/>
      <c r="Y76" s="8"/>
      <c r="Z76" s="8"/>
      <c r="AA76" s="8" t="str">
        <f t="shared" si="4"/>
        <v>Paid</v>
      </c>
      <c r="AB76" s="8"/>
    </row>
    <row r="77" spans="1:29" x14ac:dyDescent="0.3">
      <c r="A77" s="8" t="s">
        <v>11</v>
      </c>
      <c r="B77" s="8" t="s">
        <v>382</v>
      </c>
      <c r="C77" s="8" t="s">
        <v>381</v>
      </c>
      <c r="D77" s="8" t="s">
        <v>380</v>
      </c>
      <c r="E77" s="8" t="s">
        <v>22</v>
      </c>
      <c r="F77" s="8" t="s">
        <v>379</v>
      </c>
      <c r="G77" s="8" t="s">
        <v>378</v>
      </c>
      <c r="H77" s="8" t="s">
        <v>377</v>
      </c>
      <c r="I77" s="11">
        <v>46173</v>
      </c>
      <c r="J77" s="11" t="s">
        <v>22</v>
      </c>
      <c r="K77" s="8" t="s">
        <v>87</v>
      </c>
      <c r="L77" s="8" t="s">
        <v>12</v>
      </c>
      <c r="M77" s="9">
        <v>0</v>
      </c>
      <c r="N77" s="9">
        <v>6720</v>
      </c>
      <c r="O77" s="9">
        <v>8720</v>
      </c>
      <c r="P77" s="9">
        <f t="shared" si="5"/>
        <v>2000</v>
      </c>
      <c r="Q77" s="9">
        <v>10000</v>
      </c>
      <c r="R77" s="9">
        <f t="shared" si="6"/>
        <v>3280</v>
      </c>
      <c r="S77" s="9">
        <v>0</v>
      </c>
      <c r="T77" s="9" t="s">
        <v>1</v>
      </c>
      <c r="U77" s="28">
        <v>46173</v>
      </c>
      <c r="V77" s="8" t="s">
        <v>0</v>
      </c>
      <c r="W77" s="8"/>
      <c r="X77" s="9"/>
      <c r="Y77" s="8"/>
      <c r="Z77" s="8"/>
      <c r="AA77" s="8" t="str">
        <f t="shared" si="4"/>
        <v>Paid</v>
      </c>
      <c r="AB77" s="8"/>
    </row>
    <row r="78" spans="1:29" x14ac:dyDescent="0.3">
      <c r="A78" s="8" t="s">
        <v>11</v>
      </c>
      <c r="B78" s="8" t="s">
        <v>376</v>
      </c>
      <c r="C78" s="8" t="s">
        <v>375</v>
      </c>
      <c r="D78" s="8" t="s">
        <v>374</v>
      </c>
      <c r="E78" s="8" t="s">
        <v>7</v>
      </c>
      <c r="F78" s="8" t="s">
        <v>373</v>
      </c>
      <c r="G78" s="8" t="s">
        <v>372</v>
      </c>
      <c r="H78" s="8" t="s">
        <v>371</v>
      </c>
      <c r="I78" s="11">
        <v>46173</v>
      </c>
      <c r="J78" s="8" t="s">
        <v>14</v>
      </c>
      <c r="K78" s="8" t="s">
        <v>21</v>
      </c>
      <c r="L78" s="8" t="s">
        <v>12</v>
      </c>
      <c r="M78" s="9">
        <v>0</v>
      </c>
      <c r="N78" s="9">
        <v>7522</v>
      </c>
      <c r="O78" s="9">
        <v>9122</v>
      </c>
      <c r="P78" s="9">
        <f t="shared" si="5"/>
        <v>1600</v>
      </c>
      <c r="Q78" s="9">
        <v>10000</v>
      </c>
      <c r="R78" s="9">
        <f t="shared" si="6"/>
        <v>2478</v>
      </c>
      <c r="S78" s="9">
        <v>0</v>
      </c>
      <c r="T78" s="9" t="s">
        <v>1</v>
      </c>
      <c r="U78" s="28">
        <v>46173</v>
      </c>
      <c r="V78" s="8" t="s">
        <v>0</v>
      </c>
      <c r="W78" s="8"/>
      <c r="X78" s="9"/>
      <c r="Y78" s="8"/>
      <c r="Z78" s="8"/>
      <c r="AA78" s="8" t="str">
        <f t="shared" si="4"/>
        <v>Paid</v>
      </c>
      <c r="AB78" s="8"/>
    </row>
    <row r="79" spans="1:29" x14ac:dyDescent="0.3">
      <c r="A79" s="8" t="s">
        <v>11</v>
      </c>
      <c r="B79" s="8" t="s">
        <v>370</v>
      </c>
      <c r="C79" s="8" t="s">
        <v>369</v>
      </c>
      <c r="D79" s="8" t="s">
        <v>368</v>
      </c>
      <c r="E79" s="8" t="s">
        <v>7</v>
      </c>
      <c r="F79" s="8" t="s">
        <v>367</v>
      </c>
      <c r="G79" s="8" t="s">
        <v>366</v>
      </c>
      <c r="H79" s="8" t="s">
        <v>88</v>
      </c>
      <c r="I79" s="11">
        <v>46173</v>
      </c>
      <c r="J79" s="8" t="s">
        <v>14</v>
      </c>
      <c r="K79" s="8" t="s">
        <v>87</v>
      </c>
      <c r="L79" s="8" t="s">
        <v>12</v>
      </c>
      <c r="M79" s="9">
        <v>0</v>
      </c>
      <c r="N79" s="9">
        <v>9500</v>
      </c>
      <c r="O79" s="9">
        <v>9500</v>
      </c>
      <c r="P79" s="9">
        <f t="shared" si="5"/>
        <v>0</v>
      </c>
      <c r="Q79" s="9">
        <v>10000</v>
      </c>
      <c r="R79" s="9">
        <f t="shared" si="6"/>
        <v>500</v>
      </c>
      <c r="S79" s="9">
        <v>0</v>
      </c>
      <c r="T79" s="9" t="s">
        <v>1</v>
      </c>
      <c r="U79" s="28">
        <v>46173</v>
      </c>
      <c r="V79" s="8" t="s">
        <v>0</v>
      </c>
      <c r="W79" s="8"/>
      <c r="X79" s="9"/>
      <c r="Y79" s="8"/>
      <c r="Z79" s="8"/>
      <c r="AA79" s="8" t="str">
        <f t="shared" si="4"/>
        <v>Paid</v>
      </c>
      <c r="AB79" s="8"/>
    </row>
    <row r="80" spans="1:29" x14ac:dyDescent="0.3">
      <c r="A80" s="8" t="s">
        <v>11</v>
      </c>
      <c r="B80" s="8" t="s">
        <v>365</v>
      </c>
      <c r="C80" s="8" t="s">
        <v>364</v>
      </c>
      <c r="D80" s="8" t="s">
        <v>363</v>
      </c>
      <c r="E80" s="8" t="s">
        <v>7</v>
      </c>
      <c r="F80" s="8" t="s">
        <v>362</v>
      </c>
      <c r="G80" s="8" t="s">
        <v>361</v>
      </c>
      <c r="H80" s="8" t="s">
        <v>360</v>
      </c>
      <c r="I80" s="11">
        <v>46173</v>
      </c>
      <c r="J80" s="29" t="s">
        <v>3</v>
      </c>
      <c r="K80" s="8" t="s">
        <v>21</v>
      </c>
      <c r="L80" s="8" t="s">
        <v>12</v>
      </c>
      <c r="M80" s="9">
        <v>0</v>
      </c>
      <c r="N80" s="9">
        <v>3207</v>
      </c>
      <c r="O80" s="9">
        <v>4207</v>
      </c>
      <c r="P80" s="9">
        <f t="shared" si="5"/>
        <v>1000</v>
      </c>
      <c r="Q80" s="9">
        <v>10000</v>
      </c>
      <c r="R80" s="9">
        <f t="shared" si="6"/>
        <v>6793</v>
      </c>
      <c r="S80" s="9">
        <v>0</v>
      </c>
      <c r="T80" s="9" t="s">
        <v>1</v>
      </c>
      <c r="U80" s="28">
        <v>46173</v>
      </c>
      <c r="V80" s="8" t="s">
        <v>0</v>
      </c>
      <c r="W80" s="8"/>
      <c r="X80" s="9"/>
      <c r="Y80" s="8"/>
      <c r="Z80" s="8"/>
      <c r="AA80" s="8" t="str">
        <f t="shared" si="4"/>
        <v>Paid</v>
      </c>
      <c r="AB80" s="8"/>
    </row>
    <row r="81" spans="1:29" s="30" customFormat="1" x14ac:dyDescent="0.3">
      <c r="A81" s="8" t="s">
        <v>11</v>
      </c>
      <c r="B81" s="29" t="s">
        <v>359</v>
      </c>
      <c r="C81" s="29" t="s">
        <v>358</v>
      </c>
      <c r="D81" s="29" t="s">
        <v>357</v>
      </c>
      <c r="E81" s="8" t="s">
        <v>7</v>
      </c>
      <c r="F81" s="29" t="s">
        <v>356</v>
      </c>
      <c r="G81" s="29" t="s">
        <v>355</v>
      </c>
      <c r="H81" s="29" t="s">
        <v>354</v>
      </c>
      <c r="I81" s="32">
        <v>46173</v>
      </c>
      <c r="J81" s="29" t="s">
        <v>3</v>
      </c>
      <c r="K81" s="29" t="s">
        <v>87</v>
      </c>
      <c r="L81" s="31" t="s">
        <v>87</v>
      </c>
      <c r="M81" s="9">
        <v>0</v>
      </c>
      <c r="N81" s="9">
        <v>6075</v>
      </c>
      <c r="O81" s="9">
        <v>8075</v>
      </c>
      <c r="P81" s="9">
        <f t="shared" si="5"/>
        <v>2000</v>
      </c>
      <c r="Q81" s="9">
        <v>10000</v>
      </c>
      <c r="R81" s="9">
        <f t="shared" si="6"/>
        <v>3925</v>
      </c>
      <c r="S81" s="9">
        <v>0</v>
      </c>
      <c r="T81" s="9" t="s">
        <v>1</v>
      </c>
      <c r="U81" s="28">
        <v>46173</v>
      </c>
      <c r="V81" s="8" t="s">
        <v>0</v>
      </c>
      <c r="W81" s="29"/>
      <c r="X81" s="31"/>
      <c r="Y81" s="29"/>
      <c r="Z81" s="29"/>
      <c r="AA81" s="8" t="str">
        <f t="shared" si="4"/>
        <v>Paid</v>
      </c>
      <c r="AB81" s="29"/>
      <c r="AC81" s="1"/>
    </row>
    <row r="82" spans="1:29" s="21" customFormat="1" x14ac:dyDescent="0.3">
      <c r="A82" s="8" t="s">
        <v>11</v>
      </c>
      <c r="B82" s="8" t="s">
        <v>353</v>
      </c>
      <c r="C82" s="8" t="s">
        <v>352</v>
      </c>
      <c r="D82" s="8" t="s">
        <v>351</v>
      </c>
      <c r="E82" s="8" t="s">
        <v>7</v>
      </c>
      <c r="F82" s="8" t="s">
        <v>350</v>
      </c>
      <c r="G82" s="8" t="s">
        <v>349</v>
      </c>
      <c r="H82" s="8" t="s">
        <v>265</v>
      </c>
      <c r="I82" s="11">
        <v>46173</v>
      </c>
      <c r="J82" s="11" t="s">
        <v>3</v>
      </c>
      <c r="K82" s="8" t="s">
        <v>87</v>
      </c>
      <c r="L82" s="8" t="s">
        <v>29</v>
      </c>
      <c r="M82" s="9">
        <v>0</v>
      </c>
      <c r="N82" s="9">
        <v>4090</v>
      </c>
      <c r="O82" s="9">
        <v>6090</v>
      </c>
      <c r="P82" s="9">
        <f t="shared" si="5"/>
        <v>2000</v>
      </c>
      <c r="Q82" s="9">
        <v>10000</v>
      </c>
      <c r="R82" s="9">
        <f t="shared" si="6"/>
        <v>5910</v>
      </c>
      <c r="S82" s="9">
        <v>0</v>
      </c>
      <c r="T82" s="9" t="s">
        <v>1</v>
      </c>
      <c r="U82" s="28">
        <v>46171</v>
      </c>
      <c r="V82" s="8" t="s">
        <v>0</v>
      </c>
      <c r="W82" s="8"/>
      <c r="X82" s="9"/>
      <c r="Y82" s="8"/>
      <c r="Z82" s="8"/>
      <c r="AA82" s="8" t="str">
        <f t="shared" si="4"/>
        <v>Paid</v>
      </c>
      <c r="AB82" s="8"/>
      <c r="AC82" s="1"/>
    </row>
    <row r="83" spans="1:29" s="30" customFormat="1" x14ac:dyDescent="0.3">
      <c r="A83" s="8" t="s">
        <v>11</v>
      </c>
      <c r="B83" s="8" t="s">
        <v>348</v>
      </c>
      <c r="C83" s="8" t="s">
        <v>347</v>
      </c>
      <c r="D83" s="8" t="s">
        <v>346</v>
      </c>
      <c r="E83" s="8" t="s">
        <v>7</v>
      </c>
      <c r="F83" s="8" t="s">
        <v>345</v>
      </c>
      <c r="G83" s="8" t="s">
        <v>344</v>
      </c>
      <c r="H83" s="29" t="s">
        <v>248</v>
      </c>
      <c r="I83" s="32">
        <v>46172</v>
      </c>
      <c r="J83" s="29" t="s">
        <v>3</v>
      </c>
      <c r="K83" s="29" t="s">
        <v>21</v>
      </c>
      <c r="L83" s="31" t="s">
        <v>21</v>
      </c>
      <c r="M83" s="9">
        <v>0</v>
      </c>
      <c r="N83" s="9">
        <v>2811</v>
      </c>
      <c r="O83" s="9">
        <v>4811</v>
      </c>
      <c r="P83" s="9">
        <f t="shared" si="5"/>
        <v>2000</v>
      </c>
      <c r="Q83" s="9">
        <v>10000</v>
      </c>
      <c r="R83" s="9">
        <f t="shared" si="6"/>
        <v>7189</v>
      </c>
      <c r="S83" s="9">
        <v>0</v>
      </c>
      <c r="T83" s="9" t="s">
        <v>1</v>
      </c>
      <c r="U83" s="28">
        <v>46172</v>
      </c>
      <c r="V83" s="8" t="s">
        <v>0</v>
      </c>
      <c r="W83" s="29"/>
      <c r="X83" s="31"/>
      <c r="Y83" s="29"/>
      <c r="Z83" s="29"/>
      <c r="AA83" s="8" t="str">
        <f t="shared" si="4"/>
        <v>Paid</v>
      </c>
      <c r="AB83" s="29"/>
      <c r="AC83" s="1"/>
    </row>
    <row r="84" spans="1:29" x14ac:dyDescent="0.3">
      <c r="A84" s="8" t="s">
        <v>11</v>
      </c>
      <c r="B84" s="8" t="s">
        <v>331</v>
      </c>
      <c r="C84" s="8" t="s">
        <v>330</v>
      </c>
      <c r="D84" s="8" t="s">
        <v>329</v>
      </c>
      <c r="E84" s="8" t="s">
        <v>22</v>
      </c>
      <c r="F84" s="8" t="s">
        <v>328</v>
      </c>
      <c r="G84" s="8" t="s">
        <v>327</v>
      </c>
      <c r="H84" s="8" t="s">
        <v>326</v>
      </c>
      <c r="I84" s="11">
        <v>46173</v>
      </c>
      <c r="J84" s="11" t="s">
        <v>22</v>
      </c>
      <c r="K84" s="8" t="s">
        <v>2</v>
      </c>
      <c r="L84" s="8" t="s">
        <v>2</v>
      </c>
      <c r="M84" s="9">
        <v>0</v>
      </c>
      <c r="N84" s="9">
        <f>8055+450</f>
        <v>8505</v>
      </c>
      <c r="O84" s="9">
        <v>9505</v>
      </c>
      <c r="P84" s="9">
        <f t="shared" si="5"/>
        <v>1000</v>
      </c>
      <c r="Q84" s="9">
        <v>10000</v>
      </c>
      <c r="R84" s="9">
        <f t="shared" si="6"/>
        <v>1495</v>
      </c>
      <c r="S84" s="9">
        <v>0</v>
      </c>
      <c r="T84" s="9" t="s">
        <v>1</v>
      </c>
      <c r="U84" s="28">
        <v>46172</v>
      </c>
      <c r="V84" s="8" t="s">
        <v>0</v>
      </c>
      <c r="W84" s="8"/>
      <c r="X84" s="9"/>
      <c r="Y84" s="8"/>
      <c r="Z84" s="8"/>
      <c r="AA84" s="8" t="str">
        <f t="shared" si="4"/>
        <v>Paid</v>
      </c>
      <c r="AB84" s="8"/>
    </row>
    <row r="85" spans="1:29" x14ac:dyDescent="0.3">
      <c r="A85" s="8" t="s">
        <v>343</v>
      </c>
      <c r="B85" s="8" t="s">
        <v>342</v>
      </c>
      <c r="C85" s="8" t="s">
        <v>341</v>
      </c>
      <c r="D85" s="8" t="s">
        <v>340</v>
      </c>
      <c r="E85" s="8" t="s">
        <v>22</v>
      </c>
      <c r="F85" s="8" t="s">
        <v>339</v>
      </c>
      <c r="G85" s="8" t="s">
        <v>338</v>
      </c>
      <c r="H85" s="8" t="s">
        <v>23</v>
      </c>
      <c r="I85" s="11">
        <v>46172</v>
      </c>
      <c r="J85" s="11" t="s">
        <v>22</v>
      </c>
      <c r="K85" s="8" t="s">
        <v>290</v>
      </c>
      <c r="L85" s="8" t="s">
        <v>21</v>
      </c>
      <c r="M85" s="9">
        <v>0</v>
      </c>
      <c r="N85" s="9">
        <v>20000</v>
      </c>
      <c r="O85" s="9">
        <v>22000</v>
      </c>
      <c r="P85" s="9">
        <f t="shared" si="5"/>
        <v>2000</v>
      </c>
      <c r="Q85" s="34">
        <v>22000</v>
      </c>
      <c r="R85" s="9">
        <f t="shared" si="6"/>
        <v>2000</v>
      </c>
      <c r="S85" s="9">
        <v>0</v>
      </c>
      <c r="T85" s="9" t="s">
        <v>1</v>
      </c>
      <c r="U85" s="28">
        <v>46172</v>
      </c>
      <c r="V85" s="8" t="s">
        <v>0</v>
      </c>
      <c r="W85" s="8"/>
      <c r="X85" s="9"/>
      <c r="Y85" s="8"/>
      <c r="Z85" s="8"/>
      <c r="AA85" s="8" t="str">
        <f t="shared" si="4"/>
        <v>Paid</v>
      </c>
      <c r="AB85" s="8"/>
    </row>
    <row r="86" spans="1:29" x14ac:dyDescent="0.3">
      <c r="A86" s="8" t="s">
        <v>11</v>
      </c>
      <c r="B86" s="8" t="s">
        <v>337</v>
      </c>
      <c r="C86" s="8" t="s">
        <v>336</v>
      </c>
      <c r="D86" s="8" t="s">
        <v>335</v>
      </c>
      <c r="E86" s="8" t="s">
        <v>7</v>
      </c>
      <c r="F86" s="8" t="s">
        <v>334</v>
      </c>
      <c r="G86" s="8" t="s">
        <v>333</v>
      </c>
      <c r="H86" s="8" t="s">
        <v>332</v>
      </c>
      <c r="I86" s="11">
        <v>46173</v>
      </c>
      <c r="J86" s="8" t="s">
        <v>14</v>
      </c>
      <c r="K86" s="8" t="s">
        <v>2</v>
      </c>
      <c r="L86" s="9" t="s">
        <v>2</v>
      </c>
      <c r="M86" s="9">
        <v>0</v>
      </c>
      <c r="N86" s="9">
        <v>9381</v>
      </c>
      <c r="O86" s="9">
        <v>9881</v>
      </c>
      <c r="P86" s="9">
        <f t="shared" si="5"/>
        <v>500</v>
      </c>
      <c r="Q86" s="9">
        <v>10000</v>
      </c>
      <c r="R86" s="9">
        <f t="shared" si="6"/>
        <v>619</v>
      </c>
      <c r="S86" s="9">
        <v>0</v>
      </c>
      <c r="T86" s="9" t="s">
        <v>1</v>
      </c>
      <c r="U86" s="28">
        <v>46173</v>
      </c>
      <c r="V86" s="8" t="s">
        <v>0</v>
      </c>
      <c r="W86" s="8"/>
      <c r="X86" s="9"/>
      <c r="Y86" s="8"/>
      <c r="Z86" s="8"/>
      <c r="AA86" s="8" t="str">
        <f t="shared" si="4"/>
        <v>Paid</v>
      </c>
      <c r="AB86" s="8"/>
    </row>
    <row r="87" spans="1:29" ht="28.8" x14ac:dyDescent="0.3">
      <c r="A87" s="8" t="s">
        <v>11</v>
      </c>
      <c r="B87" s="8" t="s">
        <v>325</v>
      </c>
      <c r="C87" s="8" t="s">
        <v>324</v>
      </c>
      <c r="D87" s="8" t="s">
        <v>323</v>
      </c>
      <c r="E87" s="8" t="s">
        <v>22</v>
      </c>
      <c r="F87" s="8" t="s">
        <v>75</v>
      </c>
      <c r="G87" s="8" t="s">
        <v>322</v>
      </c>
      <c r="H87" s="8" t="s">
        <v>30</v>
      </c>
      <c r="I87" s="11">
        <v>46173</v>
      </c>
      <c r="J87" s="11" t="s">
        <v>22</v>
      </c>
      <c r="K87" s="8" t="s">
        <v>2</v>
      </c>
      <c r="L87" s="9" t="s">
        <v>2</v>
      </c>
      <c r="M87" s="9">
        <v>0</v>
      </c>
      <c r="N87" s="9">
        <v>16380</v>
      </c>
      <c r="O87" s="9">
        <v>13000</v>
      </c>
      <c r="P87" s="9">
        <f t="shared" si="5"/>
        <v>-3380</v>
      </c>
      <c r="Q87" s="9">
        <v>10000</v>
      </c>
      <c r="R87" s="9">
        <f t="shared" si="6"/>
        <v>-6380</v>
      </c>
      <c r="S87" s="9">
        <f>VLOOKUP(B87,[1]Sheet1!$B:$J,9,0)</f>
        <v>2380</v>
      </c>
      <c r="T87" s="9" t="s">
        <v>1</v>
      </c>
      <c r="U87" s="28">
        <v>46172</v>
      </c>
      <c r="V87" s="8" t="s">
        <v>0</v>
      </c>
      <c r="W87" s="8"/>
      <c r="X87" s="9"/>
      <c r="Y87" s="8"/>
      <c r="Z87" s="8"/>
      <c r="AA87" s="8" t="str">
        <f t="shared" si="4"/>
        <v>Paid</v>
      </c>
      <c r="AB87" s="8"/>
    </row>
    <row r="88" spans="1:29" x14ac:dyDescent="0.3">
      <c r="A88" s="8" t="s">
        <v>11</v>
      </c>
      <c r="B88" s="8" t="s">
        <v>321</v>
      </c>
      <c r="C88" s="8" t="s">
        <v>320</v>
      </c>
      <c r="D88" s="8" t="s">
        <v>319</v>
      </c>
      <c r="E88" s="8" t="s">
        <v>7</v>
      </c>
      <c r="F88" s="8" t="s">
        <v>318</v>
      </c>
      <c r="G88" s="8" t="s">
        <v>317</v>
      </c>
      <c r="H88" s="8" t="s">
        <v>291</v>
      </c>
      <c r="I88" s="11">
        <v>46173</v>
      </c>
      <c r="J88" s="10" t="s">
        <v>14</v>
      </c>
      <c r="K88" s="8" t="s">
        <v>21</v>
      </c>
      <c r="L88" s="9" t="s">
        <v>21</v>
      </c>
      <c r="M88" s="9">
        <v>0</v>
      </c>
      <c r="N88" s="9">
        <v>9346</v>
      </c>
      <c r="O88" s="9">
        <v>10000</v>
      </c>
      <c r="P88" s="9">
        <f t="shared" si="5"/>
        <v>654</v>
      </c>
      <c r="Q88" s="9">
        <v>10000</v>
      </c>
      <c r="R88" s="9">
        <f t="shared" si="6"/>
        <v>654</v>
      </c>
      <c r="S88" s="9">
        <v>0</v>
      </c>
      <c r="T88" s="9" t="s">
        <v>1</v>
      </c>
      <c r="U88" s="28">
        <v>46173</v>
      </c>
      <c r="V88" s="8" t="s">
        <v>0</v>
      </c>
      <c r="W88" s="8"/>
      <c r="X88" s="9"/>
      <c r="Y88" s="8"/>
      <c r="Z88" s="8"/>
      <c r="AA88" s="8" t="str">
        <f t="shared" si="4"/>
        <v>Paid</v>
      </c>
      <c r="AB88" s="8"/>
    </row>
    <row r="89" spans="1:29" x14ac:dyDescent="0.3">
      <c r="A89" s="8" t="s">
        <v>11</v>
      </c>
      <c r="B89" s="8" t="s">
        <v>316</v>
      </c>
      <c r="C89" s="8" t="s">
        <v>315</v>
      </c>
      <c r="D89" s="8" t="s">
        <v>314</v>
      </c>
      <c r="E89" s="8" t="s">
        <v>155</v>
      </c>
      <c r="F89" s="8" t="s">
        <v>191</v>
      </c>
      <c r="G89" s="8" t="s">
        <v>313</v>
      </c>
      <c r="H89" s="8" t="s">
        <v>47</v>
      </c>
      <c r="I89" s="11">
        <v>46173</v>
      </c>
      <c r="J89" s="8" t="s">
        <v>155</v>
      </c>
      <c r="K89" s="8" t="s">
        <v>21</v>
      </c>
      <c r="L89" s="8" t="s">
        <v>21</v>
      </c>
      <c r="M89" s="9">
        <v>0</v>
      </c>
      <c r="N89" s="9">
        <v>10000</v>
      </c>
      <c r="O89" s="9">
        <v>10000</v>
      </c>
      <c r="P89" s="9">
        <f t="shared" si="5"/>
        <v>0</v>
      </c>
      <c r="Q89" s="9">
        <v>10000</v>
      </c>
      <c r="R89" s="9">
        <f t="shared" si="6"/>
        <v>0</v>
      </c>
      <c r="S89" s="9">
        <v>0</v>
      </c>
      <c r="T89" s="9" t="s">
        <v>1</v>
      </c>
      <c r="U89" s="28">
        <v>46173</v>
      </c>
      <c r="V89" s="8" t="s">
        <v>0</v>
      </c>
      <c r="W89" s="8"/>
      <c r="X89" s="9"/>
      <c r="Y89" s="8"/>
      <c r="Z89" s="8"/>
      <c r="AA89" s="8" t="str">
        <f t="shared" si="4"/>
        <v>Paid</v>
      </c>
      <c r="AB89" s="8"/>
    </row>
    <row r="90" spans="1:29" s="30" customFormat="1" x14ac:dyDescent="0.3">
      <c r="A90" s="8" t="s">
        <v>11</v>
      </c>
      <c r="B90" s="29" t="s">
        <v>312</v>
      </c>
      <c r="C90" s="29" t="s">
        <v>311</v>
      </c>
      <c r="D90" s="29" t="s">
        <v>310</v>
      </c>
      <c r="E90" s="8" t="s">
        <v>7</v>
      </c>
      <c r="F90" s="29" t="s">
        <v>309</v>
      </c>
      <c r="G90" s="29" t="s">
        <v>308</v>
      </c>
      <c r="H90" s="29" t="s">
        <v>30</v>
      </c>
      <c r="I90" s="32">
        <v>46172</v>
      </c>
      <c r="J90" s="29" t="s">
        <v>3</v>
      </c>
      <c r="K90" s="29" t="s">
        <v>13</v>
      </c>
      <c r="L90" s="29" t="s">
        <v>13</v>
      </c>
      <c r="M90" s="9">
        <v>0</v>
      </c>
      <c r="N90" s="9">
        <v>4394</v>
      </c>
      <c r="O90" s="9">
        <v>6394</v>
      </c>
      <c r="P90" s="9">
        <f t="shared" si="5"/>
        <v>2000</v>
      </c>
      <c r="Q90" s="9">
        <v>10000</v>
      </c>
      <c r="R90" s="9">
        <f t="shared" si="6"/>
        <v>5606</v>
      </c>
      <c r="S90" s="9">
        <v>0</v>
      </c>
      <c r="T90" s="9" t="s">
        <v>1</v>
      </c>
      <c r="U90" s="28">
        <v>46173</v>
      </c>
      <c r="V90" s="8" t="s">
        <v>0</v>
      </c>
      <c r="W90" s="29"/>
      <c r="X90" s="31"/>
      <c r="Y90" s="29"/>
      <c r="Z90" s="29"/>
      <c r="AA90" s="8" t="str">
        <f t="shared" si="4"/>
        <v>Paid</v>
      </c>
      <c r="AB90" s="29"/>
      <c r="AC90" s="1"/>
    </row>
    <row r="91" spans="1:29" s="30" customFormat="1" x14ac:dyDescent="0.3">
      <c r="A91" s="8" t="s">
        <v>11</v>
      </c>
      <c r="B91" s="29" t="s">
        <v>307</v>
      </c>
      <c r="C91" s="29" t="s">
        <v>306</v>
      </c>
      <c r="D91" s="29" t="s">
        <v>305</v>
      </c>
      <c r="E91" s="8" t="s">
        <v>7</v>
      </c>
      <c r="F91" s="29" t="s">
        <v>304</v>
      </c>
      <c r="G91" s="29" t="s">
        <v>303</v>
      </c>
      <c r="H91" s="29" t="s">
        <v>297</v>
      </c>
      <c r="I91" s="32">
        <v>46172</v>
      </c>
      <c r="J91" s="29" t="s">
        <v>3</v>
      </c>
      <c r="K91" s="29" t="s">
        <v>13</v>
      </c>
      <c r="L91" s="29" t="s">
        <v>13</v>
      </c>
      <c r="M91" s="9">
        <v>0</v>
      </c>
      <c r="N91" s="9">
        <v>3430</v>
      </c>
      <c r="O91" s="9">
        <v>5430</v>
      </c>
      <c r="P91" s="9">
        <f t="shared" si="5"/>
        <v>2000</v>
      </c>
      <c r="Q91" s="9">
        <v>10000</v>
      </c>
      <c r="R91" s="9">
        <f t="shared" si="6"/>
        <v>6570</v>
      </c>
      <c r="S91" s="9">
        <v>0</v>
      </c>
      <c r="T91" s="9" t="s">
        <v>1</v>
      </c>
      <c r="U91" s="28">
        <v>46172</v>
      </c>
      <c r="V91" s="8" t="s">
        <v>0</v>
      </c>
      <c r="W91" s="29"/>
      <c r="X91" s="31"/>
      <c r="Y91" s="29"/>
      <c r="Z91" s="29"/>
      <c r="AA91" s="8" t="str">
        <f t="shared" si="4"/>
        <v>Paid</v>
      </c>
      <c r="AB91" s="29"/>
      <c r="AC91" s="1"/>
    </row>
    <row r="92" spans="1:29" x14ac:dyDescent="0.3">
      <c r="A92" s="8" t="s">
        <v>11</v>
      </c>
      <c r="B92" s="8" t="s">
        <v>302</v>
      </c>
      <c r="C92" s="24" t="s">
        <v>301</v>
      </c>
      <c r="D92" s="24" t="s">
        <v>300</v>
      </c>
      <c r="E92" s="8" t="s">
        <v>7</v>
      </c>
      <c r="F92" s="24" t="s">
        <v>299</v>
      </c>
      <c r="G92" s="8" t="s">
        <v>298</v>
      </c>
      <c r="H92" s="24" t="s">
        <v>297</v>
      </c>
      <c r="I92" s="11">
        <v>46172</v>
      </c>
      <c r="J92" s="29" t="s">
        <v>3</v>
      </c>
      <c r="K92" s="29" t="s">
        <v>13</v>
      </c>
      <c r="L92" s="29" t="s">
        <v>13</v>
      </c>
      <c r="M92" s="9">
        <v>0</v>
      </c>
      <c r="N92" s="9">
        <v>2441</v>
      </c>
      <c r="O92" s="9">
        <v>4441</v>
      </c>
      <c r="P92" s="9">
        <f t="shared" si="5"/>
        <v>2000</v>
      </c>
      <c r="Q92" s="9">
        <v>10000</v>
      </c>
      <c r="R92" s="9">
        <f t="shared" si="6"/>
        <v>7559</v>
      </c>
      <c r="S92" s="9">
        <v>0</v>
      </c>
      <c r="T92" s="9" t="s">
        <v>1</v>
      </c>
      <c r="U92" s="28">
        <v>46172</v>
      </c>
      <c r="V92" s="8" t="s">
        <v>0</v>
      </c>
      <c r="W92" s="8"/>
      <c r="X92" s="9"/>
      <c r="Y92" s="8"/>
      <c r="Z92" s="8"/>
      <c r="AA92" s="8" t="str">
        <f t="shared" ref="AA92:AA120" si="7">IF(N92,"Paid","Unpaid")</f>
        <v>Paid</v>
      </c>
      <c r="AB92" s="8"/>
    </row>
    <row r="93" spans="1:29" x14ac:dyDescent="0.3">
      <c r="A93" s="8" t="s">
        <v>11</v>
      </c>
      <c r="B93" s="8" t="s">
        <v>296</v>
      </c>
      <c r="C93" s="8" t="s">
        <v>295</v>
      </c>
      <c r="D93" s="8" t="s">
        <v>294</v>
      </c>
      <c r="E93" s="8" t="s">
        <v>7</v>
      </c>
      <c r="F93" s="8" t="s">
        <v>293</v>
      </c>
      <c r="G93" s="8" t="s">
        <v>292</v>
      </c>
      <c r="H93" s="8" t="s">
        <v>291</v>
      </c>
      <c r="I93" s="11">
        <v>46173</v>
      </c>
      <c r="J93" s="29" t="s">
        <v>3</v>
      </c>
      <c r="K93" s="8" t="s">
        <v>290</v>
      </c>
      <c r="L93" s="9" t="s">
        <v>21</v>
      </c>
      <c r="M93" s="9">
        <v>0</v>
      </c>
      <c r="N93" s="9">
        <v>7021</v>
      </c>
      <c r="O93" s="9">
        <v>9021</v>
      </c>
      <c r="P93" s="9">
        <f t="shared" si="5"/>
        <v>2000</v>
      </c>
      <c r="Q93" s="9">
        <v>10000</v>
      </c>
      <c r="R93" s="9">
        <f t="shared" si="6"/>
        <v>2979</v>
      </c>
      <c r="S93" s="9">
        <v>0</v>
      </c>
      <c r="T93" s="9" t="s">
        <v>1</v>
      </c>
      <c r="U93" s="28">
        <v>46173</v>
      </c>
      <c r="V93" s="8" t="s">
        <v>0</v>
      </c>
      <c r="W93" s="8"/>
      <c r="X93" s="9"/>
      <c r="Y93" s="8"/>
      <c r="Z93" s="8"/>
      <c r="AA93" s="8" t="str">
        <f t="shared" si="7"/>
        <v>Paid</v>
      </c>
      <c r="AB93" s="8"/>
    </row>
    <row r="94" spans="1:29" x14ac:dyDescent="0.3">
      <c r="A94" s="8" t="s">
        <v>11</v>
      </c>
      <c r="B94" s="8" t="s">
        <v>289</v>
      </c>
      <c r="C94" s="8" t="s">
        <v>288</v>
      </c>
      <c r="D94" s="8" t="s">
        <v>809</v>
      </c>
      <c r="E94" s="8" t="s">
        <v>7</v>
      </c>
      <c r="F94" s="8" t="s">
        <v>287</v>
      </c>
      <c r="G94" s="8" t="s">
        <v>286</v>
      </c>
      <c r="H94" s="8" t="s">
        <v>285</v>
      </c>
      <c r="I94" s="11">
        <v>46173</v>
      </c>
      <c r="J94" s="8" t="s">
        <v>14</v>
      </c>
      <c r="K94" s="8" t="s">
        <v>13</v>
      </c>
      <c r="L94" s="8" t="s">
        <v>13</v>
      </c>
      <c r="M94" s="9">
        <v>0</v>
      </c>
      <c r="N94" s="9">
        <v>4000</v>
      </c>
      <c r="O94" s="9">
        <v>6000</v>
      </c>
      <c r="P94" s="9">
        <f t="shared" si="5"/>
        <v>2000</v>
      </c>
      <c r="Q94" s="9">
        <v>10000</v>
      </c>
      <c r="R94" s="9">
        <f t="shared" si="6"/>
        <v>6000</v>
      </c>
      <c r="S94" s="9">
        <v>0</v>
      </c>
      <c r="T94" s="9" t="s">
        <v>1</v>
      </c>
      <c r="U94" s="28">
        <v>46173</v>
      </c>
      <c r="V94" s="8" t="s">
        <v>0</v>
      </c>
      <c r="W94" s="8"/>
      <c r="X94" s="9"/>
      <c r="Y94" s="8"/>
      <c r="Z94" s="8"/>
      <c r="AA94" s="8" t="str">
        <f t="shared" si="7"/>
        <v>Paid</v>
      </c>
      <c r="AB94" s="8"/>
    </row>
    <row r="95" spans="1:29" x14ac:dyDescent="0.3">
      <c r="A95" s="8" t="s">
        <v>11</v>
      </c>
      <c r="B95" s="8" t="s">
        <v>284</v>
      </c>
      <c r="C95" s="8" t="s">
        <v>283</v>
      </c>
      <c r="D95" s="8" t="s">
        <v>282</v>
      </c>
      <c r="E95" s="8" t="s">
        <v>7</v>
      </c>
      <c r="F95" s="8" t="s">
        <v>281</v>
      </c>
      <c r="G95" s="8" t="s">
        <v>280</v>
      </c>
      <c r="H95" s="8" t="s">
        <v>30</v>
      </c>
      <c r="I95" s="11">
        <v>46173</v>
      </c>
      <c r="J95" s="8" t="s">
        <v>14</v>
      </c>
      <c r="K95" s="8" t="s">
        <v>13</v>
      </c>
      <c r="L95" s="8" t="s">
        <v>13</v>
      </c>
      <c r="M95" s="9">
        <v>0</v>
      </c>
      <c r="N95" s="9">
        <v>4720</v>
      </c>
      <c r="O95" s="9">
        <v>6720</v>
      </c>
      <c r="P95" s="9">
        <f t="shared" si="5"/>
        <v>2000</v>
      </c>
      <c r="Q95" s="9">
        <v>10000</v>
      </c>
      <c r="R95" s="9">
        <f t="shared" si="6"/>
        <v>5280</v>
      </c>
      <c r="S95" s="9">
        <v>0</v>
      </c>
      <c r="T95" s="9" t="s">
        <v>1</v>
      </c>
      <c r="U95" s="28">
        <v>46173</v>
      </c>
      <c r="V95" s="8" t="s">
        <v>0</v>
      </c>
      <c r="W95" s="8"/>
      <c r="X95" s="9"/>
      <c r="Y95" s="8"/>
      <c r="Z95" s="8"/>
      <c r="AA95" s="8" t="str">
        <f t="shared" si="7"/>
        <v>Paid</v>
      </c>
      <c r="AB95" s="8"/>
    </row>
    <row r="96" spans="1:29" x14ac:dyDescent="0.3">
      <c r="A96" s="8" t="s">
        <v>11</v>
      </c>
      <c r="B96" s="8" t="s">
        <v>275</v>
      </c>
      <c r="C96" s="8" t="s">
        <v>274</v>
      </c>
      <c r="D96" s="8" t="s">
        <v>273</v>
      </c>
      <c r="E96" s="8" t="s">
        <v>7</v>
      </c>
      <c r="F96" s="8" t="s">
        <v>272</v>
      </c>
      <c r="G96" s="8" t="s">
        <v>271</v>
      </c>
      <c r="H96" s="8" t="s">
        <v>30</v>
      </c>
      <c r="I96" s="11">
        <v>46173</v>
      </c>
      <c r="J96" s="8" t="s">
        <v>14</v>
      </c>
      <c r="K96" s="8" t="s">
        <v>13</v>
      </c>
      <c r="L96" s="8" t="s">
        <v>13</v>
      </c>
      <c r="M96" s="9">
        <v>0</v>
      </c>
      <c r="N96" s="9">
        <v>4720</v>
      </c>
      <c r="O96" s="9">
        <v>6720</v>
      </c>
      <c r="P96" s="9">
        <f t="shared" si="5"/>
        <v>2000</v>
      </c>
      <c r="Q96" s="9">
        <v>10000</v>
      </c>
      <c r="R96" s="9">
        <f t="shared" si="6"/>
        <v>5280</v>
      </c>
      <c r="S96" s="9">
        <v>0</v>
      </c>
      <c r="T96" s="9" t="s">
        <v>1</v>
      </c>
      <c r="U96" s="28">
        <v>46173</v>
      </c>
      <c r="V96" s="8" t="s">
        <v>0</v>
      </c>
      <c r="W96" s="8"/>
      <c r="X96" s="9"/>
      <c r="Y96" s="8"/>
      <c r="Z96" s="8"/>
      <c r="AA96" s="8" t="str">
        <f t="shared" si="7"/>
        <v>Paid</v>
      </c>
      <c r="AB96" s="8"/>
    </row>
    <row r="97" spans="1:56" x14ac:dyDescent="0.3">
      <c r="A97" s="8" t="s">
        <v>11</v>
      </c>
      <c r="B97" s="8" t="s">
        <v>270</v>
      </c>
      <c r="C97" s="8" t="s">
        <v>269</v>
      </c>
      <c r="D97" s="8" t="s">
        <v>268</v>
      </c>
      <c r="E97" s="8" t="s">
        <v>7</v>
      </c>
      <c r="F97" s="8" t="s">
        <v>267</v>
      </c>
      <c r="G97" s="8" t="s">
        <v>266</v>
      </c>
      <c r="H97" s="8" t="s">
        <v>265</v>
      </c>
      <c r="I97" s="11">
        <v>46173</v>
      </c>
      <c r="J97" s="8" t="s">
        <v>14</v>
      </c>
      <c r="K97" s="8" t="s">
        <v>87</v>
      </c>
      <c r="L97" s="8" t="s">
        <v>87</v>
      </c>
      <c r="M97" s="9">
        <v>0</v>
      </c>
      <c r="N97" s="9">
        <v>7073</v>
      </c>
      <c r="O97" s="9">
        <v>9073</v>
      </c>
      <c r="P97" s="9">
        <f t="shared" si="5"/>
        <v>2000</v>
      </c>
      <c r="Q97" s="9">
        <v>10000</v>
      </c>
      <c r="R97" s="9">
        <f t="shared" si="6"/>
        <v>2927</v>
      </c>
      <c r="S97" s="9">
        <v>0</v>
      </c>
      <c r="T97" s="9" t="s">
        <v>1</v>
      </c>
      <c r="U97" s="28">
        <v>46173</v>
      </c>
      <c r="V97" s="8" t="s">
        <v>0</v>
      </c>
      <c r="W97" s="8"/>
      <c r="X97" s="9"/>
      <c r="Y97" s="8"/>
      <c r="Z97" s="8"/>
      <c r="AA97" s="8" t="str">
        <f t="shared" si="7"/>
        <v>Paid</v>
      </c>
      <c r="AB97" s="8"/>
    </row>
    <row r="98" spans="1:56" x14ac:dyDescent="0.3">
      <c r="A98" s="8" t="s">
        <v>11</v>
      </c>
      <c r="B98" s="8" t="s">
        <v>264</v>
      </c>
      <c r="C98" s="8" t="s">
        <v>263</v>
      </c>
      <c r="D98" s="8" t="s">
        <v>262</v>
      </c>
      <c r="E98" s="8" t="s">
        <v>7</v>
      </c>
      <c r="F98" s="8" t="s">
        <v>261</v>
      </c>
      <c r="G98" s="8" t="s">
        <v>260</v>
      </c>
      <c r="H98" s="8" t="s">
        <v>184</v>
      </c>
      <c r="I98" s="11">
        <v>46173</v>
      </c>
      <c r="J98" s="29" t="s">
        <v>3</v>
      </c>
      <c r="K98" s="8" t="s">
        <v>87</v>
      </c>
      <c r="L98" s="8" t="s">
        <v>87</v>
      </c>
      <c r="M98" s="9">
        <v>0</v>
      </c>
      <c r="N98" s="9">
        <v>6828</v>
      </c>
      <c r="O98" s="9">
        <v>7828</v>
      </c>
      <c r="P98" s="9">
        <f t="shared" si="5"/>
        <v>1000</v>
      </c>
      <c r="Q98" s="9">
        <v>10000</v>
      </c>
      <c r="R98" s="9">
        <f t="shared" si="6"/>
        <v>3172</v>
      </c>
      <c r="S98" s="9">
        <v>0</v>
      </c>
      <c r="T98" s="9" t="s">
        <v>1</v>
      </c>
      <c r="U98" s="28">
        <v>46173</v>
      </c>
      <c r="V98" s="8" t="s">
        <v>0</v>
      </c>
      <c r="W98" s="8"/>
      <c r="X98" s="9"/>
      <c r="Y98" s="8"/>
      <c r="Z98" s="8"/>
      <c r="AA98" s="8" t="str">
        <f t="shared" si="7"/>
        <v>Paid</v>
      </c>
      <c r="AB98" s="8"/>
    </row>
    <row r="99" spans="1:56" x14ac:dyDescent="0.3">
      <c r="A99" s="8" t="s">
        <v>11</v>
      </c>
      <c r="B99" s="8" t="s">
        <v>259</v>
      </c>
      <c r="C99" s="8" t="s">
        <v>258</v>
      </c>
      <c r="D99" s="8" t="s">
        <v>257</v>
      </c>
      <c r="E99" s="8" t="s">
        <v>7</v>
      </c>
      <c r="F99" s="8" t="s">
        <v>256</v>
      </c>
      <c r="G99" s="8" t="s">
        <v>255</v>
      </c>
      <c r="H99" s="8" t="s">
        <v>254</v>
      </c>
      <c r="I99" s="11">
        <v>46172</v>
      </c>
      <c r="J99" s="8" t="s">
        <v>14</v>
      </c>
      <c r="K99" s="8" t="s">
        <v>87</v>
      </c>
      <c r="L99" s="9" t="s">
        <v>87</v>
      </c>
      <c r="M99" s="9">
        <v>0</v>
      </c>
      <c r="N99" s="9">
        <v>2741</v>
      </c>
      <c r="O99" s="9">
        <v>4841</v>
      </c>
      <c r="P99" s="9">
        <f t="shared" si="5"/>
        <v>2100</v>
      </c>
      <c r="Q99" s="9">
        <v>10000</v>
      </c>
      <c r="R99" s="9">
        <f t="shared" si="6"/>
        <v>7259</v>
      </c>
      <c r="S99" s="9">
        <v>0</v>
      </c>
      <c r="T99" s="9" t="s">
        <v>1</v>
      </c>
      <c r="U99" s="28">
        <v>46172</v>
      </c>
      <c r="V99" s="8" t="s">
        <v>0</v>
      </c>
      <c r="W99" s="8"/>
      <c r="X99" s="9"/>
      <c r="Y99" s="8"/>
      <c r="Z99" s="8"/>
      <c r="AA99" s="8" t="str">
        <f t="shared" si="7"/>
        <v>Paid</v>
      </c>
      <c r="AB99" s="8"/>
    </row>
    <row r="100" spans="1:56" ht="28.8" x14ac:dyDescent="0.3">
      <c r="A100" s="8" t="s">
        <v>11</v>
      </c>
      <c r="B100" s="8" t="s">
        <v>253</v>
      </c>
      <c r="C100" s="8" t="s">
        <v>252</v>
      </c>
      <c r="D100" s="8" t="s">
        <v>251</v>
      </c>
      <c r="E100" s="8" t="s">
        <v>7</v>
      </c>
      <c r="F100" s="8" t="s">
        <v>250</v>
      </c>
      <c r="G100" s="8" t="s">
        <v>249</v>
      </c>
      <c r="H100" s="8" t="s">
        <v>248</v>
      </c>
      <c r="I100" s="11">
        <v>46174</v>
      </c>
      <c r="J100" s="10" t="s">
        <v>14</v>
      </c>
      <c r="K100" s="8" t="s">
        <v>21</v>
      </c>
      <c r="L100" s="8" t="s">
        <v>21</v>
      </c>
      <c r="M100" s="9">
        <v>10003</v>
      </c>
      <c r="N100" s="9">
        <v>4696</v>
      </c>
      <c r="O100" s="9">
        <v>10000</v>
      </c>
      <c r="P100" s="9">
        <f t="shared" si="5"/>
        <v>5304</v>
      </c>
      <c r="Q100" s="9">
        <v>10000</v>
      </c>
      <c r="R100" s="9">
        <f t="shared" si="6"/>
        <v>5304</v>
      </c>
      <c r="S100" s="9">
        <v>0</v>
      </c>
      <c r="T100" s="9" t="s">
        <v>1</v>
      </c>
      <c r="U100" s="28">
        <v>46176</v>
      </c>
      <c r="V100" s="8" t="s">
        <v>0</v>
      </c>
      <c r="W100" s="8"/>
      <c r="X100" s="9"/>
      <c r="Y100" s="8"/>
      <c r="Z100" s="8"/>
      <c r="AA100" s="8" t="str">
        <f t="shared" si="7"/>
        <v>Paid</v>
      </c>
      <c r="AB100" s="8"/>
    </row>
    <row r="101" spans="1:56" x14ac:dyDescent="0.3">
      <c r="A101" s="8" t="s">
        <v>11</v>
      </c>
      <c r="B101" s="8" t="s">
        <v>227</v>
      </c>
      <c r="C101" s="8" t="s">
        <v>226</v>
      </c>
      <c r="D101" s="8" t="s">
        <v>225</v>
      </c>
      <c r="E101" s="8" t="s">
        <v>7</v>
      </c>
      <c r="F101" s="8" t="s">
        <v>224</v>
      </c>
      <c r="G101" s="8" t="s">
        <v>223</v>
      </c>
      <c r="H101" s="8" t="s">
        <v>30</v>
      </c>
      <c r="I101" s="11">
        <v>46176</v>
      </c>
      <c r="J101" s="8" t="s">
        <v>14</v>
      </c>
      <c r="K101" s="8" t="s">
        <v>13</v>
      </c>
      <c r="L101" s="8" t="s">
        <v>12</v>
      </c>
      <c r="M101" s="9">
        <v>0</v>
      </c>
      <c r="N101" s="9">
        <f>7499+2000</f>
        <v>9499</v>
      </c>
      <c r="O101" s="9">
        <v>9499</v>
      </c>
      <c r="P101" s="9">
        <f t="shared" si="5"/>
        <v>0</v>
      </c>
      <c r="Q101" s="9">
        <v>10000</v>
      </c>
      <c r="R101" s="9">
        <f t="shared" si="6"/>
        <v>501</v>
      </c>
      <c r="S101" s="9">
        <v>0</v>
      </c>
      <c r="T101" s="9" t="s">
        <v>1</v>
      </c>
      <c r="U101" s="28">
        <v>46176</v>
      </c>
      <c r="V101" s="8" t="s">
        <v>0</v>
      </c>
      <c r="W101" s="8"/>
      <c r="X101" s="9"/>
      <c r="Y101" s="8"/>
      <c r="Z101" s="8"/>
      <c r="AA101" s="8" t="str">
        <f t="shared" si="7"/>
        <v>Paid</v>
      </c>
      <c r="AB101" s="8"/>
    </row>
    <row r="102" spans="1:56" x14ac:dyDescent="0.3">
      <c r="A102" s="8" t="s">
        <v>11</v>
      </c>
      <c r="B102" s="8" t="s">
        <v>247</v>
      </c>
      <c r="C102" s="8" t="s">
        <v>246</v>
      </c>
      <c r="D102" s="8" t="s">
        <v>245</v>
      </c>
      <c r="E102" s="8" t="s">
        <v>22</v>
      </c>
      <c r="F102" s="8" t="s">
        <v>244</v>
      </c>
      <c r="G102" s="8" t="s">
        <v>243</v>
      </c>
      <c r="H102" s="8" t="s">
        <v>200</v>
      </c>
      <c r="I102" s="11">
        <v>46175</v>
      </c>
      <c r="J102" s="11" t="s">
        <v>22</v>
      </c>
      <c r="K102" s="8" t="s">
        <v>13</v>
      </c>
      <c r="L102" s="8" t="s">
        <v>13</v>
      </c>
      <c r="M102" s="9">
        <v>0</v>
      </c>
      <c r="N102" s="9">
        <v>7000</v>
      </c>
      <c r="O102" s="9">
        <v>8999</v>
      </c>
      <c r="P102" s="9">
        <f t="shared" si="5"/>
        <v>1999</v>
      </c>
      <c r="Q102" s="9">
        <v>10000</v>
      </c>
      <c r="R102" s="9">
        <f t="shared" si="6"/>
        <v>3000</v>
      </c>
      <c r="S102" s="9">
        <v>0</v>
      </c>
      <c r="T102" s="9" t="s">
        <v>1</v>
      </c>
      <c r="U102" s="28">
        <v>46174</v>
      </c>
      <c r="V102" s="8" t="s">
        <v>0</v>
      </c>
      <c r="W102" s="8"/>
      <c r="X102" s="9"/>
      <c r="Y102" s="8"/>
      <c r="Z102" s="8"/>
      <c r="AA102" s="8" t="str">
        <f t="shared" si="7"/>
        <v>Paid</v>
      </c>
      <c r="AB102" s="8"/>
    </row>
    <row r="103" spans="1:56" x14ac:dyDescent="0.3">
      <c r="A103" s="8" t="s">
        <v>11</v>
      </c>
      <c r="B103" s="8" t="s">
        <v>242</v>
      </c>
      <c r="C103" s="8" t="s">
        <v>241</v>
      </c>
      <c r="D103" s="8" t="s">
        <v>240</v>
      </c>
      <c r="E103" s="8" t="s">
        <v>7</v>
      </c>
      <c r="F103" s="8" t="s">
        <v>239</v>
      </c>
      <c r="G103" s="8" t="s">
        <v>238</v>
      </c>
      <c r="H103" s="8" t="s">
        <v>30</v>
      </c>
      <c r="I103" s="11">
        <v>46173</v>
      </c>
      <c r="J103" s="29" t="s">
        <v>3</v>
      </c>
      <c r="K103" s="8" t="s">
        <v>13</v>
      </c>
      <c r="L103" s="8" t="s">
        <v>13</v>
      </c>
      <c r="M103" s="9">
        <v>0</v>
      </c>
      <c r="N103" s="9">
        <v>2110.5</v>
      </c>
      <c r="O103" s="9">
        <v>4110</v>
      </c>
      <c r="P103" s="9">
        <f t="shared" si="5"/>
        <v>1999.5</v>
      </c>
      <c r="Q103" s="9">
        <v>10000</v>
      </c>
      <c r="R103" s="9">
        <f t="shared" si="6"/>
        <v>7889.5</v>
      </c>
      <c r="S103" s="9">
        <v>0</v>
      </c>
      <c r="T103" s="9" t="s">
        <v>1</v>
      </c>
      <c r="U103" s="28">
        <v>46174</v>
      </c>
      <c r="V103" s="8" t="s">
        <v>0</v>
      </c>
      <c r="W103" s="8"/>
      <c r="X103" s="9"/>
      <c r="Y103" s="8"/>
      <c r="Z103" s="8"/>
      <c r="AA103" s="8" t="str">
        <f t="shared" si="7"/>
        <v>Paid</v>
      </c>
      <c r="AB103" s="8"/>
    </row>
    <row r="104" spans="1:56" s="30" customFormat="1" ht="28.8" x14ac:dyDescent="0.3">
      <c r="A104" s="8" t="s">
        <v>11</v>
      </c>
      <c r="B104" s="29" t="s">
        <v>237</v>
      </c>
      <c r="C104" s="29" t="s">
        <v>236</v>
      </c>
      <c r="D104" s="29" t="s">
        <v>235</v>
      </c>
      <c r="E104" s="8" t="s">
        <v>7</v>
      </c>
      <c r="F104" s="29" t="s">
        <v>234</v>
      </c>
      <c r="G104" s="29" t="s">
        <v>233</v>
      </c>
      <c r="H104" s="29" t="s">
        <v>232</v>
      </c>
      <c r="I104" s="32">
        <v>46175</v>
      </c>
      <c r="J104" s="8" t="s">
        <v>14</v>
      </c>
      <c r="K104" s="29" t="s">
        <v>13</v>
      </c>
      <c r="L104" s="31" t="s">
        <v>94</v>
      </c>
      <c r="M104" s="9">
        <v>0</v>
      </c>
      <c r="N104" s="9">
        <v>8125</v>
      </c>
      <c r="O104" s="9">
        <v>9125</v>
      </c>
      <c r="P104" s="9">
        <f t="shared" si="5"/>
        <v>1000</v>
      </c>
      <c r="Q104" s="9">
        <v>10000</v>
      </c>
      <c r="R104" s="9">
        <f t="shared" si="6"/>
        <v>1875</v>
      </c>
      <c r="S104" s="9">
        <v>0</v>
      </c>
      <c r="T104" s="9" t="s">
        <v>1</v>
      </c>
      <c r="U104" s="28">
        <v>46175</v>
      </c>
      <c r="V104" s="8" t="s">
        <v>0</v>
      </c>
      <c r="W104" s="29"/>
      <c r="X104" s="31"/>
      <c r="Y104" s="29"/>
      <c r="Z104" s="29"/>
      <c r="AA104" s="8" t="str">
        <f t="shared" si="7"/>
        <v>Paid</v>
      </c>
      <c r="AB104" s="29"/>
      <c r="AC104" s="1"/>
    </row>
    <row r="105" spans="1:56" x14ac:dyDescent="0.3">
      <c r="A105" s="8" t="s">
        <v>11</v>
      </c>
      <c r="B105" s="8" t="s">
        <v>231</v>
      </c>
      <c r="C105" s="8" t="s">
        <v>230</v>
      </c>
      <c r="D105" s="8" t="s">
        <v>807</v>
      </c>
      <c r="E105" s="8" t="s">
        <v>7</v>
      </c>
      <c r="F105" s="8" t="s">
        <v>229</v>
      </c>
      <c r="G105" s="8" t="s">
        <v>228</v>
      </c>
      <c r="H105" s="8" t="s">
        <v>30</v>
      </c>
      <c r="I105" s="11">
        <v>46175</v>
      </c>
      <c r="J105" s="8" t="s">
        <v>14</v>
      </c>
      <c r="K105" s="8" t="s">
        <v>13</v>
      </c>
      <c r="L105" s="8" t="s">
        <v>94</v>
      </c>
      <c r="M105" s="9">
        <v>0</v>
      </c>
      <c r="N105" s="9">
        <v>4717.6400000000003</v>
      </c>
      <c r="O105" s="9">
        <v>5917</v>
      </c>
      <c r="P105" s="9">
        <f t="shared" si="5"/>
        <v>1199.3599999999997</v>
      </c>
      <c r="Q105" s="9">
        <v>10000</v>
      </c>
      <c r="R105" s="9">
        <f t="shared" si="6"/>
        <v>5282.36</v>
      </c>
      <c r="S105" s="9">
        <v>0</v>
      </c>
      <c r="T105" s="9" t="s">
        <v>1</v>
      </c>
      <c r="U105" s="28">
        <v>46175</v>
      </c>
      <c r="V105" s="8" t="s">
        <v>0</v>
      </c>
      <c r="W105" s="8"/>
      <c r="X105" s="9"/>
      <c r="Y105" s="8"/>
      <c r="Z105" s="8"/>
      <c r="AA105" s="8" t="str">
        <f t="shared" si="7"/>
        <v>Paid</v>
      </c>
      <c r="AB105" s="8"/>
    </row>
    <row r="106" spans="1:56" x14ac:dyDescent="0.3">
      <c r="A106" s="8" t="s">
        <v>11</v>
      </c>
      <c r="B106" s="8" t="s">
        <v>222</v>
      </c>
      <c r="C106" s="8" t="s">
        <v>221</v>
      </c>
      <c r="D106" s="8" t="s">
        <v>220</v>
      </c>
      <c r="E106" s="8" t="s">
        <v>7</v>
      </c>
      <c r="F106" s="8" t="s">
        <v>206</v>
      </c>
      <c r="G106" s="8" t="s">
        <v>797</v>
      </c>
      <c r="H106" s="8" t="s">
        <v>219</v>
      </c>
      <c r="I106" s="11">
        <v>46175</v>
      </c>
      <c r="J106" s="8" t="s">
        <v>14</v>
      </c>
      <c r="K106" s="8" t="s">
        <v>87</v>
      </c>
      <c r="L106" s="8" t="s">
        <v>29</v>
      </c>
      <c r="M106" s="9">
        <v>0</v>
      </c>
      <c r="N106" s="9">
        <v>7847</v>
      </c>
      <c r="O106" s="9">
        <v>9147</v>
      </c>
      <c r="P106" s="9">
        <f t="shared" si="5"/>
        <v>1300</v>
      </c>
      <c r="Q106" s="9">
        <v>10000</v>
      </c>
      <c r="R106" s="9">
        <f t="shared" si="6"/>
        <v>2153</v>
      </c>
      <c r="S106" s="9">
        <v>0</v>
      </c>
      <c r="T106" s="9" t="s">
        <v>1</v>
      </c>
      <c r="U106" s="28">
        <v>46175</v>
      </c>
      <c r="V106" s="8" t="s">
        <v>0</v>
      </c>
      <c r="W106" s="8"/>
      <c r="X106" s="9"/>
      <c r="Y106" s="8"/>
      <c r="Z106" s="8"/>
      <c r="AA106" s="8" t="str">
        <f t="shared" si="7"/>
        <v>Paid</v>
      </c>
      <c r="AB106" s="8"/>
    </row>
    <row r="107" spans="1:56" x14ac:dyDescent="0.3">
      <c r="A107" s="8" t="s">
        <v>11</v>
      </c>
      <c r="B107" s="8" t="s">
        <v>218</v>
      </c>
      <c r="C107" s="8" t="s">
        <v>217</v>
      </c>
      <c r="D107" s="8" t="s">
        <v>216</v>
      </c>
      <c r="E107" s="8" t="s">
        <v>7</v>
      </c>
      <c r="F107" s="8" t="s">
        <v>215</v>
      </c>
      <c r="G107" s="8" t="s">
        <v>214</v>
      </c>
      <c r="H107" s="8" t="s">
        <v>23</v>
      </c>
      <c r="I107" s="11">
        <v>46158</v>
      </c>
      <c r="J107" s="29" t="s">
        <v>3</v>
      </c>
      <c r="K107" s="8" t="s">
        <v>21</v>
      </c>
      <c r="L107" s="8" t="s">
        <v>12</v>
      </c>
      <c r="M107" s="9">
        <v>0</v>
      </c>
      <c r="N107" s="9">
        <v>1480</v>
      </c>
      <c r="O107" s="9">
        <v>2780</v>
      </c>
      <c r="P107" s="9">
        <f t="shared" si="5"/>
        <v>1300</v>
      </c>
      <c r="Q107" s="9">
        <v>10000</v>
      </c>
      <c r="R107" s="9">
        <f t="shared" si="6"/>
        <v>8520</v>
      </c>
      <c r="S107" s="9">
        <v>0</v>
      </c>
      <c r="T107" s="9" t="s">
        <v>1</v>
      </c>
      <c r="U107" s="28">
        <v>46176</v>
      </c>
      <c r="V107" s="8" t="s">
        <v>0</v>
      </c>
      <c r="W107" s="8"/>
      <c r="X107" s="9"/>
      <c r="Y107" s="8"/>
      <c r="Z107" s="8"/>
      <c r="AA107" s="8" t="str">
        <f t="shared" si="7"/>
        <v>Paid</v>
      </c>
      <c r="AB107" s="8"/>
    </row>
    <row r="108" spans="1:56" x14ac:dyDescent="0.3">
      <c r="A108" s="8" t="s">
        <v>11</v>
      </c>
      <c r="B108" s="8" t="s">
        <v>213</v>
      </c>
      <c r="C108" s="8" t="s">
        <v>212</v>
      </c>
      <c r="D108" s="8" t="s">
        <v>211</v>
      </c>
      <c r="E108" s="8" t="s">
        <v>7</v>
      </c>
      <c r="F108" s="8" t="s">
        <v>210</v>
      </c>
      <c r="G108" s="8" t="s">
        <v>789</v>
      </c>
      <c r="H108" s="8" t="s">
        <v>53</v>
      </c>
      <c r="I108" s="11">
        <v>46175</v>
      </c>
      <c r="J108" s="10" t="s">
        <v>14</v>
      </c>
      <c r="K108" s="8" t="s">
        <v>21</v>
      </c>
      <c r="L108" s="9" t="s">
        <v>21</v>
      </c>
      <c r="M108" s="9">
        <v>12396</v>
      </c>
      <c r="N108" s="9">
        <v>9397</v>
      </c>
      <c r="O108" s="9">
        <v>10000</v>
      </c>
      <c r="P108" s="9">
        <f t="shared" si="5"/>
        <v>603</v>
      </c>
      <c r="Q108" s="9">
        <v>10000</v>
      </c>
      <c r="R108" s="9">
        <f t="shared" si="6"/>
        <v>603</v>
      </c>
      <c r="S108" s="9">
        <v>0</v>
      </c>
      <c r="T108" s="9" t="s">
        <v>1</v>
      </c>
      <c r="U108" s="28">
        <v>46176</v>
      </c>
      <c r="V108" s="8" t="s">
        <v>0</v>
      </c>
      <c r="W108" s="8"/>
      <c r="X108" s="9"/>
      <c r="Y108" s="8"/>
      <c r="Z108" s="8"/>
      <c r="AA108" s="8" t="str">
        <f t="shared" si="7"/>
        <v>Paid</v>
      </c>
      <c r="AB108" s="8"/>
    </row>
    <row r="109" spans="1:56" s="21" customFormat="1" x14ac:dyDescent="0.3">
      <c r="A109" s="8" t="s">
        <v>11</v>
      </c>
      <c r="B109" s="8" t="s">
        <v>209</v>
      </c>
      <c r="C109" s="8" t="s">
        <v>208</v>
      </c>
      <c r="D109" s="8" t="s">
        <v>207</v>
      </c>
      <c r="E109" s="8" t="s">
        <v>7</v>
      </c>
      <c r="F109" s="8" t="s">
        <v>206</v>
      </c>
      <c r="G109" s="8" t="s">
        <v>791</v>
      </c>
      <c r="H109" s="8" t="s">
        <v>184</v>
      </c>
      <c r="I109" s="11">
        <v>46176</v>
      </c>
      <c r="J109" s="10" t="s">
        <v>14</v>
      </c>
      <c r="K109" s="8" t="s">
        <v>87</v>
      </c>
      <c r="L109" s="8" t="s">
        <v>29</v>
      </c>
      <c r="M109" s="9">
        <v>0</v>
      </c>
      <c r="N109" s="9">
        <v>6545.46</v>
      </c>
      <c r="O109" s="9">
        <v>8947</v>
      </c>
      <c r="P109" s="9">
        <f t="shared" si="5"/>
        <v>2401.54</v>
      </c>
      <c r="Q109" s="9">
        <v>10000</v>
      </c>
      <c r="R109" s="9">
        <f t="shared" si="6"/>
        <v>3454.54</v>
      </c>
      <c r="S109" s="9">
        <v>0</v>
      </c>
      <c r="T109" s="9" t="s">
        <v>1</v>
      </c>
      <c r="U109" s="28">
        <v>46176</v>
      </c>
      <c r="V109" s="8" t="s">
        <v>0</v>
      </c>
      <c r="W109" s="8"/>
      <c r="X109" s="8"/>
      <c r="Y109" s="8"/>
      <c r="Z109" s="8"/>
      <c r="AA109" s="8" t="str">
        <f t="shared" si="7"/>
        <v>Paid</v>
      </c>
      <c r="AB109" s="8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1:56" x14ac:dyDescent="0.3">
      <c r="A110" s="8" t="s">
        <v>11</v>
      </c>
      <c r="B110" s="8" t="s">
        <v>205</v>
      </c>
      <c r="C110" s="8" t="s">
        <v>204</v>
      </c>
      <c r="D110" s="8" t="s">
        <v>203</v>
      </c>
      <c r="E110" s="8" t="s">
        <v>155</v>
      </c>
      <c r="F110" s="8" t="s">
        <v>202</v>
      </c>
      <c r="G110" s="8" t="s">
        <v>201</v>
      </c>
      <c r="H110" s="8" t="s">
        <v>200</v>
      </c>
      <c r="I110" s="11">
        <v>46176</v>
      </c>
      <c r="J110" s="8" t="s">
        <v>155</v>
      </c>
      <c r="K110" s="8" t="s">
        <v>13</v>
      </c>
      <c r="L110" s="8" t="s">
        <v>29</v>
      </c>
      <c r="M110" s="34">
        <v>0</v>
      </c>
      <c r="N110" s="34">
        <v>9165</v>
      </c>
      <c r="O110" s="9">
        <v>9665</v>
      </c>
      <c r="P110" s="9">
        <f t="shared" si="5"/>
        <v>500</v>
      </c>
      <c r="Q110" s="9">
        <v>10000</v>
      </c>
      <c r="R110" s="9">
        <f t="shared" si="6"/>
        <v>835</v>
      </c>
      <c r="S110" s="9">
        <v>0</v>
      </c>
      <c r="T110" s="34" t="s">
        <v>1</v>
      </c>
      <c r="U110" s="33">
        <v>46176</v>
      </c>
      <c r="V110" s="8" t="s">
        <v>0</v>
      </c>
      <c r="W110" s="8"/>
      <c r="X110" s="34"/>
      <c r="Y110" s="8"/>
      <c r="Z110" s="8"/>
      <c r="AA110" s="8" t="str">
        <f t="shared" si="7"/>
        <v>Paid</v>
      </c>
      <c r="AB110" s="8"/>
    </row>
    <row r="111" spans="1:56" s="30" customFormat="1" x14ac:dyDescent="0.3">
      <c r="A111" s="8" t="s">
        <v>11</v>
      </c>
      <c r="B111" s="24" t="s">
        <v>199</v>
      </c>
      <c r="C111" s="8" t="s">
        <v>198</v>
      </c>
      <c r="D111" s="8" t="s">
        <v>197</v>
      </c>
      <c r="E111" s="8" t="s">
        <v>155</v>
      </c>
      <c r="F111" s="8" t="s">
        <v>196</v>
      </c>
      <c r="G111" s="8" t="s">
        <v>798</v>
      </c>
      <c r="H111" s="8" t="s">
        <v>195</v>
      </c>
      <c r="I111" s="11">
        <v>46176</v>
      </c>
      <c r="J111" s="8" t="s">
        <v>155</v>
      </c>
      <c r="K111" s="8" t="s">
        <v>13</v>
      </c>
      <c r="L111" s="8" t="s">
        <v>29</v>
      </c>
      <c r="M111" s="9">
        <v>0</v>
      </c>
      <c r="N111" s="9">
        <v>10000</v>
      </c>
      <c r="O111" s="9">
        <v>10000</v>
      </c>
      <c r="P111" s="9">
        <f t="shared" si="5"/>
        <v>0</v>
      </c>
      <c r="Q111" s="9">
        <v>10000</v>
      </c>
      <c r="R111" s="9">
        <f t="shared" si="6"/>
        <v>0</v>
      </c>
      <c r="S111" s="9">
        <v>0</v>
      </c>
      <c r="T111" s="9" t="s">
        <v>1</v>
      </c>
      <c r="U111" s="28">
        <v>46176</v>
      </c>
      <c r="V111" s="8" t="s">
        <v>0</v>
      </c>
      <c r="W111" s="29"/>
      <c r="X111" s="31"/>
      <c r="Y111" s="29"/>
      <c r="Z111" s="29"/>
      <c r="AA111" s="8" t="str">
        <f t="shared" si="7"/>
        <v>Paid</v>
      </c>
      <c r="AB111" s="29"/>
      <c r="AC111" s="1"/>
    </row>
    <row r="112" spans="1:56" s="30" customFormat="1" x14ac:dyDescent="0.3">
      <c r="A112" s="8" t="s">
        <v>11</v>
      </c>
      <c r="B112" s="8" t="s">
        <v>194</v>
      </c>
      <c r="C112" s="8" t="s">
        <v>193</v>
      </c>
      <c r="D112" s="8" t="s">
        <v>192</v>
      </c>
      <c r="E112" s="8" t="s">
        <v>7</v>
      </c>
      <c r="F112" s="8" t="s">
        <v>191</v>
      </c>
      <c r="G112" s="8" t="s">
        <v>190</v>
      </c>
      <c r="H112" s="12" t="s">
        <v>189</v>
      </c>
      <c r="I112" s="32">
        <v>46176</v>
      </c>
      <c r="J112" s="29" t="s">
        <v>3</v>
      </c>
      <c r="K112" s="29" t="s">
        <v>21</v>
      </c>
      <c r="L112" s="29" t="s">
        <v>21</v>
      </c>
      <c r="M112" s="9">
        <v>0</v>
      </c>
      <c r="N112" s="9">
        <v>9898</v>
      </c>
      <c r="O112" s="9">
        <v>9898</v>
      </c>
      <c r="P112" s="9">
        <f t="shared" si="5"/>
        <v>0</v>
      </c>
      <c r="Q112" s="9">
        <v>10000</v>
      </c>
      <c r="R112" s="9">
        <f t="shared" si="6"/>
        <v>102</v>
      </c>
      <c r="S112" s="9">
        <v>0</v>
      </c>
      <c r="T112" s="9" t="s">
        <v>1</v>
      </c>
      <c r="U112" s="28">
        <v>46184</v>
      </c>
      <c r="V112" s="29" t="s">
        <v>0</v>
      </c>
      <c r="W112" s="29"/>
      <c r="X112" s="31"/>
      <c r="Y112" s="29"/>
      <c r="Z112" s="29"/>
      <c r="AA112" s="8" t="str">
        <f t="shared" si="7"/>
        <v>Paid</v>
      </c>
      <c r="AB112" s="29"/>
      <c r="AC112" s="1"/>
    </row>
    <row r="113" spans="1:29" x14ac:dyDescent="0.3">
      <c r="A113" s="8" t="s">
        <v>11</v>
      </c>
      <c r="B113" s="8" t="s">
        <v>188</v>
      </c>
      <c r="C113" s="8" t="s">
        <v>187</v>
      </c>
      <c r="D113" s="8" t="s">
        <v>186</v>
      </c>
      <c r="E113" s="8" t="s">
        <v>7</v>
      </c>
      <c r="F113" s="8" t="s">
        <v>185</v>
      </c>
      <c r="G113" s="8" t="s">
        <v>788</v>
      </c>
      <c r="H113" s="8" t="s">
        <v>184</v>
      </c>
      <c r="I113" s="11">
        <v>46176</v>
      </c>
      <c r="J113" s="29" t="s">
        <v>3</v>
      </c>
      <c r="K113" s="8" t="s">
        <v>21</v>
      </c>
      <c r="L113" s="8" t="s">
        <v>21</v>
      </c>
      <c r="M113" s="9">
        <v>0</v>
      </c>
      <c r="N113" s="9">
        <v>10000</v>
      </c>
      <c r="O113" s="9">
        <v>10000</v>
      </c>
      <c r="P113" s="9">
        <f t="shared" si="5"/>
        <v>0</v>
      </c>
      <c r="Q113" s="9">
        <v>10000</v>
      </c>
      <c r="R113" s="9">
        <f t="shared" si="6"/>
        <v>0</v>
      </c>
      <c r="S113" s="9">
        <v>0</v>
      </c>
      <c r="T113" s="9" t="s">
        <v>1</v>
      </c>
      <c r="U113" s="28">
        <v>46176</v>
      </c>
      <c r="V113" s="29" t="s">
        <v>0</v>
      </c>
      <c r="W113" s="8"/>
      <c r="X113" s="8"/>
      <c r="Y113" s="8"/>
      <c r="Z113" s="8"/>
      <c r="AA113" s="8" t="str">
        <f t="shared" si="7"/>
        <v>Paid</v>
      </c>
      <c r="AB113" s="8"/>
    </row>
    <row r="114" spans="1:29" x14ac:dyDescent="0.3">
      <c r="A114" s="8" t="s">
        <v>11</v>
      </c>
      <c r="B114" s="12" t="s">
        <v>176</v>
      </c>
      <c r="C114" s="12" t="s">
        <v>175</v>
      </c>
      <c r="D114" s="12" t="s">
        <v>174</v>
      </c>
      <c r="E114" s="8" t="s">
        <v>7</v>
      </c>
      <c r="F114" s="12" t="s">
        <v>6</v>
      </c>
      <c r="G114" s="12" t="s">
        <v>5</v>
      </c>
      <c r="H114" s="12" t="s">
        <v>53</v>
      </c>
      <c r="I114" s="11">
        <v>46176</v>
      </c>
      <c r="J114" s="29" t="s">
        <v>3</v>
      </c>
      <c r="K114" s="8" t="s">
        <v>2</v>
      </c>
      <c r="L114" s="8" t="s">
        <v>2</v>
      </c>
      <c r="M114" s="9">
        <v>0</v>
      </c>
      <c r="N114" s="9">
        <f>3000+1729</f>
        <v>4729</v>
      </c>
      <c r="O114" s="9">
        <v>6729</v>
      </c>
      <c r="P114" s="9">
        <f t="shared" si="5"/>
        <v>2000</v>
      </c>
      <c r="Q114" s="9">
        <v>10000</v>
      </c>
      <c r="R114" s="9">
        <f t="shared" si="6"/>
        <v>5271</v>
      </c>
      <c r="S114" s="9">
        <v>0</v>
      </c>
      <c r="T114" s="9" t="s">
        <v>1</v>
      </c>
      <c r="U114" s="28">
        <v>46176</v>
      </c>
      <c r="V114" s="8" t="s">
        <v>0</v>
      </c>
      <c r="W114" s="8"/>
      <c r="X114" s="8"/>
      <c r="Y114" s="8"/>
      <c r="Z114" s="8"/>
      <c r="AA114" s="8" t="str">
        <f t="shared" si="7"/>
        <v>Paid</v>
      </c>
      <c r="AB114" s="8"/>
    </row>
    <row r="115" spans="1:29" ht="28.8" x14ac:dyDescent="0.3">
      <c r="A115" s="8" t="s">
        <v>11</v>
      </c>
      <c r="B115" s="8" t="s">
        <v>183</v>
      </c>
      <c r="C115" s="8" t="s">
        <v>182</v>
      </c>
      <c r="D115" s="8" t="s">
        <v>181</v>
      </c>
      <c r="E115" s="8" t="s">
        <v>7</v>
      </c>
      <c r="F115" s="8" t="s">
        <v>180</v>
      </c>
      <c r="G115" s="8" t="s">
        <v>179</v>
      </c>
      <c r="H115" s="8" t="s">
        <v>178</v>
      </c>
      <c r="I115" s="11">
        <v>46177</v>
      </c>
      <c r="J115" s="29" t="s">
        <v>3</v>
      </c>
      <c r="K115" s="8" t="s">
        <v>13</v>
      </c>
      <c r="L115" s="8" t="s">
        <v>13</v>
      </c>
      <c r="M115" s="9">
        <v>0</v>
      </c>
      <c r="N115" s="9">
        <v>1255</v>
      </c>
      <c r="O115" s="9">
        <v>3255</v>
      </c>
      <c r="P115" s="9">
        <f t="shared" si="5"/>
        <v>2000</v>
      </c>
      <c r="Q115" s="9">
        <v>10000</v>
      </c>
      <c r="R115" s="9">
        <f t="shared" si="6"/>
        <v>8745</v>
      </c>
      <c r="S115" s="9">
        <v>0</v>
      </c>
      <c r="T115" s="9" t="s">
        <v>1</v>
      </c>
      <c r="U115" s="28">
        <v>46177</v>
      </c>
      <c r="V115" s="8" t="s">
        <v>0</v>
      </c>
      <c r="W115" s="8"/>
      <c r="X115" s="9">
        <v>1745</v>
      </c>
      <c r="Y115" s="35">
        <v>46177</v>
      </c>
      <c r="Z115" s="8" t="s">
        <v>177</v>
      </c>
      <c r="AA115" s="8" t="str">
        <f t="shared" si="7"/>
        <v>Paid</v>
      </c>
      <c r="AB115" s="8"/>
    </row>
    <row r="116" spans="1:29" s="30" customFormat="1" x14ac:dyDescent="0.3">
      <c r="A116" s="8" t="s">
        <v>11</v>
      </c>
      <c r="B116" s="8" t="s">
        <v>173</v>
      </c>
      <c r="C116" s="8" t="s">
        <v>172</v>
      </c>
      <c r="D116" s="8" t="s">
        <v>171</v>
      </c>
      <c r="E116" s="8" t="s">
        <v>7</v>
      </c>
      <c r="F116" s="8" t="s">
        <v>170</v>
      </c>
      <c r="G116" s="8" t="s">
        <v>169</v>
      </c>
      <c r="H116" s="8" t="s">
        <v>168</v>
      </c>
      <c r="I116" s="11">
        <v>46177</v>
      </c>
      <c r="J116" s="29" t="s">
        <v>3</v>
      </c>
      <c r="K116" s="8" t="s">
        <v>21</v>
      </c>
      <c r="L116" s="8" t="s">
        <v>21</v>
      </c>
      <c r="M116" s="9">
        <v>0</v>
      </c>
      <c r="N116" s="9">
        <v>9086</v>
      </c>
      <c r="O116" s="9">
        <v>9886</v>
      </c>
      <c r="P116" s="9">
        <f t="shared" si="5"/>
        <v>800</v>
      </c>
      <c r="Q116" s="9">
        <v>10000</v>
      </c>
      <c r="R116" s="9">
        <f t="shared" si="6"/>
        <v>914</v>
      </c>
      <c r="S116" s="9">
        <v>0</v>
      </c>
      <c r="T116" s="9" t="s">
        <v>1</v>
      </c>
      <c r="U116" s="28">
        <v>46177</v>
      </c>
      <c r="V116" s="8" t="s">
        <v>0</v>
      </c>
      <c r="W116" s="29"/>
      <c r="X116" s="29"/>
      <c r="Y116" s="29"/>
      <c r="Z116" s="29"/>
      <c r="AA116" s="8" t="str">
        <f t="shared" si="7"/>
        <v>Paid</v>
      </c>
      <c r="AB116" s="29"/>
      <c r="AC116" s="1"/>
    </row>
    <row r="117" spans="1:29" x14ac:dyDescent="0.3">
      <c r="A117" s="8" t="s">
        <v>11</v>
      </c>
      <c r="B117" s="12" t="s">
        <v>167</v>
      </c>
      <c r="C117" s="12" t="s">
        <v>166</v>
      </c>
      <c r="D117" s="12" t="s">
        <v>165</v>
      </c>
      <c r="E117" s="8" t="s">
        <v>7</v>
      </c>
      <c r="F117" s="12" t="s">
        <v>164</v>
      </c>
      <c r="G117" s="12" t="s">
        <v>799</v>
      </c>
      <c r="H117" s="8" t="s">
        <v>30</v>
      </c>
      <c r="I117" s="11">
        <v>46178</v>
      </c>
      <c r="J117" s="29" t="s">
        <v>3</v>
      </c>
      <c r="K117" s="8" t="s">
        <v>13</v>
      </c>
      <c r="L117" s="8" t="s">
        <v>29</v>
      </c>
      <c r="M117" s="34">
        <v>0</v>
      </c>
      <c r="N117" s="34">
        <v>3000</v>
      </c>
      <c r="O117" s="9">
        <v>4000</v>
      </c>
      <c r="P117" s="9">
        <f t="shared" si="5"/>
        <v>1000</v>
      </c>
      <c r="Q117" s="9">
        <v>10000</v>
      </c>
      <c r="R117" s="9">
        <f t="shared" si="6"/>
        <v>7000</v>
      </c>
      <c r="S117" s="9">
        <v>0</v>
      </c>
      <c r="T117" s="34" t="s">
        <v>1</v>
      </c>
      <c r="U117" s="33">
        <v>46178</v>
      </c>
      <c r="V117" s="8" t="s">
        <v>0</v>
      </c>
      <c r="W117" s="8"/>
      <c r="X117" s="8"/>
      <c r="Y117" s="8"/>
      <c r="Z117" s="8"/>
      <c r="AA117" s="8" t="str">
        <f t="shared" si="7"/>
        <v>Paid</v>
      </c>
      <c r="AB117" s="8"/>
    </row>
    <row r="118" spans="1:29" x14ac:dyDescent="0.3">
      <c r="A118" s="8" t="s">
        <v>11</v>
      </c>
      <c r="B118" s="29" t="s">
        <v>163</v>
      </c>
      <c r="C118" s="29" t="s">
        <v>162</v>
      </c>
      <c r="D118" s="29" t="s">
        <v>161</v>
      </c>
      <c r="E118" s="8" t="s">
        <v>7</v>
      </c>
      <c r="F118" s="29" t="s">
        <v>160</v>
      </c>
      <c r="G118" s="29" t="s">
        <v>800</v>
      </c>
      <c r="H118" s="29" t="s">
        <v>159</v>
      </c>
      <c r="I118" s="32">
        <v>46178</v>
      </c>
      <c r="J118" s="11" t="s">
        <v>14</v>
      </c>
      <c r="K118" s="29" t="s">
        <v>87</v>
      </c>
      <c r="L118" s="29" t="s">
        <v>87</v>
      </c>
      <c r="M118" s="9">
        <v>0</v>
      </c>
      <c r="N118" s="9">
        <v>8017.2</v>
      </c>
      <c r="O118" s="9">
        <v>9017</v>
      </c>
      <c r="P118" s="9">
        <f t="shared" si="5"/>
        <v>999.80000000000018</v>
      </c>
      <c r="Q118" s="9">
        <v>10000</v>
      </c>
      <c r="R118" s="9">
        <f t="shared" si="6"/>
        <v>1982.8000000000002</v>
      </c>
      <c r="S118" s="9">
        <v>0</v>
      </c>
      <c r="T118" s="9" t="s">
        <v>1</v>
      </c>
      <c r="U118" s="28">
        <v>46178</v>
      </c>
      <c r="V118" s="8" t="s">
        <v>0</v>
      </c>
      <c r="W118" s="8"/>
      <c r="X118" s="9"/>
      <c r="Y118" s="8"/>
      <c r="Z118" s="8"/>
      <c r="AA118" s="8" t="str">
        <f t="shared" si="7"/>
        <v>Paid</v>
      </c>
      <c r="AB118" s="8"/>
    </row>
    <row r="119" spans="1:29" x14ac:dyDescent="0.3">
      <c r="A119" s="8" t="s">
        <v>11</v>
      </c>
      <c r="B119" s="24" t="s">
        <v>158</v>
      </c>
      <c r="C119" s="24" t="s">
        <v>157</v>
      </c>
      <c r="D119" s="24" t="s">
        <v>156</v>
      </c>
      <c r="E119" s="24" t="s">
        <v>155</v>
      </c>
      <c r="F119" s="24" t="s">
        <v>154</v>
      </c>
      <c r="G119" s="24" t="s">
        <v>153</v>
      </c>
      <c r="H119" s="29" t="s">
        <v>152</v>
      </c>
      <c r="I119" s="11">
        <v>46178</v>
      </c>
      <c r="J119" s="8" t="s">
        <v>22</v>
      </c>
      <c r="K119" s="8" t="s">
        <v>21</v>
      </c>
      <c r="L119" s="8" t="s">
        <v>12</v>
      </c>
      <c r="M119" s="9">
        <v>0</v>
      </c>
      <c r="N119" s="9">
        <v>9765</v>
      </c>
      <c r="O119" s="9">
        <v>9765</v>
      </c>
      <c r="P119" s="9">
        <f t="shared" si="5"/>
        <v>0</v>
      </c>
      <c r="Q119" s="9">
        <v>10000</v>
      </c>
      <c r="R119" s="9">
        <f t="shared" si="6"/>
        <v>235</v>
      </c>
      <c r="S119" s="9">
        <v>0</v>
      </c>
      <c r="T119" s="9" t="s">
        <v>1</v>
      </c>
      <c r="U119" s="28">
        <v>46178</v>
      </c>
      <c r="V119" s="8" t="s">
        <v>0</v>
      </c>
      <c r="W119" s="8"/>
      <c r="X119" s="8"/>
      <c r="Y119" s="8"/>
      <c r="Z119" s="8"/>
      <c r="AA119" s="8" t="str">
        <f t="shared" si="7"/>
        <v>Paid</v>
      </c>
      <c r="AB119" s="8"/>
    </row>
    <row r="120" spans="1:29" x14ac:dyDescent="0.3">
      <c r="A120" s="8" t="s">
        <v>11</v>
      </c>
      <c r="B120" s="8" t="s">
        <v>151</v>
      </c>
      <c r="C120" s="8" t="s">
        <v>150</v>
      </c>
      <c r="D120" s="8" t="s">
        <v>149</v>
      </c>
      <c r="E120" s="8" t="s">
        <v>7</v>
      </c>
      <c r="F120" s="8" t="s">
        <v>148</v>
      </c>
      <c r="G120" s="8" t="s">
        <v>147</v>
      </c>
      <c r="H120" s="11" t="s">
        <v>146</v>
      </c>
      <c r="I120" s="11">
        <v>46176</v>
      </c>
      <c r="J120" s="11" t="s">
        <v>14</v>
      </c>
      <c r="K120" s="8" t="s">
        <v>87</v>
      </c>
      <c r="L120" s="8" t="s">
        <v>12</v>
      </c>
      <c r="M120" s="9">
        <v>0</v>
      </c>
      <c r="N120" s="9">
        <v>8492.4599999999991</v>
      </c>
      <c r="O120" s="9">
        <v>9492</v>
      </c>
      <c r="P120" s="9">
        <f t="shared" si="5"/>
        <v>999.54000000000087</v>
      </c>
      <c r="Q120" s="9">
        <v>10000</v>
      </c>
      <c r="R120" s="9">
        <f t="shared" si="6"/>
        <v>1507.5400000000009</v>
      </c>
      <c r="S120" s="9">
        <v>0</v>
      </c>
      <c r="T120" s="7" t="s">
        <v>1</v>
      </c>
      <c r="U120" s="10">
        <v>46181</v>
      </c>
      <c r="V120" s="8" t="s">
        <v>0</v>
      </c>
      <c r="W120" s="8"/>
      <c r="X120" s="8"/>
      <c r="Y120" s="8"/>
      <c r="Z120" s="8"/>
      <c r="AA120" s="8" t="str">
        <f t="shared" si="7"/>
        <v>Paid</v>
      </c>
      <c r="AB120" s="8"/>
    </row>
    <row r="121" spans="1:29" x14ac:dyDescent="0.3">
      <c r="A121" s="8" t="s">
        <v>11</v>
      </c>
      <c r="B121" s="24" t="s">
        <v>145</v>
      </c>
      <c r="C121" s="24" t="s">
        <v>144</v>
      </c>
      <c r="D121" s="24" t="s">
        <v>143</v>
      </c>
      <c r="E121" s="8" t="s">
        <v>7</v>
      </c>
      <c r="F121" s="8" t="s">
        <v>142</v>
      </c>
      <c r="G121" s="8" t="s">
        <v>141</v>
      </c>
      <c r="H121" s="8" t="s">
        <v>47</v>
      </c>
      <c r="I121" s="11">
        <v>46177</v>
      </c>
      <c r="J121" s="29" t="s">
        <v>3</v>
      </c>
      <c r="K121" s="8" t="s">
        <v>21</v>
      </c>
      <c r="L121" s="8" t="s">
        <v>21</v>
      </c>
      <c r="M121" s="9">
        <v>0</v>
      </c>
      <c r="N121" s="9">
        <v>9503</v>
      </c>
      <c r="O121" s="9">
        <v>9503</v>
      </c>
      <c r="P121" s="9">
        <f t="shared" si="5"/>
        <v>0</v>
      </c>
      <c r="Q121" s="9">
        <v>10000</v>
      </c>
      <c r="R121" s="9">
        <f t="shared" si="6"/>
        <v>497</v>
      </c>
      <c r="S121" s="9">
        <v>0</v>
      </c>
      <c r="T121" s="9" t="s">
        <v>1</v>
      </c>
      <c r="U121" s="28">
        <v>46177</v>
      </c>
      <c r="V121" s="8" t="s">
        <v>0</v>
      </c>
      <c r="W121" s="8"/>
      <c r="X121" s="8"/>
      <c r="Y121" s="8"/>
      <c r="Z121" s="8"/>
      <c r="AA121" s="8" t="str">
        <f t="shared" ref="AA121:AA145" si="8">IF(N121,"Paid","Unpaid")</f>
        <v>Paid</v>
      </c>
      <c r="AB121" s="8"/>
    </row>
    <row r="122" spans="1:29" x14ac:dyDescent="0.3">
      <c r="A122" s="8" t="s">
        <v>11</v>
      </c>
      <c r="B122" s="8" t="s">
        <v>140</v>
      </c>
      <c r="C122" s="8" t="s">
        <v>139</v>
      </c>
      <c r="D122" s="8" t="s">
        <v>138</v>
      </c>
      <c r="E122" s="8" t="s">
        <v>7</v>
      </c>
      <c r="F122" s="8" t="s">
        <v>137</v>
      </c>
      <c r="G122" s="8" t="s">
        <v>136</v>
      </c>
      <c r="H122" s="8" t="s">
        <v>30</v>
      </c>
      <c r="I122" s="11">
        <v>46178</v>
      </c>
      <c r="J122" s="29" t="s">
        <v>3</v>
      </c>
      <c r="K122" s="8" t="s">
        <v>13</v>
      </c>
      <c r="L122" s="8" t="s">
        <v>13</v>
      </c>
      <c r="M122" s="9">
        <v>0</v>
      </c>
      <c r="N122" s="9">
        <v>2584</v>
      </c>
      <c r="O122" s="9">
        <v>4284</v>
      </c>
      <c r="P122" s="9">
        <f t="shared" ref="P122:P145" si="9">O122-N122</f>
        <v>1700</v>
      </c>
      <c r="Q122" s="9">
        <v>10000</v>
      </c>
      <c r="R122" s="9">
        <f t="shared" ref="R122:R145" si="10">Q122-N122</f>
        <v>7416</v>
      </c>
      <c r="S122" s="9">
        <v>0</v>
      </c>
      <c r="T122" s="9" t="s">
        <v>1</v>
      </c>
      <c r="U122" s="28">
        <v>46178</v>
      </c>
      <c r="V122" s="8" t="s">
        <v>0</v>
      </c>
      <c r="W122" s="8"/>
      <c r="X122" s="8"/>
      <c r="Y122" s="8"/>
      <c r="Z122" s="8"/>
      <c r="AA122" s="8" t="str">
        <f t="shared" si="8"/>
        <v>Paid</v>
      </c>
      <c r="AB122" s="8"/>
    </row>
    <row r="123" spans="1:29" s="30" customFormat="1" x14ac:dyDescent="0.3">
      <c r="A123" s="8" t="s">
        <v>11</v>
      </c>
      <c r="B123" s="8" t="s">
        <v>135</v>
      </c>
      <c r="C123" s="8" t="s">
        <v>134</v>
      </c>
      <c r="D123" s="8" t="s">
        <v>133</v>
      </c>
      <c r="E123" s="8" t="s">
        <v>7</v>
      </c>
      <c r="F123" s="8" t="s">
        <v>132</v>
      </c>
      <c r="G123" s="8" t="s">
        <v>131</v>
      </c>
      <c r="H123" s="8" t="s">
        <v>30</v>
      </c>
      <c r="I123" s="11">
        <v>46178</v>
      </c>
      <c r="J123" s="8" t="s">
        <v>14</v>
      </c>
      <c r="K123" s="8" t="s">
        <v>13</v>
      </c>
      <c r="L123" s="8" t="s">
        <v>13</v>
      </c>
      <c r="M123" s="9">
        <v>0</v>
      </c>
      <c r="N123" s="9">
        <v>5805</v>
      </c>
      <c r="O123" s="9">
        <v>6805</v>
      </c>
      <c r="P123" s="9">
        <f t="shared" si="9"/>
        <v>1000</v>
      </c>
      <c r="Q123" s="9">
        <v>10000</v>
      </c>
      <c r="R123" s="9">
        <f t="shared" si="10"/>
        <v>4195</v>
      </c>
      <c r="S123" s="9">
        <v>0</v>
      </c>
      <c r="T123" s="9" t="s">
        <v>1</v>
      </c>
      <c r="U123" s="28">
        <v>46178</v>
      </c>
      <c r="V123" s="8" t="s">
        <v>0</v>
      </c>
      <c r="W123" s="29"/>
      <c r="X123" s="29"/>
      <c r="Y123" s="29"/>
      <c r="Z123" s="29"/>
      <c r="AA123" s="8" t="str">
        <f t="shared" si="8"/>
        <v>Paid</v>
      </c>
      <c r="AB123" s="29"/>
      <c r="AC123" s="1"/>
    </row>
    <row r="124" spans="1:29" x14ac:dyDescent="0.3">
      <c r="A124" s="8" t="s">
        <v>11</v>
      </c>
      <c r="B124" s="8" t="s">
        <v>130</v>
      </c>
      <c r="C124" s="8" t="s">
        <v>129</v>
      </c>
      <c r="D124" s="8" t="s">
        <v>128</v>
      </c>
      <c r="E124" s="8" t="s">
        <v>7</v>
      </c>
      <c r="F124" s="8" t="s">
        <v>127</v>
      </c>
      <c r="G124" s="8" t="s">
        <v>126</v>
      </c>
      <c r="H124" s="8" t="s">
        <v>125</v>
      </c>
      <c r="I124" s="11">
        <v>46178</v>
      </c>
      <c r="J124" s="29" t="s">
        <v>3</v>
      </c>
      <c r="K124" s="8" t="s">
        <v>87</v>
      </c>
      <c r="L124" s="8" t="s">
        <v>94</v>
      </c>
      <c r="M124" s="9">
        <v>0</v>
      </c>
      <c r="N124" s="9">
        <v>4809</v>
      </c>
      <c r="O124" s="9">
        <v>6809</v>
      </c>
      <c r="P124" s="9">
        <f t="shared" si="9"/>
        <v>2000</v>
      </c>
      <c r="Q124" s="9">
        <v>10000</v>
      </c>
      <c r="R124" s="9">
        <f t="shared" si="10"/>
        <v>5191</v>
      </c>
      <c r="S124" s="9">
        <v>0</v>
      </c>
      <c r="T124" s="9" t="s">
        <v>1</v>
      </c>
      <c r="U124" s="28">
        <v>46178</v>
      </c>
      <c r="V124" s="8" t="s">
        <v>0</v>
      </c>
      <c r="W124" s="8"/>
      <c r="X124" s="8"/>
      <c r="Y124" s="8"/>
      <c r="Z124" s="8"/>
      <c r="AA124" s="8" t="str">
        <f t="shared" si="8"/>
        <v>Paid</v>
      </c>
      <c r="AB124" s="8"/>
    </row>
    <row r="125" spans="1:29" ht="28.8" x14ac:dyDescent="0.3">
      <c r="A125" s="8" t="s">
        <v>11</v>
      </c>
      <c r="B125" s="8" t="s">
        <v>124</v>
      </c>
      <c r="C125" s="8" t="s">
        <v>123</v>
      </c>
      <c r="D125" s="8" t="s">
        <v>122</v>
      </c>
      <c r="E125" s="8" t="s">
        <v>22</v>
      </c>
      <c r="F125" s="8" t="s">
        <v>121</v>
      </c>
      <c r="G125" s="8" t="s">
        <v>803</v>
      </c>
      <c r="H125" s="8" t="s">
        <v>47</v>
      </c>
      <c r="I125" s="11">
        <v>46179</v>
      </c>
      <c r="J125" s="11" t="s">
        <v>22</v>
      </c>
      <c r="K125" s="8" t="s">
        <v>21</v>
      </c>
      <c r="L125" s="8"/>
      <c r="M125" s="9">
        <v>0</v>
      </c>
      <c r="N125" s="9">
        <v>5600</v>
      </c>
      <c r="O125" s="9">
        <v>8600</v>
      </c>
      <c r="P125" s="9">
        <f t="shared" si="9"/>
        <v>3000</v>
      </c>
      <c r="Q125" s="9">
        <v>10000</v>
      </c>
      <c r="R125" s="9">
        <f t="shared" si="10"/>
        <v>4400</v>
      </c>
      <c r="S125" s="9">
        <v>0</v>
      </c>
      <c r="T125" s="9" t="s">
        <v>1</v>
      </c>
      <c r="U125" s="28">
        <v>46179</v>
      </c>
      <c r="V125" s="8" t="s">
        <v>0</v>
      </c>
      <c r="W125" s="8"/>
      <c r="X125" s="8"/>
      <c r="Y125" s="8"/>
      <c r="Z125" s="8"/>
      <c r="AA125" s="8" t="str">
        <f t="shared" si="8"/>
        <v>Paid</v>
      </c>
      <c r="AB125" s="8"/>
    </row>
    <row r="126" spans="1:29" s="30" customFormat="1" x14ac:dyDescent="0.3">
      <c r="A126" s="8" t="s">
        <v>11</v>
      </c>
      <c r="B126" s="8" t="s">
        <v>120</v>
      </c>
      <c r="C126" s="8" t="s">
        <v>119</v>
      </c>
      <c r="D126" s="8" t="s">
        <v>118</v>
      </c>
      <c r="E126" s="8" t="s">
        <v>7</v>
      </c>
      <c r="F126" s="8" t="s">
        <v>117</v>
      </c>
      <c r="G126" s="8" t="s">
        <v>116</v>
      </c>
      <c r="H126" s="8" t="s">
        <v>47</v>
      </c>
      <c r="I126" s="32">
        <v>46178</v>
      </c>
      <c r="J126" s="29" t="s">
        <v>3</v>
      </c>
      <c r="K126" s="29" t="s">
        <v>21</v>
      </c>
      <c r="L126" s="29" t="s">
        <v>21</v>
      </c>
      <c r="M126" s="9">
        <v>0</v>
      </c>
      <c r="N126" s="9">
        <v>953</v>
      </c>
      <c r="O126" s="9">
        <v>1953</v>
      </c>
      <c r="P126" s="9">
        <f t="shared" si="9"/>
        <v>1000</v>
      </c>
      <c r="Q126" s="9">
        <v>10000</v>
      </c>
      <c r="R126" s="9">
        <f t="shared" si="10"/>
        <v>9047</v>
      </c>
      <c r="S126" s="9">
        <v>0</v>
      </c>
      <c r="T126" s="9" t="s">
        <v>1</v>
      </c>
      <c r="U126" s="28">
        <v>46178</v>
      </c>
      <c r="V126" s="8" t="s">
        <v>0</v>
      </c>
      <c r="W126" s="29"/>
      <c r="X126" s="31"/>
      <c r="Y126" s="29"/>
      <c r="Z126" s="29"/>
      <c r="AA126" s="8" t="str">
        <f t="shared" si="8"/>
        <v>Paid</v>
      </c>
      <c r="AB126" s="29"/>
      <c r="AC126" s="1"/>
    </row>
    <row r="127" spans="1:29" s="30" customFormat="1" x14ac:dyDescent="0.3">
      <c r="A127" s="8" t="s">
        <v>11</v>
      </c>
      <c r="B127" s="8" t="s">
        <v>115</v>
      </c>
      <c r="C127" s="8" t="s">
        <v>114</v>
      </c>
      <c r="D127" s="8" t="s">
        <v>113</v>
      </c>
      <c r="E127" s="8" t="s">
        <v>7</v>
      </c>
      <c r="F127" s="8" t="s">
        <v>112</v>
      </c>
      <c r="G127" s="8" t="s">
        <v>111</v>
      </c>
      <c r="H127" s="8" t="s">
        <v>47</v>
      </c>
      <c r="I127" s="32">
        <v>46178</v>
      </c>
      <c r="J127" s="10" t="s">
        <v>14</v>
      </c>
      <c r="K127" s="29" t="s">
        <v>21</v>
      </c>
      <c r="L127" s="29" t="s">
        <v>21</v>
      </c>
      <c r="M127" s="9">
        <v>0</v>
      </c>
      <c r="N127" s="9">
        <v>8260</v>
      </c>
      <c r="O127" s="9">
        <v>9260</v>
      </c>
      <c r="P127" s="9">
        <f t="shared" si="9"/>
        <v>1000</v>
      </c>
      <c r="Q127" s="9">
        <v>10000</v>
      </c>
      <c r="R127" s="9">
        <f t="shared" si="10"/>
        <v>1740</v>
      </c>
      <c r="S127" s="9">
        <v>0</v>
      </c>
      <c r="T127" s="9" t="s">
        <v>1</v>
      </c>
      <c r="U127" s="28">
        <v>46178</v>
      </c>
      <c r="V127" s="8" t="s">
        <v>0</v>
      </c>
      <c r="W127" s="29"/>
      <c r="X127" s="31"/>
      <c r="Y127" s="29"/>
      <c r="Z127" s="29"/>
      <c r="AA127" s="8" t="str">
        <f t="shared" si="8"/>
        <v>Paid</v>
      </c>
      <c r="AB127" s="29"/>
      <c r="AC127" s="1"/>
    </row>
    <row r="128" spans="1:29" x14ac:dyDescent="0.3">
      <c r="A128" s="8" t="s">
        <v>11</v>
      </c>
      <c r="B128" s="8" t="s">
        <v>110</v>
      </c>
      <c r="C128" s="8" t="s">
        <v>109</v>
      </c>
      <c r="D128" s="8" t="s">
        <v>108</v>
      </c>
      <c r="E128" s="8" t="s">
        <v>7</v>
      </c>
      <c r="F128" s="8" t="s">
        <v>107</v>
      </c>
      <c r="G128" s="8" t="s">
        <v>801</v>
      </c>
      <c r="H128" s="8" t="s">
        <v>106</v>
      </c>
      <c r="I128" s="11">
        <v>46178</v>
      </c>
      <c r="J128" s="10" t="s">
        <v>14</v>
      </c>
      <c r="K128" s="29" t="s">
        <v>21</v>
      </c>
      <c r="L128" s="29" t="s">
        <v>21</v>
      </c>
      <c r="M128" s="9">
        <v>12980</v>
      </c>
      <c r="N128" s="9">
        <v>10225</v>
      </c>
      <c r="O128" s="9">
        <v>10225</v>
      </c>
      <c r="P128" s="9">
        <f t="shared" si="9"/>
        <v>0</v>
      </c>
      <c r="Q128" s="9">
        <v>10000</v>
      </c>
      <c r="R128" s="9">
        <f t="shared" si="10"/>
        <v>-225</v>
      </c>
      <c r="S128" s="9">
        <v>0</v>
      </c>
      <c r="T128" s="9" t="s">
        <v>1</v>
      </c>
      <c r="U128" s="28">
        <v>46184</v>
      </c>
      <c r="V128" s="8" t="s">
        <v>0</v>
      </c>
      <c r="W128" s="8"/>
      <c r="X128" s="8"/>
      <c r="Y128" s="8"/>
      <c r="Z128" s="8"/>
      <c r="AA128" s="8" t="str">
        <f t="shared" si="8"/>
        <v>Paid</v>
      </c>
      <c r="AB128" s="8"/>
    </row>
    <row r="129" spans="1:29" x14ac:dyDescent="0.3">
      <c r="A129" s="8" t="s">
        <v>11</v>
      </c>
      <c r="B129" s="12" t="s">
        <v>105</v>
      </c>
      <c r="C129" s="12" t="s">
        <v>104</v>
      </c>
      <c r="D129" s="12" t="s">
        <v>103</v>
      </c>
      <c r="E129" s="8" t="s">
        <v>7</v>
      </c>
      <c r="F129" s="8" t="s">
        <v>102</v>
      </c>
      <c r="G129" s="8" t="s">
        <v>101</v>
      </c>
      <c r="H129" s="8" t="s">
        <v>47</v>
      </c>
      <c r="I129" s="11">
        <v>46178</v>
      </c>
      <c r="J129" s="29" t="s">
        <v>3</v>
      </c>
      <c r="K129" s="29" t="s">
        <v>21</v>
      </c>
      <c r="L129" s="29" t="s">
        <v>21</v>
      </c>
      <c r="M129" s="9">
        <v>0</v>
      </c>
      <c r="N129" s="9">
        <v>5107</v>
      </c>
      <c r="O129" s="9">
        <v>6107</v>
      </c>
      <c r="P129" s="9">
        <f t="shared" si="9"/>
        <v>1000</v>
      </c>
      <c r="Q129" s="9">
        <v>10000</v>
      </c>
      <c r="R129" s="9">
        <f t="shared" si="10"/>
        <v>4893</v>
      </c>
      <c r="S129" s="9">
        <v>0</v>
      </c>
      <c r="T129" s="9" t="s">
        <v>1</v>
      </c>
      <c r="U129" s="28">
        <v>46178</v>
      </c>
      <c r="V129" s="8" t="s">
        <v>0</v>
      </c>
      <c r="W129" s="8"/>
      <c r="X129" s="8"/>
      <c r="Y129" s="8"/>
      <c r="Z129" s="8"/>
      <c r="AA129" s="8" t="str">
        <f t="shared" si="8"/>
        <v>Paid</v>
      </c>
      <c r="AB129" s="8"/>
    </row>
    <row r="130" spans="1:29" ht="28.8" x14ac:dyDescent="0.3">
      <c r="A130" s="8" t="s">
        <v>11</v>
      </c>
      <c r="B130" s="8" t="s">
        <v>100</v>
      </c>
      <c r="C130" s="8" t="s">
        <v>99</v>
      </c>
      <c r="D130" s="8" t="s">
        <v>98</v>
      </c>
      <c r="E130" s="8" t="s">
        <v>7</v>
      </c>
      <c r="F130" s="8" t="s">
        <v>97</v>
      </c>
      <c r="G130" s="8" t="s">
        <v>96</v>
      </c>
      <c r="H130" s="8" t="s">
        <v>95</v>
      </c>
      <c r="I130" s="11">
        <v>46178</v>
      </c>
      <c r="J130" s="29" t="s">
        <v>3</v>
      </c>
      <c r="K130" s="8" t="s">
        <v>2</v>
      </c>
      <c r="L130" s="8" t="s">
        <v>94</v>
      </c>
      <c r="M130" s="9">
        <v>0</v>
      </c>
      <c r="N130" s="9">
        <v>3494</v>
      </c>
      <c r="O130" s="9">
        <v>4894</v>
      </c>
      <c r="P130" s="9">
        <f t="shared" si="9"/>
        <v>1400</v>
      </c>
      <c r="Q130" s="9">
        <v>10000</v>
      </c>
      <c r="R130" s="9">
        <f t="shared" si="10"/>
        <v>6506</v>
      </c>
      <c r="S130" s="9">
        <v>0</v>
      </c>
      <c r="T130" s="9" t="s">
        <v>1</v>
      </c>
      <c r="U130" s="10">
        <v>46179</v>
      </c>
      <c r="V130" s="8" t="s">
        <v>0</v>
      </c>
      <c r="W130" s="8"/>
      <c r="X130" s="8"/>
      <c r="Y130" s="8"/>
      <c r="Z130" s="8"/>
      <c r="AA130" s="8" t="str">
        <f t="shared" si="8"/>
        <v>Paid</v>
      </c>
      <c r="AB130" s="8"/>
    </row>
    <row r="131" spans="1:29" x14ac:dyDescent="0.3">
      <c r="A131" s="8" t="s">
        <v>11</v>
      </c>
      <c r="B131" s="8" t="s">
        <v>93</v>
      </c>
      <c r="C131" s="8" t="s">
        <v>92</v>
      </c>
      <c r="D131" s="8" t="s">
        <v>91</v>
      </c>
      <c r="E131" s="8" t="s">
        <v>7</v>
      </c>
      <c r="F131" s="8" t="s">
        <v>90</v>
      </c>
      <c r="G131" s="8" t="s">
        <v>89</v>
      </c>
      <c r="H131" s="8" t="s">
        <v>88</v>
      </c>
      <c r="I131" s="11">
        <v>46173</v>
      </c>
      <c r="J131" s="29" t="s">
        <v>3</v>
      </c>
      <c r="K131" s="8" t="s">
        <v>87</v>
      </c>
      <c r="L131" s="8" t="s">
        <v>87</v>
      </c>
      <c r="M131" s="9">
        <v>0</v>
      </c>
      <c r="N131" s="9">
        <v>4225</v>
      </c>
      <c r="O131" s="9">
        <v>6224</v>
      </c>
      <c r="P131" s="9">
        <f t="shared" si="9"/>
        <v>1999</v>
      </c>
      <c r="Q131" s="9">
        <v>10000</v>
      </c>
      <c r="R131" s="9">
        <f t="shared" si="10"/>
        <v>5775</v>
      </c>
      <c r="S131" s="9">
        <v>0</v>
      </c>
      <c r="T131" s="9" t="s">
        <v>1</v>
      </c>
      <c r="U131" s="10">
        <v>46180</v>
      </c>
      <c r="V131" s="8" t="s">
        <v>0</v>
      </c>
      <c r="W131" s="8"/>
      <c r="X131" s="9"/>
      <c r="Y131" s="8"/>
      <c r="Z131" s="8"/>
      <c r="AA131" s="8" t="str">
        <f t="shared" si="8"/>
        <v>Paid</v>
      </c>
      <c r="AB131" s="8"/>
    </row>
    <row r="132" spans="1:29" x14ac:dyDescent="0.3">
      <c r="A132" s="8" t="s">
        <v>11</v>
      </c>
      <c r="B132" s="12" t="s">
        <v>86</v>
      </c>
      <c r="C132" s="27" t="s">
        <v>85</v>
      </c>
      <c r="D132" s="27" t="s">
        <v>84</v>
      </c>
      <c r="E132" s="8" t="s">
        <v>7</v>
      </c>
      <c r="F132" s="26" t="s">
        <v>83</v>
      </c>
      <c r="G132" s="7" t="s">
        <v>82</v>
      </c>
      <c r="H132" s="7" t="s">
        <v>47</v>
      </c>
      <c r="I132" s="10">
        <v>46179</v>
      </c>
      <c r="J132" s="29" t="s">
        <v>3</v>
      </c>
      <c r="K132" s="8" t="s">
        <v>21</v>
      </c>
      <c r="L132" s="8" t="s">
        <v>21</v>
      </c>
      <c r="M132" s="9">
        <v>0</v>
      </c>
      <c r="N132" s="9">
        <v>1859</v>
      </c>
      <c r="O132" s="9">
        <v>2859</v>
      </c>
      <c r="P132" s="9">
        <f t="shared" si="9"/>
        <v>1000</v>
      </c>
      <c r="Q132" s="9">
        <v>10000</v>
      </c>
      <c r="R132" s="9">
        <f t="shared" si="10"/>
        <v>8141</v>
      </c>
      <c r="S132" s="9">
        <v>0</v>
      </c>
      <c r="T132" s="9" t="s">
        <v>1</v>
      </c>
      <c r="U132" s="10">
        <v>46184</v>
      </c>
      <c r="V132" s="8" t="s">
        <v>0</v>
      </c>
      <c r="W132" s="8"/>
      <c r="X132" s="8"/>
      <c r="Y132" s="8"/>
      <c r="Z132" s="8"/>
      <c r="AA132" s="8" t="str">
        <f t="shared" si="8"/>
        <v>Paid</v>
      </c>
      <c r="AB132" s="8"/>
    </row>
    <row r="133" spans="1:29" x14ac:dyDescent="0.3">
      <c r="A133" s="8" t="s">
        <v>11</v>
      </c>
      <c r="B133" s="8" t="s">
        <v>81</v>
      </c>
      <c r="C133" s="8" t="s">
        <v>80</v>
      </c>
      <c r="D133" s="8" t="s">
        <v>79</v>
      </c>
      <c r="E133" s="8" t="s">
        <v>7</v>
      </c>
      <c r="F133" s="24" t="s">
        <v>75</v>
      </c>
      <c r="G133" s="24" t="s">
        <v>74</v>
      </c>
      <c r="H133" s="24" t="s">
        <v>59</v>
      </c>
      <c r="I133" s="25">
        <v>46179</v>
      </c>
      <c r="J133" s="24" t="s">
        <v>14</v>
      </c>
      <c r="K133" s="24" t="s">
        <v>2</v>
      </c>
      <c r="L133" s="24" t="s">
        <v>2</v>
      </c>
      <c r="M133" s="9">
        <v>0</v>
      </c>
      <c r="N133" s="9">
        <v>7670</v>
      </c>
      <c r="O133" s="9">
        <v>8670</v>
      </c>
      <c r="P133" s="9">
        <f t="shared" si="9"/>
        <v>1000</v>
      </c>
      <c r="Q133" s="9">
        <v>10000</v>
      </c>
      <c r="R133" s="9">
        <f t="shared" si="10"/>
        <v>2330</v>
      </c>
      <c r="S133" s="9">
        <v>0</v>
      </c>
      <c r="T133" s="7" t="s">
        <v>1</v>
      </c>
      <c r="U133" s="10">
        <v>46179</v>
      </c>
      <c r="V133" s="8" t="s">
        <v>0</v>
      </c>
      <c r="W133" s="8"/>
      <c r="X133" s="8"/>
      <c r="Y133" s="8"/>
      <c r="Z133" s="8"/>
      <c r="AA133" s="8" t="str">
        <f t="shared" si="8"/>
        <v>Paid</v>
      </c>
      <c r="AB133" s="8"/>
    </row>
    <row r="134" spans="1:29" x14ac:dyDescent="0.3">
      <c r="A134" s="8" t="s">
        <v>11</v>
      </c>
      <c r="B134" s="8" t="s">
        <v>78</v>
      </c>
      <c r="C134" s="8" t="s">
        <v>77</v>
      </c>
      <c r="D134" s="8" t="s">
        <v>76</v>
      </c>
      <c r="E134" s="8" t="s">
        <v>7</v>
      </c>
      <c r="F134" s="24" t="s">
        <v>75</v>
      </c>
      <c r="G134" s="24" t="s">
        <v>74</v>
      </c>
      <c r="H134" s="24" t="s">
        <v>73</v>
      </c>
      <c r="I134" s="25">
        <v>46180</v>
      </c>
      <c r="J134" s="24" t="s">
        <v>14</v>
      </c>
      <c r="K134" s="24" t="s">
        <v>2</v>
      </c>
      <c r="L134" s="24" t="s">
        <v>2</v>
      </c>
      <c r="M134" s="9">
        <v>0</v>
      </c>
      <c r="N134" s="23">
        <v>11999.99</v>
      </c>
      <c r="O134" s="9">
        <v>12000</v>
      </c>
      <c r="P134" s="9">
        <f t="shared" si="9"/>
        <v>1.0000000000218279E-2</v>
      </c>
      <c r="Q134" s="9">
        <v>10000</v>
      </c>
      <c r="R134" s="9">
        <f t="shared" si="10"/>
        <v>-1999.9899999999998</v>
      </c>
      <c r="S134" s="9">
        <f>VLOOKUP(B134,[1]Sheet1!$B:$J,9,0)</f>
        <v>2000</v>
      </c>
      <c r="T134" s="7" t="s">
        <v>1</v>
      </c>
      <c r="U134" s="10">
        <v>46179</v>
      </c>
      <c r="V134" s="8" t="s">
        <v>0</v>
      </c>
      <c r="W134" s="8"/>
      <c r="X134" s="8"/>
      <c r="Y134" s="8"/>
      <c r="Z134" s="8"/>
      <c r="AA134" s="8" t="str">
        <f t="shared" si="8"/>
        <v>Paid</v>
      </c>
      <c r="AB134" s="8"/>
    </row>
    <row r="135" spans="1:29" x14ac:dyDescent="0.3">
      <c r="A135" s="8" t="s">
        <v>11</v>
      </c>
      <c r="B135" s="7" t="s">
        <v>72</v>
      </c>
      <c r="C135" s="7" t="s">
        <v>71</v>
      </c>
      <c r="D135" s="7" t="s">
        <v>70</v>
      </c>
      <c r="E135" s="8" t="s">
        <v>7</v>
      </c>
      <c r="F135" s="7" t="s">
        <v>69</v>
      </c>
      <c r="G135" s="7" t="s">
        <v>68</v>
      </c>
      <c r="H135" s="7" t="s">
        <v>67</v>
      </c>
      <c r="I135" s="11">
        <v>46180</v>
      </c>
      <c r="J135" s="29" t="s">
        <v>3</v>
      </c>
      <c r="K135" s="8" t="s">
        <v>21</v>
      </c>
      <c r="L135" s="8" t="s">
        <v>21</v>
      </c>
      <c r="M135" s="34">
        <v>0</v>
      </c>
      <c r="N135" s="34">
        <f>2000+850</f>
        <v>2850</v>
      </c>
      <c r="O135" s="34">
        <v>4850</v>
      </c>
      <c r="P135" s="9">
        <f t="shared" si="9"/>
        <v>2000</v>
      </c>
      <c r="Q135" s="34">
        <v>10000</v>
      </c>
      <c r="R135" s="34">
        <f t="shared" si="10"/>
        <v>7150</v>
      </c>
      <c r="S135" s="9">
        <v>0</v>
      </c>
      <c r="T135" s="7" t="s">
        <v>1</v>
      </c>
      <c r="U135" s="10">
        <v>46179</v>
      </c>
      <c r="V135" s="8" t="s">
        <v>0</v>
      </c>
      <c r="W135" s="8"/>
      <c r="X135" s="8"/>
      <c r="Y135" s="8"/>
      <c r="Z135" s="8"/>
      <c r="AA135" s="8" t="str">
        <f t="shared" si="8"/>
        <v>Paid</v>
      </c>
      <c r="AB135" s="8"/>
    </row>
    <row r="136" spans="1:29" x14ac:dyDescent="0.3">
      <c r="A136" s="8" t="s">
        <v>11</v>
      </c>
      <c r="B136" s="7" t="s">
        <v>66</v>
      </c>
      <c r="C136" s="7" t="s">
        <v>65</v>
      </c>
      <c r="D136" s="7" t="s">
        <v>805</v>
      </c>
      <c r="E136" s="8" t="s">
        <v>7</v>
      </c>
      <c r="F136" s="7" t="s">
        <v>64</v>
      </c>
      <c r="G136" s="7" t="s">
        <v>63</v>
      </c>
      <c r="H136" s="7" t="s">
        <v>30</v>
      </c>
      <c r="I136" s="13">
        <v>46180</v>
      </c>
      <c r="J136" s="7" t="s">
        <v>14</v>
      </c>
      <c r="K136" s="7" t="s">
        <v>13</v>
      </c>
      <c r="L136" s="7" t="s">
        <v>12</v>
      </c>
      <c r="M136" s="9">
        <v>0</v>
      </c>
      <c r="N136" s="9">
        <v>7080</v>
      </c>
      <c r="O136" s="9">
        <v>8080</v>
      </c>
      <c r="P136" s="9">
        <f t="shared" si="9"/>
        <v>1000</v>
      </c>
      <c r="Q136" s="9">
        <v>10000</v>
      </c>
      <c r="R136" s="9">
        <f t="shared" si="10"/>
        <v>2920</v>
      </c>
      <c r="S136" s="9">
        <v>0</v>
      </c>
      <c r="T136" s="7" t="s">
        <v>1</v>
      </c>
      <c r="U136" s="10">
        <v>46180</v>
      </c>
      <c r="V136" s="8" t="s">
        <v>0</v>
      </c>
      <c r="W136" s="7"/>
      <c r="X136" s="7"/>
      <c r="Y136" s="7"/>
      <c r="Z136" s="7"/>
      <c r="AA136" s="8" t="str">
        <f t="shared" si="8"/>
        <v>Paid</v>
      </c>
      <c r="AB136" s="7"/>
    </row>
    <row r="137" spans="1:29" x14ac:dyDescent="0.3">
      <c r="A137" s="8" t="s">
        <v>11</v>
      </c>
      <c r="B137" s="22" t="s">
        <v>62</v>
      </c>
      <c r="C137" s="22" t="s">
        <v>61</v>
      </c>
      <c r="D137" s="22" t="s">
        <v>60</v>
      </c>
      <c r="E137" s="8" t="s">
        <v>7</v>
      </c>
      <c r="F137" s="8" t="s">
        <v>55</v>
      </c>
      <c r="G137" s="8" t="s">
        <v>54</v>
      </c>
      <c r="H137" s="8" t="s">
        <v>59</v>
      </c>
      <c r="I137" s="11">
        <v>46180</v>
      </c>
      <c r="J137" s="29" t="s">
        <v>3</v>
      </c>
      <c r="K137" s="8" t="s">
        <v>2</v>
      </c>
      <c r="L137" s="8" t="s">
        <v>2</v>
      </c>
      <c r="M137" s="9">
        <v>0</v>
      </c>
      <c r="N137" s="9">
        <v>6602</v>
      </c>
      <c r="O137" s="9">
        <v>7602</v>
      </c>
      <c r="P137" s="9">
        <f t="shared" si="9"/>
        <v>1000</v>
      </c>
      <c r="Q137" s="9">
        <v>10000</v>
      </c>
      <c r="R137" s="9">
        <f t="shared" si="10"/>
        <v>3398</v>
      </c>
      <c r="S137" s="9">
        <v>0</v>
      </c>
      <c r="T137" s="7" t="s">
        <v>1</v>
      </c>
      <c r="U137" s="10">
        <v>46180</v>
      </c>
      <c r="V137" s="8" t="s">
        <v>0</v>
      </c>
      <c r="W137" s="8"/>
      <c r="X137" s="8"/>
      <c r="Y137" s="8"/>
      <c r="Z137" s="8"/>
      <c r="AA137" s="8" t="str">
        <f t="shared" si="8"/>
        <v>Paid</v>
      </c>
      <c r="AB137" s="8"/>
    </row>
    <row r="138" spans="1:29" x14ac:dyDescent="0.3">
      <c r="A138" s="8" t="s">
        <v>11</v>
      </c>
      <c r="B138" s="22" t="s">
        <v>58</v>
      </c>
      <c r="C138" s="22" t="s">
        <v>57</v>
      </c>
      <c r="D138" s="7" t="s">
        <v>56</v>
      </c>
      <c r="E138" s="8" t="s">
        <v>7</v>
      </c>
      <c r="F138" s="8" t="s">
        <v>55</v>
      </c>
      <c r="G138" s="8" t="s">
        <v>54</v>
      </c>
      <c r="H138" s="8" t="s">
        <v>53</v>
      </c>
      <c r="I138" s="11">
        <v>46180</v>
      </c>
      <c r="J138" s="29" t="s">
        <v>3</v>
      </c>
      <c r="K138" s="8" t="s">
        <v>2</v>
      </c>
      <c r="L138" s="8" t="s">
        <v>2</v>
      </c>
      <c r="M138" s="9">
        <v>0</v>
      </c>
      <c r="N138" s="9">
        <v>7688</v>
      </c>
      <c r="O138" s="9">
        <v>9688</v>
      </c>
      <c r="P138" s="9">
        <f t="shared" si="9"/>
        <v>2000</v>
      </c>
      <c r="Q138" s="9">
        <v>10000</v>
      </c>
      <c r="R138" s="9">
        <f t="shared" si="10"/>
        <v>2312</v>
      </c>
      <c r="S138" s="9">
        <v>0</v>
      </c>
      <c r="T138" s="7" t="s">
        <v>1</v>
      </c>
      <c r="U138" s="10">
        <v>46180</v>
      </c>
      <c r="V138" s="8" t="s">
        <v>0</v>
      </c>
      <c r="W138" s="8"/>
      <c r="X138" s="8"/>
      <c r="Y138" s="8"/>
      <c r="Z138" s="8"/>
      <c r="AA138" s="8" t="str">
        <f t="shared" si="8"/>
        <v>Paid</v>
      </c>
      <c r="AB138" s="8"/>
    </row>
    <row r="139" spans="1:29" s="21" customFormat="1" x14ac:dyDescent="0.3">
      <c r="A139" s="8" t="s">
        <v>11</v>
      </c>
      <c r="B139" s="8" t="s">
        <v>52</v>
      </c>
      <c r="C139" s="8" t="s">
        <v>51</v>
      </c>
      <c r="D139" s="8" t="s">
        <v>50</v>
      </c>
      <c r="E139" s="8" t="s">
        <v>7</v>
      </c>
      <c r="F139" s="8" t="s">
        <v>49</v>
      </c>
      <c r="G139" s="22" t="s">
        <v>48</v>
      </c>
      <c r="H139" s="8" t="s">
        <v>47</v>
      </c>
      <c r="I139" s="10">
        <v>46179</v>
      </c>
      <c r="J139" s="29" t="s">
        <v>3</v>
      </c>
      <c r="K139" s="8" t="s">
        <v>21</v>
      </c>
      <c r="L139" s="8" t="s">
        <v>21</v>
      </c>
      <c r="M139" s="9">
        <v>0</v>
      </c>
      <c r="N139" s="9">
        <v>5619</v>
      </c>
      <c r="O139" s="9">
        <v>7619</v>
      </c>
      <c r="P139" s="9">
        <f t="shared" si="9"/>
        <v>2000</v>
      </c>
      <c r="Q139" s="9">
        <v>10000</v>
      </c>
      <c r="R139" s="9">
        <f t="shared" si="10"/>
        <v>4381</v>
      </c>
      <c r="S139" s="9">
        <v>0</v>
      </c>
      <c r="T139" s="7" t="s">
        <v>1</v>
      </c>
      <c r="U139" s="10">
        <v>46179</v>
      </c>
      <c r="V139" s="8" t="s">
        <v>0</v>
      </c>
      <c r="W139" s="8"/>
      <c r="X139" s="9"/>
      <c r="Y139" s="8"/>
      <c r="Z139" s="8"/>
      <c r="AA139" s="8" t="str">
        <f t="shared" si="8"/>
        <v>Paid</v>
      </c>
      <c r="AB139" s="8"/>
      <c r="AC139" s="1"/>
    </row>
    <row r="140" spans="1:29" x14ac:dyDescent="0.3">
      <c r="A140" s="8" t="s">
        <v>11</v>
      </c>
      <c r="B140" s="7" t="s">
        <v>46</v>
      </c>
      <c r="C140" s="7" t="s">
        <v>45</v>
      </c>
      <c r="D140" s="7" t="s">
        <v>806</v>
      </c>
      <c r="E140" s="8" t="s">
        <v>7</v>
      </c>
      <c r="F140" s="7" t="s">
        <v>44</v>
      </c>
      <c r="G140" s="7" t="s">
        <v>43</v>
      </c>
      <c r="H140" s="7" t="s">
        <v>42</v>
      </c>
      <c r="I140" s="10">
        <v>46180</v>
      </c>
      <c r="J140" s="8" t="s">
        <v>14</v>
      </c>
      <c r="K140" s="8" t="s">
        <v>21</v>
      </c>
      <c r="L140" s="8" t="s">
        <v>21</v>
      </c>
      <c r="M140" s="9">
        <v>0</v>
      </c>
      <c r="N140" s="9">
        <v>9554</v>
      </c>
      <c r="O140" s="9">
        <v>9554</v>
      </c>
      <c r="P140" s="9">
        <f t="shared" si="9"/>
        <v>0</v>
      </c>
      <c r="Q140" s="9">
        <v>10000</v>
      </c>
      <c r="R140" s="9">
        <f t="shared" si="10"/>
        <v>446</v>
      </c>
      <c r="S140" s="9">
        <v>0</v>
      </c>
      <c r="T140" s="7" t="s">
        <v>1</v>
      </c>
      <c r="U140" s="10">
        <v>46180</v>
      </c>
      <c r="V140" s="8" t="s">
        <v>0</v>
      </c>
      <c r="W140" s="8"/>
      <c r="X140" s="8"/>
      <c r="Y140" s="8"/>
      <c r="Z140" s="8"/>
      <c r="AA140" s="8" t="str">
        <f t="shared" si="8"/>
        <v>Paid</v>
      </c>
      <c r="AB140" s="8"/>
    </row>
    <row r="141" spans="1:29" x14ac:dyDescent="0.3">
      <c r="A141" s="8" t="s">
        <v>11</v>
      </c>
      <c r="B141" s="20" t="s">
        <v>41</v>
      </c>
      <c r="C141" s="14" t="s">
        <v>40</v>
      </c>
      <c r="D141" s="14" t="s">
        <v>39</v>
      </c>
      <c r="E141" s="8" t="s">
        <v>7</v>
      </c>
      <c r="F141" s="19" t="s">
        <v>38</v>
      </c>
      <c r="G141" s="19" t="s">
        <v>37</v>
      </c>
      <c r="H141" s="19" t="s">
        <v>36</v>
      </c>
      <c r="I141" s="15">
        <v>46180</v>
      </c>
      <c r="J141" s="29" t="s">
        <v>3</v>
      </c>
      <c r="K141" s="12" t="s">
        <v>13</v>
      </c>
      <c r="L141" s="14" t="s">
        <v>29</v>
      </c>
      <c r="M141" s="9">
        <v>0</v>
      </c>
      <c r="N141" s="9">
        <v>1141</v>
      </c>
      <c r="O141" s="9">
        <v>3141</v>
      </c>
      <c r="P141" s="9">
        <f t="shared" si="9"/>
        <v>2000</v>
      </c>
      <c r="Q141" s="9">
        <v>10000</v>
      </c>
      <c r="R141" s="9">
        <f t="shared" si="10"/>
        <v>8859</v>
      </c>
      <c r="S141" s="9">
        <v>0</v>
      </c>
      <c r="T141" s="7" t="s">
        <v>1</v>
      </c>
      <c r="U141" s="10">
        <v>46180</v>
      </c>
      <c r="V141" s="8" t="s">
        <v>0</v>
      </c>
      <c r="W141" s="8"/>
      <c r="X141" s="8"/>
      <c r="Y141" s="8"/>
      <c r="Z141" s="8"/>
      <c r="AA141" s="8" t="str">
        <f t="shared" si="8"/>
        <v>Paid</v>
      </c>
      <c r="AB141" s="8"/>
    </row>
    <row r="142" spans="1:29" x14ac:dyDescent="0.3">
      <c r="A142" s="8" t="s">
        <v>11</v>
      </c>
      <c r="B142" s="18" t="s">
        <v>35</v>
      </c>
      <c r="C142" s="17" t="s">
        <v>34</v>
      </c>
      <c r="D142" s="17" t="s">
        <v>33</v>
      </c>
      <c r="E142" s="8" t="s">
        <v>7</v>
      </c>
      <c r="F142" s="16" t="s">
        <v>32</v>
      </c>
      <c r="G142" s="16" t="s">
        <v>31</v>
      </c>
      <c r="H142" s="16" t="s">
        <v>30</v>
      </c>
      <c r="I142" s="15">
        <v>46180</v>
      </c>
      <c r="J142" s="29" t="s">
        <v>3</v>
      </c>
      <c r="K142" s="12" t="s">
        <v>13</v>
      </c>
      <c r="L142" s="14" t="s">
        <v>29</v>
      </c>
      <c r="M142" s="9">
        <v>0</v>
      </c>
      <c r="N142" s="9">
        <v>1896</v>
      </c>
      <c r="O142" s="9">
        <v>3896</v>
      </c>
      <c r="P142" s="9">
        <f t="shared" si="9"/>
        <v>2000</v>
      </c>
      <c r="Q142" s="9">
        <v>10000</v>
      </c>
      <c r="R142" s="9">
        <f t="shared" si="10"/>
        <v>8104</v>
      </c>
      <c r="S142" s="9">
        <v>0</v>
      </c>
      <c r="T142" s="7" t="s">
        <v>1</v>
      </c>
      <c r="U142" s="10">
        <v>46180</v>
      </c>
      <c r="V142" s="8" t="s">
        <v>0</v>
      </c>
      <c r="W142" s="8"/>
      <c r="X142" s="8"/>
      <c r="Y142" s="8"/>
      <c r="Z142" s="8"/>
      <c r="AA142" s="8" t="str">
        <f t="shared" si="8"/>
        <v>Paid</v>
      </c>
      <c r="AB142" s="8"/>
    </row>
    <row r="143" spans="1:29" x14ac:dyDescent="0.3">
      <c r="A143" s="8" t="s">
        <v>11</v>
      </c>
      <c r="B143" s="7" t="s">
        <v>28</v>
      </c>
      <c r="C143" s="7" t="s">
        <v>27</v>
      </c>
      <c r="D143" s="7" t="s">
        <v>26</v>
      </c>
      <c r="E143" s="7" t="s">
        <v>22</v>
      </c>
      <c r="F143" s="7" t="s">
        <v>25</v>
      </c>
      <c r="G143" s="7" t="s">
        <v>24</v>
      </c>
      <c r="H143" s="7" t="s">
        <v>23</v>
      </c>
      <c r="I143" s="13">
        <v>46180</v>
      </c>
      <c r="J143" s="7" t="s">
        <v>22</v>
      </c>
      <c r="K143" s="7" t="s">
        <v>21</v>
      </c>
      <c r="L143" s="7" t="s">
        <v>12</v>
      </c>
      <c r="M143" s="9">
        <v>0</v>
      </c>
      <c r="N143" s="9">
        <v>8000</v>
      </c>
      <c r="O143" s="9">
        <v>9250</v>
      </c>
      <c r="P143" s="9">
        <f t="shared" si="9"/>
        <v>1250</v>
      </c>
      <c r="Q143" s="9">
        <v>10000</v>
      </c>
      <c r="R143" s="9">
        <f t="shared" si="10"/>
        <v>2000</v>
      </c>
      <c r="S143" s="9">
        <v>0</v>
      </c>
      <c r="T143" s="7" t="s">
        <v>1</v>
      </c>
      <c r="U143" s="10">
        <v>46181</v>
      </c>
      <c r="V143" s="8" t="s">
        <v>0</v>
      </c>
      <c r="W143" s="7"/>
      <c r="X143" s="7"/>
      <c r="Y143" s="7"/>
      <c r="Z143" s="7"/>
      <c r="AA143" s="8" t="str">
        <f t="shared" si="8"/>
        <v>Paid</v>
      </c>
      <c r="AB143" s="7"/>
    </row>
    <row r="144" spans="1:29" x14ac:dyDescent="0.3">
      <c r="A144" s="8" t="s">
        <v>11</v>
      </c>
      <c r="B144" s="7" t="s">
        <v>20</v>
      </c>
      <c r="C144" s="7" t="s">
        <v>19</v>
      </c>
      <c r="D144" s="7" t="s">
        <v>18</v>
      </c>
      <c r="E144" s="8" t="s">
        <v>7</v>
      </c>
      <c r="F144" s="7" t="s">
        <v>17</v>
      </c>
      <c r="G144" s="7" t="s">
        <v>16</v>
      </c>
      <c r="H144" s="7" t="s">
        <v>15</v>
      </c>
      <c r="I144" s="13">
        <v>46180</v>
      </c>
      <c r="J144" s="7" t="s">
        <v>14</v>
      </c>
      <c r="K144" s="7" t="s">
        <v>13</v>
      </c>
      <c r="L144" s="7" t="s">
        <v>12</v>
      </c>
      <c r="M144" s="9">
        <v>0</v>
      </c>
      <c r="N144" s="9">
        <v>8429</v>
      </c>
      <c r="O144" s="9">
        <v>9429</v>
      </c>
      <c r="P144" s="9">
        <f t="shared" si="9"/>
        <v>1000</v>
      </c>
      <c r="Q144" s="9">
        <v>10000</v>
      </c>
      <c r="R144" s="9">
        <f t="shared" si="10"/>
        <v>1571</v>
      </c>
      <c r="S144" s="9">
        <v>0</v>
      </c>
      <c r="T144" s="7" t="s">
        <v>1</v>
      </c>
      <c r="U144" s="10">
        <v>46180</v>
      </c>
      <c r="V144" s="8" t="s">
        <v>0</v>
      </c>
      <c r="W144" s="7"/>
      <c r="X144" s="7"/>
      <c r="Y144" s="7"/>
      <c r="Z144" s="7"/>
      <c r="AA144" s="8" t="str">
        <f t="shared" si="8"/>
        <v>Paid</v>
      </c>
      <c r="AB144" s="7"/>
    </row>
    <row r="145" spans="1:28" x14ac:dyDescent="0.3">
      <c r="A145" s="8" t="s">
        <v>11</v>
      </c>
      <c r="B145" s="12" t="s">
        <v>10</v>
      </c>
      <c r="C145" s="12" t="s">
        <v>9</v>
      </c>
      <c r="D145" s="12" t="s">
        <v>8</v>
      </c>
      <c r="E145" s="8" t="s">
        <v>7</v>
      </c>
      <c r="F145" s="12" t="s">
        <v>6</v>
      </c>
      <c r="G145" s="12" t="s">
        <v>5</v>
      </c>
      <c r="H145" s="12" t="s">
        <v>4</v>
      </c>
      <c r="I145" s="11">
        <v>46176</v>
      </c>
      <c r="J145" s="29" t="s">
        <v>3</v>
      </c>
      <c r="K145" s="8" t="s">
        <v>2</v>
      </c>
      <c r="L145" s="8" t="s">
        <v>2</v>
      </c>
      <c r="M145" s="9">
        <v>0</v>
      </c>
      <c r="N145" s="9">
        <v>8271</v>
      </c>
      <c r="O145" s="9">
        <v>9271</v>
      </c>
      <c r="P145" s="9">
        <f t="shared" si="9"/>
        <v>1000</v>
      </c>
      <c r="Q145" s="9">
        <v>10000</v>
      </c>
      <c r="R145" s="9">
        <f t="shared" si="10"/>
        <v>1729</v>
      </c>
      <c r="S145" s="9">
        <v>0</v>
      </c>
      <c r="T145" s="7" t="s">
        <v>1</v>
      </c>
      <c r="U145" s="10">
        <v>46176</v>
      </c>
      <c r="V145" s="8" t="s">
        <v>0</v>
      </c>
      <c r="W145" s="8"/>
      <c r="X145" s="8"/>
      <c r="Y145" s="8"/>
      <c r="Z145" s="8"/>
      <c r="AA145" s="8" t="str">
        <f t="shared" si="8"/>
        <v>Paid</v>
      </c>
      <c r="AB145" s="8"/>
    </row>
    <row r="146" spans="1:28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6">
        <f>SUBTOTAL(9,N2:N145)</f>
        <v>1008625.4699999999</v>
      </c>
      <c r="O146" s="6">
        <f t="shared" ref="O146:S146" si="11">SUBTOTAL(9,O2:O145)</f>
        <v>1182440</v>
      </c>
      <c r="P146" s="6">
        <f t="shared" si="11"/>
        <v>173814.53000000003</v>
      </c>
      <c r="Q146" s="6">
        <f t="shared" si="11"/>
        <v>1500000</v>
      </c>
      <c r="R146" s="6">
        <f t="shared" si="11"/>
        <v>491374.52999999997</v>
      </c>
      <c r="S146" s="6">
        <f t="shared" si="11"/>
        <v>12721</v>
      </c>
      <c r="T146" s="4"/>
      <c r="U146" s="5"/>
      <c r="V146" s="4"/>
      <c r="W146" s="4"/>
      <c r="X146" s="4"/>
      <c r="Y146" s="4"/>
      <c r="Z146" s="4"/>
      <c r="AA146" s="4"/>
      <c r="AB146" s="4"/>
    </row>
  </sheetData>
  <conditionalFormatting sqref="B1:B1048576">
    <cfRule type="duplicateValues" dxfId="333" priority="1"/>
    <cfRule type="duplicateValues" dxfId="332" priority="2"/>
    <cfRule type="duplicateValues" dxfId="331" priority="3"/>
    <cfRule type="duplicateValues" dxfId="330" priority="4"/>
    <cfRule type="duplicateValues" dxfId="329" priority="5"/>
    <cfRule type="duplicateValues" dxfId="328" priority="6"/>
    <cfRule type="duplicateValues" dxfId="327" priority="12"/>
  </conditionalFormatting>
  <conditionalFormatting sqref="B2">
    <cfRule type="duplicateValues" dxfId="326" priority="269"/>
    <cfRule type="duplicateValues" dxfId="325" priority="267"/>
    <cfRule type="duplicateValues" dxfId="324" priority="268"/>
  </conditionalFormatting>
  <conditionalFormatting sqref="B3">
    <cfRule type="duplicateValues" dxfId="323" priority="262"/>
    <cfRule type="duplicateValues" dxfId="322" priority="263"/>
    <cfRule type="duplicateValues" dxfId="321" priority="264"/>
    <cfRule type="duplicateValues" dxfId="320" priority="265"/>
    <cfRule type="duplicateValues" dxfId="319" priority="266"/>
  </conditionalFormatting>
  <conditionalFormatting sqref="B4">
    <cfRule type="duplicateValues" dxfId="318" priority="256"/>
    <cfRule type="duplicateValues" dxfId="317" priority="255"/>
    <cfRule type="duplicateValues" dxfId="316" priority="254"/>
    <cfRule type="duplicateValues" dxfId="315" priority="253"/>
    <cfRule type="duplicateValues" dxfId="314" priority="252"/>
  </conditionalFormatting>
  <conditionalFormatting sqref="B5">
    <cfRule type="duplicateValues" dxfId="313" priority="259"/>
    <cfRule type="duplicateValues" dxfId="312" priority="258"/>
    <cfRule type="duplicateValues" dxfId="311" priority="257"/>
    <cfRule type="duplicateValues" dxfId="310" priority="260"/>
    <cfRule type="duplicateValues" dxfId="309" priority="261"/>
  </conditionalFormatting>
  <conditionalFormatting sqref="B6">
    <cfRule type="duplicateValues" dxfId="308" priority="299"/>
    <cfRule type="duplicateValues" dxfId="307" priority="300"/>
  </conditionalFormatting>
  <conditionalFormatting sqref="B8">
    <cfRule type="duplicateValues" dxfId="306" priority="251"/>
    <cfRule type="duplicateValues" dxfId="305" priority="250"/>
    <cfRule type="duplicateValues" dxfId="304" priority="249"/>
    <cfRule type="duplicateValues" dxfId="303" priority="248"/>
    <cfRule type="duplicateValues" dxfId="302" priority="247"/>
    <cfRule type="duplicateValues" dxfId="301" priority="246"/>
  </conditionalFormatting>
  <conditionalFormatting sqref="B9">
    <cfRule type="duplicateValues" dxfId="300" priority="245"/>
    <cfRule type="duplicateValues" dxfId="299" priority="244"/>
    <cfRule type="duplicateValues" dxfId="298" priority="243"/>
    <cfRule type="duplicateValues" dxfId="297" priority="242"/>
    <cfRule type="duplicateValues" dxfId="296" priority="241"/>
    <cfRule type="duplicateValues" dxfId="295" priority="240"/>
  </conditionalFormatting>
  <conditionalFormatting sqref="B10">
    <cfRule type="duplicateValues" dxfId="294" priority="298"/>
  </conditionalFormatting>
  <conditionalFormatting sqref="B11">
    <cfRule type="duplicateValues" dxfId="293" priority="239"/>
    <cfRule type="duplicateValues" dxfId="292" priority="238"/>
    <cfRule type="duplicateValues" dxfId="291" priority="237"/>
    <cfRule type="duplicateValues" dxfId="290" priority="236"/>
    <cfRule type="duplicateValues" dxfId="289" priority="235"/>
  </conditionalFormatting>
  <conditionalFormatting sqref="B12">
    <cfRule type="duplicateValues" dxfId="288" priority="232"/>
  </conditionalFormatting>
  <conditionalFormatting sqref="B12:B13">
    <cfRule type="duplicateValues" dxfId="287" priority="234"/>
    <cfRule type="duplicateValues" dxfId="286" priority="231"/>
    <cfRule type="duplicateValues" dxfId="285" priority="230"/>
    <cfRule type="duplicateValues" dxfId="284" priority="233"/>
  </conditionalFormatting>
  <conditionalFormatting sqref="B13">
    <cfRule type="duplicateValues" dxfId="283" priority="229"/>
  </conditionalFormatting>
  <conditionalFormatting sqref="B17">
    <cfRule type="duplicateValues" dxfId="282" priority="223"/>
    <cfRule type="duplicateValues" dxfId="281" priority="224"/>
    <cfRule type="duplicateValues" dxfId="280" priority="226"/>
    <cfRule type="duplicateValues" dxfId="279" priority="227"/>
    <cfRule type="duplicateValues" dxfId="278" priority="225"/>
    <cfRule type="duplicateValues" dxfId="277" priority="228"/>
  </conditionalFormatting>
  <conditionalFormatting sqref="B20">
    <cfRule type="duplicateValues" dxfId="276" priority="217"/>
    <cfRule type="duplicateValues" dxfId="275" priority="221"/>
    <cfRule type="duplicateValues" dxfId="274" priority="219"/>
    <cfRule type="duplicateValues" dxfId="273" priority="220"/>
    <cfRule type="duplicateValues" dxfId="272" priority="218"/>
    <cfRule type="duplicateValues" dxfId="271" priority="222"/>
  </conditionalFormatting>
  <conditionalFormatting sqref="B23">
    <cfRule type="duplicateValues" dxfId="270" priority="180"/>
    <cfRule type="duplicateValues" dxfId="269" priority="179"/>
    <cfRule type="duplicateValues" dxfId="268" priority="178"/>
    <cfRule type="duplicateValues" dxfId="267" priority="177"/>
    <cfRule type="duplicateValues" dxfId="266" priority="176"/>
    <cfRule type="duplicateValues" dxfId="265" priority="175" stopIfTrue="1"/>
    <cfRule type="duplicateValues" dxfId="264" priority="174"/>
    <cfRule type="duplicateValues" dxfId="263" priority="192"/>
    <cfRule type="duplicateValues" dxfId="262" priority="173"/>
    <cfRule type="duplicateValues" dxfId="261" priority="191"/>
    <cfRule type="duplicateValues" dxfId="260" priority="171"/>
    <cfRule type="duplicateValues" dxfId="259" priority="190"/>
    <cfRule type="duplicateValues" dxfId="258" priority="189"/>
    <cfRule type="duplicateValues" dxfId="257" priority="188"/>
    <cfRule type="duplicateValues" dxfId="256" priority="187"/>
    <cfRule type="duplicateValues" dxfId="255" priority="186"/>
    <cfRule type="duplicateValues" dxfId="254" priority="185"/>
    <cfRule type="duplicateValues" dxfId="253" priority="172"/>
    <cfRule type="duplicateValues" dxfId="252" priority="184"/>
    <cfRule type="duplicateValues" dxfId="251" priority="183"/>
    <cfRule type="duplicateValues" dxfId="250" priority="182"/>
    <cfRule type="duplicateValues" dxfId="249" priority="181"/>
  </conditionalFormatting>
  <conditionalFormatting sqref="B25">
    <cfRule type="duplicateValues" dxfId="248" priority="168"/>
    <cfRule type="duplicateValues" dxfId="247" priority="169"/>
    <cfRule type="duplicateValues" dxfId="246" priority="170"/>
  </conditionalFormatting>
  <conditionalFormatting sqref="B26">
    <cfRule type="duplicateValues" dxfId="245" priority="164"/>
    <cfRule type="duplicateValues" dxfId="244" priority="165"/>
    <cfRule type="duplicateValues" dxfId="243" priority="166"/>
    <cfRule type="duplicateValues" dxfId="242" priority="161"/>
    <cfRule type="duplicateValues" dxfId="241" priority="163"/>
    <cfRule type="duplicateValues" dxfId="240" priority="162"/>
  </conditionalFormatting>
  <conditionalFormatting sqref="B27">
    <cfRule type="duplicateValues" dxfId="239" priority="389"/>
    <cfRule type="duplicateValues" dxfId="238" priority="390"/>
    <cfRule type="duplicateValues" dxfId="237" priority="385"/>
    <cfRule type="duplicateValues" dxfId="236" priority="386"/>
    <cfRule type="duplicateValues" dxfId="235" priority="387"/>
    <cfRule type="duplicateValues" dxfId="234" priority="388"/>
  </conditionalFormatting>
  <conditionalFormatting sqref="B28">
    <cfRule type="duplicateValues" dxfId="233" priority="193"/>
    <cfRule type="duplicateValues" dxfId="232" priority="194"/>
    <cfRule type="duplicateValues" dxfId="231" priority="195"/>
    <cfRule type="duplicateValues" dxfId="230" priority="196"/>
    <cfRule type="duplicateValues" dxfId="229" priority="197"/>
    <cfRule type="duplicateValues" dxfId="228" priority="198"/>
  </conditionalFormatting>
  <conditionalFormatting sqref="B29">
    <cfRule type="duplicateValues" dxfId="227" priority="209"/>
    <cfRule type="duplicateValues" dxfId="226" priority="207"/>
    <cfRule type="duplicateValues" dxfId="225" priority="205"/>
    <cfRule type="duplicateValues" dxfId="224" priority="210"/>
    <cfRule type="duplicateValues" dxfId="223" priority="206"/>
    <cfRule type="duplicateValues" dxfId="222" priority="208"/>
  </conditionalFormatting>
  <conditionalFormatting sqref="B35 B22">
    <cfRule type="duplicateValues" dxfId="221" priority="297"/>
    <cfRule type="duplicateValues" dxfId="220" priority="296"/>
  </conditionalFormatting>
  <conditionalFormatting sqref="B36">
    <cfRule type="duplicateValues" dxfId="219" priority="167"/>
  </conditionalFormatting>
  <conditionalFormatting sqref="B37:B38">
    <cfRule type="duplicateValues" dxfId="218" priority="158"/>
    <cfRule type="duplicateValues" dxfId="217" priority="159"/>
    <cfRule type="duplicateValues" dxfId="216" priority="160"/>
    <cfRule type="duplicateValues" dxfId="215" priority="155"/>
    <cfRule type="duplicateValues" dxfId="214" priority="156"/>
    <cfRule type="duplicateValues" dxfId="213" priority="157"/>
  </conditionalFormatting>
  <conditionalFormatting sqref="B39">
    <cfRule type="duplicateValues" dxfId="212" priority="295"/>
  </conditionalFormatting>
  <conditionalFormatting sqref="B44">
    <cfRule type="duplicateValues" dxfId="211" priority="150"/>
    <cfRule type="duplicateValues" dxfId="210" priority="149"/>
    <cfRule type="duplicateValues" dxfId="209" priority="151"/>
  </conditionalFormatting>
  <conditionalFormatting sqref="B45">
    <cfRule type="duplicateValues" dxfId="208" priority="146"/>
    <cfRule type="duplicateValues" dxfId="207" priority="148"/>
    <cfRule type="duplicateValues" dxfId="206" priority="147"/>
  </conditionalFormatting>
  <conditionalFormatting sqref="B48">
    <cfRule type="duplicateValues" dxfId="205" priority="142"/>
  </conditionalFormatting>
  <conditionalFormatting sqref="B48:B49">
    <cfRule type="duplicateValues" dxfId="204" priority="143"/>
    <cfRule type="duplicateValues" dxfId="203" priority="144"/>
    <cfRule type="duplicateValues" dxfId="202" priority="145"/>
  </conditionalFormatting>
  <conditionalFormatting sqref="B50">
    <cfRule type="duplicateValues" dxfId="201" priority="140"/>
    <cfRule type="duplicateValues" dxfId="200" priority="139"/>
    <cfRule type="duplicateValues" dxfId="199" priority="141"/>
  </conditionalFormatting>
  <conditionalFormatting sqref="B52">
    <cfRule type="duplicateValues" dxfId="198" priority="138"/>
    <cfRule type="duplicateValues" dxfId="197" priority="137"/>
    <cfRule type="duplicateValues" dxfId="196" priority="136"/>
  </conditionalFormatting>
  <conditionalFormatting sqref="B57">
    <cfRule type="duplicateValues" dxfId="195" priority="152"/>
    <cfRule type="duplicateValues" dxfId="194" priority="154"/>
    <cfRule type="duplicateValues" dxfId="193" priority="153"/>
  </conditionalFormatting>
  <conditionalFormatting sqref="B59">
    <cfRule type="duplicateValues" dxfId="192" priority="135"/>
  </conditionalFormatting>
  <conditionalFormatting sqref="B60">
    <cfRule type="duplicateValues" dxfId="191" priority="134"/>
    <cfRule type="duplicateValues" dxfId="190" priority="133"/>
    <cfRule type="duplicateValues" dxfId="189" priority="132"/>
  </conditionalFormatting>
  <conditionalFormatting sqref="B61">
    <cfRule type="duplicateValues" dxfId="188" priority="131"/>
    <cfRule type="duplicateValues" dxfId="187" priority="129"/>
    <cfRule type="duplicateValues" dxfId="186" priority="130"/>
  </conditionalFormatting>
  <conditionalFormatting sqref="B66 B63:B64">
    <cfRule type="duplicateValues" dxfId="185" priority="123"/>
    <cfRule type="duplicateValues" dxfId="184" priority="126"/>
  </conditionalFormatting>
  <conditionalFormatting sqref="B66:B67 B63:B64">
    <cfRule type="duplicateValues" dxfId="183" priority="125"/>
    <cfRule type="duplicateValues" dxfId="182" priority="127"/>
    <cfRule type="duplicateValues" dxfId="181" priority="128"/>
    <cfRule type="duplicateValues" dxfId="180" priority="124"/>
  </conditionalFormatting>
  <conditionalFormatting sqref="B68">
    <cfRule type="duplicateValues" dxfId="179" priority="122"/>
    <cfRule type="duplicateValues" dxfId="178" priority="121"/>
    <cfRule type="duplicateValues" dxfId="177" priority="120"/>
  </conditionalFormatting>
  <conditionalFormatting sqref="B69">
    <cfRule type="duplicateValues" dxfId="176" priority="119"/>
    <cfRule type="duplicateValues" dxfId="175" priority="118"/>
    <cfRule type="duplicateValues" dxfId="174" priority="117"/>
    <cfRule type="duplicateValues" dxfId="173" priority="116"/>
    <cfRule type="duplicateValues" dxfId="172" priority="115"/>
  </conditionalFormatting>
  <conditionalFormatting sqref="B70">
    <cfRule type="duplicateValues" dxfId="171" priority="110"/>
    <cfRule type="duplicateValues" dxfId="170" priority="107"/>
    <cfRule type="duplicateValues" dxfId="169" priority="106"/>
    <cfRule type="duplicateValues" dxfId="168" priority="108"/>
    <cfRule type="duplicateValues" dxfId="167" priority="109"/>
  </conditionalFormatting>
  <conditionalFormatting sqref="B71">
    <cfRule type="duplicateValues" dxfId="166" priority="105"/>
    <cfRule type="duplicateValues" dxfId="165" priority="104"/>
    <cfRule type="duplicateValues" dxfId="164" priority="103"/>
    <cfRule type="duplicateValues" dxfId="163" priority="102"/>
    <cfRule type="duplicateValues" dxfId="162" priority="101"/>
  </conditionalFormatting>
  <conditionalFormatting sqref="B72">
    <cfRule type="duplicateValues" dxfId="161" priority="99"/>
    <cfRule type="duplicateValues" dxfId="160" priority="100"/>
    <cfRule type="duplicateValues" dxfId="159" priority="98"/>
    <cfRule type="duplicateValues" dxfId="158" priority="97"/>
    <cfRule type="duplicateValues" dxfId="157" priority="96"/>
  </conditionalFormatting>
  <conditionalFormatting sqref="B73">
    <cfRule type="duplicateValues" dxfId="156" priority="87"/>
    <cfRule type="duplicateValues" dxfId="155" priority="90"/>
    <cfRule type="duplicateValues" dxfId="154" priority="89"/>
    <cfRule type="duplicateValues" dxfId="153" priority="88"/>
    <cfRule type="duplicateValues" dxfId="152" priority="86"/>
    <cfRule type="duplicateValues" dxfId="151" priority="85"/>
  </conditionalFormatting>
  <conditionalFormatting sqref="B74">
    <cfRule type="duplicateValues" dxfId="150" priority="73"/>
    <cfRule type="duplicateValues" dxfId="149" priority="72"/>
    <cfRule type="duplicateValues" dxfId="148" priority="71"/>
    <cfRule type="duplicateValues" dxfId="147" priority="70"/>
    <cfRule type="duplicateValues" dxfId="146" priority="69"/>
    <cfRule type="duplicateValues" dxfId="145" priority="68"/>
  </conditionalFormatting>
  <conditionalFormatting sqref="B75">
    <cfRule type="duplicateValues" dxfId="144" priority="66"/>
    <cfRule type="duplicateValues" dxfId="143" priority="65"/>
    <cfRule type="duplicateValues" dxfId="142" priority="64"/>
    <cfRule type="duplicateValues" dxfId="141" priority="63"/>
    <cfRule type="duplicateValues" dxfId="140" priority="67"/>
  </conditionalFormatting>
  <conditionalFormatting sqref="B77:B79">
    <cfRule type="duplicateValues" dxfId="139" priority="57"/>
    <cfRule type="duplicateValues" dxfId="138" priority="56"/>
    <cfRule type="duplicateValues" dxfId="137" priority="55"/>
    <cfRule type="duplicateValues" dxfId="136" priority="54"/>
    <cfRule type="duplicateValues" dxfId="135" priority="53"/>
  </conditionalFormatting>
  <conditionalFormatting sqref="B79 B77">
    <cfRule type="duplicateValues" dxfId="134" priority="52"/>
  </conditionalFormatting>
  <conditionalFormatting sqref="B80">
    <cfRule type="duplicateValues" dxfId="133" priority="49"/>
    <cfRule type="duplicateValues" dxfId="132" priority="48"/>
    <cfRule type="duplicateValues" dxfId="131" priority="51"/>
    <cfRule type="duplicateValues" dxfId="130" priority="50"/>
  </conditionalFormatting>
  <conditionalFormatting sqref="B83">
    <cfRule type="duplicateValues" dxfId="129" priority="95"/>
    <cfRule type="duplicateValues" dxfId="128" priority="91"/>
    <cfRule type="duplicateValues" dxfId="127" priority="92"/>
    <cfRule type="duplicateValues" dxfId="126" priority="93"/>
    <cfRule type="duplicateValues" dxfId="125" priority="94"/>
  </conditionalFormatting>
  <conditionalFormatting sqref="B84:B85">
    <cfRule type="duplicateValues" dxfId="124" priority="293"/>
    <cfRule type="duplicateValues" dxfId="123" priority="294"/>
    <cfRule type="duplicateValues" dxfId="122" priority="291"/>
    <cfRule type="duplicateValues" dxfId="121" priority="292"/>
  </conditionalFormatting>
  <conditionalFormatting sqref="B88">
    <cfRule type="duplicateValues" dxfId="120" priority="83"/>
    <cfRule type="duplicateValues" dxfId="119" priority="84"/>
    <cfRule type="duplicateValues" dxfId="118" priority="82"/>
    <cfRule type="duplicateValues" dxfId="117" priority="81"/>
    <cfRule type="duplicateValues" dxfId="116" priority="80"/>
    <cfRule type="duplicateValues" dxfId="115" priority="79"/>
  </conditionalFormatting>
  <conditionalFormatting sqref="B89">
    <cfRule type="duplicateValues" dxfId="114" priority="75"/>
    <cfRule type="duplicateValues" dxfId="113" priority="74"/>
    <cfRule type="duplicateValues" dxfId="112" priority="76"/>
    <cfRule type="duplicateValues" dxfId="111" priority="78"/>
    <cfRule type="duplicateValues" dxfId="110" priority="77"/>
  </conditionalFormatting>
  <conditionalFormatting sqref="B93">
    <cfRule type="duplicateValues" dxfId="109" priority="62"/>
    <cfRule type="duplicateValues" dxfId="108" priority="61"/>
    <cfRule type="duplicateValues" dxfId="107" priority="60"/>
    <cfRule type="duplicateValues" dxfId="106" priority="59"/>
    <cfRule type="duplicateValues" dxfId="105" priority="58"/>
  </conditionalFormatting>
  <conditionalFormatting sqref="B95">
    <cfRule type="duplicateValues" dxfId="104" priority="290"/>
  </conditionalFormatting>
  <conditionalFormatting sqref="B95:B96 B76">
    <cfRule type="duplicateValues" dxfId="103" priority="307"/>
    <cfRule type="duplicateValues" dxfId="102" priority="308"/>
    <cfRule type="duplicateValues" dxfId="101" priority="306"/>
  </conditionalFormatting>
  <conditionalFormatting sqref="B95:B96">
    <cfRule type="duplicateValues" dxfId="100" priority="289"/>
  </conditionalFormatting>
  <conditionalFormatting sqref="B96">
    <cfRule type="duplicateValues" dxfId="99" priority="288"/>
  </conditionalFormatting>
  <conditionalFormatting sqref="B98">
    <cfRule type="duplicateValues" dxfId="98" priority="286"/>
    <cfRule type="duplicateValues" dxfId="97" priority="287"/>
  </conditionalFormatting>
  <conditionalFormatting sqref="B99">
    <cfRule type="duplicateValues" dxfId="96" priority="273"/>
    <cfRule type="duplicateValues" dxfId="95" priority="272"/>
    <cfRule type="duplicateValues" dxfId="94" priority="271"/>
    <cfRule type="duplicateValues" dxfId="93" priority="270"/>
  </conditionalFormatting>
  <conditionalFormatting sqref="B100">
    <cfRule type="duplicateValues" dxfId="92" priority="47"/>
    <cfRule type="duplicateValues" dxfId="91" priority="46"/>
    <cfRule type="duplicateValues" dxfId="90" priority="43"/>
    <cfRule type="duplicateValues" dxfId="89" priority="44"/>
    <cfRule type="duplicateValues" dxfId="88" priority="45"/>
  </conditionalFormatting>
  <conditionalFormatting sqref="B101">
    <cfRule type="duplicateValues" dxfId="87" priority="363"/>
    <cfRule type="duplicateValues" dxfId="86" priority="364"/>
    <cfRule type="duplicateValues" dxfId="85" priority="365"/>
    <cfRule type="duplicateValues" dxfId="84" priority="366"/>
  </conditionalFormatting>
  <conditionalFormatting sqref="B102">
    <cfRule type="duplicateValues" dxfId="83" priority="301"/>
    <cfRule type="duplicateValues" dxfId="82" priority="302"/>
    <cfRule type="duplicateValues" dxfId="81" priority="303"/>
    <cfRule type="duplicateValues" dxfId="80" priority="304"/>
    <cfRule type="duplicateValues" dxfId="79" priority="305"/>
  </conditionalFormatting>
  <conditionalFormatting sqref="B105">
    <cfRule type="duplicateValues" dxfId="78" priority="37"/>
    <cfRule type="duplicateValues" dxfId="77" priority="38"/>
    <cfRule type="duplicateValues" dxfId="76" priority="39"/>
    <cfRule type="duplicateValues" dxfId="75" priority="40"/>
    <cfRule type="duplicateValues" dxfId="74" priority="42"/>
    <cfRule type="duplicateValues" dxfId="73" priority="41"/>
  </conditionalFormatting>
  <conditionalFormatting sqref="B108">
    <cfRule type="duplicateValues" dxfId="72" priority="35"/>
    <cfRule type="duplicateValues" dxfId="71" priority="36"/>
    <cfRule type="duplicateValues" dxfId="70" priority="32"/>
    <cfRule type="duplicateValues" dxfId="69" priority="33"/>
    <cfRule type="duplicateValues" dxfId="68" priority="34"/>
  </conditionalFormatting>
  <conditionalFormatting sqref="B112">
    <cfRule type="duplicateValues" dxfId="67" priority="28"/>
    <cfRule type="duplicateValues" dxfId="66" priority="29"/>
    <cfRule type="duplicateValues" dxfId="65" priority="27"/>
    <cfRule type="duplicateValues" dxfId="64" priority="31"/>
    <cfRule type="duplicateValues" dxfId="63" priority="30"/>
  </conditionalFormatting>
  <conditionalFormatting sqref="B113">
    <cfRule type="duplicateValues" dxfId="62" priority="284"/>
    <cfRule type="duplicateValues" dxfId="61" priority="283"/>
    <cfRule type="duplicateValues" dxfId="60" priority="285"/>
  </conditionalFormatting>
  <conditionalFormatting sqref="B120">
    <cfRule type="duplicateValues" dxfId="59" priority="26"/>
    <cfRule type="duplicateValues" dxfId="58" priority="25"/>
    <cfRule type="duplicateValues" dxfId="57" priority="24"/>
  </conditionalFormatting>
  <conditionalFormatting sqref="B123 B116">
    <cfRule type="duplicateValues" dxfId="56" priority="275"/>
    <cfRule type="duplicateValues" dxfId="55" priority="276"/>
    <cfRule type="duplicateValues" dxfId="54" priority="277"/>
    <cfRule type="duplicateValues" dxfId="53" priority="274"/>
    <cfRule type="duplicateValues" dxfId="52" priority="278"/>
  </conditionalFormatting>
  <conditionalFormatting sqref="B124">
    <cfRule type="duplicateValues" dxfId="51" priority="344"/>
    <cfRule type="duplicateValues" dxfId="50" priority="343"/>
    <cfRule type="duplicateValues" dxfId="49" priority="342"/>
  </conditionalFormatting>
  <conditionalFormatting sqref="B125">
    <cfRule type="duplicateValues" dxfId="48" priority="279"/>
    <cfRule type="duplicateValues" dxfId="47" priority="280"/>
    <cfRule type="duplicateValues" dxfId="46" priority="281"/>
    <cfRule type="duplicateValues" dxfId="45" priority="282"/>
  </conditionalFormatting>
  <conditionalFormatting sqref="B126">
    <cfRule type="duplicateValues" dxfId="44" priority="23"/>
    <cfRule type="duplicateValues" dxfId="43" priority="22"/>
    <cfRule type="duplicateValues" dxfId="42" priority="21"/>
    <cfRule type="duplicateValues" dxfId="41" priority="20"/>
    <cfRule type="duplicateValues" dxfId="40" priority="19"/>
  </conditionalFormatting>
  <conditionalFormatting sqref="B135">
    <cfRule type="duplicateValues" dxfId="39" priority="18"/>
  </conditionalFormatting>
  <conditionalFormatting sqref="B136:B138 B130:B131 B143:B1048576 B133:B134 B1:B125">
    <cfRule type="duplicateValues" dxfId="38" priority="341"/>
  </conditionalFormatting>
  <conditionalFormatting sqref="B136:B138 B131 B125 B118:B119 B1:B111 B121:B123 B133:B134 B143:B1048576 B113:B116">
    <cfRule type="duplicateValues" dxfId="37" priority="338"/>
  </conditionalFormatting>
  <conditionalFormatting sqref="B136:B138 B143:B1048576 B133:B134 B1:B131">
    <cfRule type="duplicateValues" dxfId="36" priority="340"/>
    <cfRule type="duplicateValues" dxfId="35" priority="339"/>
  </conditionalFormatting>
  <conditionalFormatting sqref="B139">
    <cfRule type="duplicateValues" dxfId="34" priority="11"/>
    <cfRule type="duplicateValues" dxfId="33" priority="7"/>
    <cfRule type="duplicateValues" dxfId="32" priority="8"/>
    <cfRule type="duplicateValues" dxfId="31" priority="9"/>
    <cfRule type="duplicateValues" dxfId="30" priority="10"/>
  </conditionalFormatting>
  <conditionalFormatting sqref="B140">
    <cfRule type="duplicateValues" dxfId="29" priority="13"/>
    <cfRule type="duplicateValues" dxfId="28" priority="15"/>
    <cfRule type="duplicateValues" dxfId="27" priority="14"/>
    <cfRule type="duplicateValues" dxfId="26" priority="16"/>
    <cfRule type="duplicateValues" dxfId="25" priority="17"/>
  </conditionalFormatting>
  <conditionalFormatting sqref="B146:B1048576 B125 B118 B84:B85 B90:B92 B41:B43 B1 B6 B10 B16 B22 B24 B39 B30:B35 B51 B56 B87 B76 B94:B98 B81 B101:B104 B113 B143:B144 B136:B138 B121:B123 B115:B116">
    <cfRule type="duplicateValues" dxfId="24" priority="323"/>
  </conditionalFormatting>
  <conditionalFormatting sqref="B146:B1048576 B125 B118:B119 B84:B85 B90:B92 B41:B43 B1 B6 B10 B16 B22 B24 B39 B30:B35 B51 B56 B87 B76 B94:B98 B81 B101:B104 B113 B133:B134 B143:B144 B136:B138 B121:B123 B115:B116">
    <cfRule type="duplicateValues" dxfId="23" priority="332"/>
    <cfRule type="duplicateValues" dxfId="22" priority="334"/>
    <cfRule type="duplicateValues" dxfId="21" priority="333" stopIfTrue="1"/>
    <cfRule type="duplicateValues" dxfId="20" priority="330"/>
    <cfRule type="duplicateValues" dxfId="19" priority="331"/>
    <cfRule type="duplicateValues" dxfId="18" priority="335"/>
  </conditionalFormatting>
  <conditionalFormatting sqref="B146:B1048576 B125 B118:B119 B84:B85 B90:B92 B41:B43 B1 B6 B10 B16 B22 B24 B39 B30:B35 B51 B56 B87 B76 B94:B99 B81 B101:B104 B113 B133:B134 B143:B144 B136:B138 B121:B123 B115:B116">
    <cfRule type="duplicateValues" dxfId="17" priority="336"/>
  </conditionalFormatting>
  <conditionalFormatting sqref="B146:B1048576 B125 B118:B119 B84:B85 B90:B92 B41:B43 B6 B10 B16 B22 B24 B39 B30:B35 B51 B56 B87 B76 B94:B99 B81 B101:B104 B113 B133:B134 B143:B144 B136:B138 B121:B123 B115:B116">
    <cfRule type="duplicateValues" dxfId="16" priority="337"/>
  </conditionalFormatting>
  <conditionalFormatting sqref="B146:B1048576 B125 B118:B119 B121:B123 B1:B111 B113 B131 B143:B144 B136:B138 B115:B116 B133:B134">
    <cfRule type="duplicateValues" dxfId="15" priority="314"/>
  </conditionalFormatting>
  <conditionalFormatting sqref="B146:B1048576 B125 B118:B119 B121:B123 B113 B131 B143:B144 B136:B138 B115:B116 B1:B99 B101:B104 B133:B134">
    <cfRule type="duplicateValues" dxfId="14" priority="315"/>
  </conditionalFormatting>
  <conditionalFormatting sqref="B146:B1048576 B125 B118:B119 B121:B123 B113 B131 B143:B144 B136:B138 B115:B116 B1:B104 B133:B134">
    <cfRule type="duplicateValues" dxfId="13" priority="316"/>
  </conditionalFormatting>
  <conditionalFormatting sqref="B146:B1048576 B125 B118:B119 B121:B123 B113 B131 B143:B144 B136:B138 B115:B116 B81:B99 B1:B76 B101:B104 B133:B134">
    <cfRule type="duplicateValues" dxfId="12" priority="317"/>
  </conditionalFormatting>
  <conditionalFormatting sqref="B146:B1048576 B125 B118:B119 B121:B123 B113 B133:B134 B143:B144 B136:B138 B115:B116 B81 B84:B85 B90:B92 B56 B51 B46 B1:B25 B39:B43 B27:B35 B87 B76 B94:B99 B101:B104">
    <cfRule type="duplicateValues" dxfId="11" priority="318"/>
  </conditionalFormatting>
  <conditionalFormatting sqref="B146:B1048576 B125 B118:B119 B121:B123 B113 B133:B134 B143:B144 B136:B138 B115:B116 B81 B84:B85 B90:B92 B56 B51 B46 B1:B43 B87 B76 B94:B99 B101:B104">
    <cfRule type="duplicateValues" dxfId="10" priority="319"/>
  </conditionalFormatting>
  <conditionalFormatting sqref="B146:B1048576 B125 B118:B119 B121:B123 B113 B133:B134 B143:B144 B136:B138 B115:B116 B81 B90:B92 B1:B58 B84:B85 B87 B76 B94:B99 B101:B104">
    <cfRule type="duplicateValues" dxfId="9" priority="320"/>
  </conditionalFormatting>
  <conditionalFormatting sqref="B146:B1048576 B125 B118:B119 B121:B123 B113 B133:B134 B143:B144 B136:B138 B115:B116 B81 B90:B92 B1:B59 B84:B85 B87 B76 B94:B99 B101:B104">
    <cfRule type="duplicateValues" dxfId="8" priority="321"/>
  </conditionalFormatting>
  <conditionalFormatting sqref="B146:B1048576 B125 B118:B119 B121:B123 B113 B133:B134 B143:B144 B136:B138 B115:B116 B81 B90:B92 B56:B58 B84:B85 B51 B54 B46 B1:B44 B87 B76 B94:B99 B101:B104">
    <cfRule type="duplicateValues" dxfId="7" priority="322"/>
  </conditionalFormatting>
  <conditionalFormatting sqref="B146:B1048576 B143:B144 B136:B138 B92 B41:B42 B1 B51 B6 B10 B115">
    <cfRule type="duplicateValues" dxfId="6" priority="324"/>
  </conditionalFormatting>
  <conditionalFormatting sqref="B146:B1048576 B143:B144 B136:B138 B92 B41:B43 B1 B51 B6 B10 B16 B22 B24 B39 B30:B35 B115">
    <cfRule type="duplicateValues" dxfId="5" priority="325"/>
  </conditionalFormatting>
  <conditionalFormatting sqref="B146:B1048576 B143:B144 B136:B138 B118 B84:B85 B90:B92 B41:B43 B1 B6 B10 B16 B22 B24 B39 B30:B35 B51 B56 B87 B76 B94:B98 B81 B101:B104 B115">
    <cfRule type="duplicateValues" dxfId="4" priority="326"/>
    <cfRule type="duplicateValues" dxfId="3" priority="327"/>
  </conditionalFormatting>
  <conditionalFormatting sqref="B146:B1048576 B143:B144 B136:B138 B118 B84:B85 B90:B92 B41:B43 B1 B6 B10 B16 B22 B24 B39 B30:B35 B51 B56 B87 B76 B94:B98 B102:B104 B81 B115">
    <cfRule type="duplicateValues" dxfId="2" priority="328"/>
  </conditionalFormatting>
  <conditionalFormatting sqref="B146:B1048576 B143:B144 B136:B138 B118 B84:B85 B90:B92 B41:B43 B1 B6 B10 B16 B22 B24 B39 B30:B35 B51 B56 B87 B76 B94:B98 B103:B104 B81 B115">
    <cfRule type="duplicateValues" dxfId="1" priority="329"/>
  </conditionalFormatting>
  <conditionalFormatting sqref="B146:B1048576 B143:B144 B136:B138">
    <cfRule type="duplicateValues" dxfId="0" priority="3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Parmeet STORYEXP</dc:creator>
  <cp:lastModifiedBy>Parmeet STORYEXP</cp:lastModifiedBy>
  <dcterms:created xsi:type="dcterms:W3CDTF">2026-06-12T11:07:44Z</dcterms:created>
  <dcterms:modified xsi:type="dcterms:W3CDTF">2026-07-20T10:39:41Z</dcterms:modified>
</cp:coreProperties>
</file>