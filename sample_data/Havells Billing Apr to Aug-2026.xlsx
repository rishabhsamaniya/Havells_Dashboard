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rishabh_s_storyexp_com/Documents/Desktop/Havells_Billing/"/>
    </mc:Choice>
  </mc:AlternateContent>
  <xr:revisionPtr revIDLastSave="185" documentId="8_{EEAFF789-31AD-4B58-997E-AA1E82399DAD}" xr6:coauthVersionLast="47" xr6:coauthVersionMax="47" xr10:uidLastSave="{7C010835-3FE4-47B4-AE61-10D3DA702954}"/>
  <bookViews>
    <workbookView xWindow="-120" yWindow="-120" windowWidth="29040" windowHeight="15840" xr2:uid="{F160AD75-9A93-47E0-AECC-79483C27C820}"/>
  </bookViews>
  <sheets>
    <sheet name="Master" sheetId="1" r:id="rId1"/>
    <sheet name="RAW_Summary" sheetId="2" r:id="rId2"/>
    <sheet name="Summary" sheetId="3" r:id="rId3"/>
  </sheets>
  <definedNames>
    <definedName name="_xlnm._FilterDatabase" localSheetId="0" hidden="1">Master!$A$1:$I$924</definedName>
  </definedNam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3" l="1" a="1"/>
  <c r="L6" i="3" s="1"/>
  <c r="M6" i="3" a="1"/>
  <c r="M6" i="3"/>
  <c r="N6" i="3" a="1"/>
  <c r="N6" i="3"/>
  <c r="O6" i="3" a="1"/>
  <c r="O6" i="3"/>
  <c r="P6" i="3" a="1"/>
  <c r="P6" i="3" s="1"/>
  <c r="K6" i="3" a="1"/>
  <c r="K6" i="3" s="1"/>
  <c r="G6" i="3" a="1"/>
  <c r="G6" i="3" s="1"/>
  <c r="C6" i="3" a="1"/>
  <c r="C6" i="3" s="1"/>
  <c r="D6" i="3" a="1"/>
  <c r="D6" i="3"/>
  <c r="E6" i="3" a="1"/>
  <c r="E6" i="3" s="1"/>
  <c r="F6" i="3" a="1"/>
  <c r="F6" i="3"/>
  <c r="B6" i="3" a="1"/>
  <c r="B6" i="3" s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H897" i="1"/>
  <c r="I897" i="1" s="1"/>
  <c r="H896" i="1"/>
  <c r="I896" i="1" s="1"/>
  <c r="I895" i="1"/>
  <c r="I894" i="1"/>
  <c r="I893" i="1"/>
  <c r="I892" i="1"/>
  <c r="I891" i="1"/>
  <c r="I890" i="1"/>
  <c r="G889" i="1"/>
  <c r="I889" i="1" s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H853" i="1"/>
  <c r="I853" i="1" s="1"/>
  <c r="I852" i="1"/>
  <c r="I851" i="1"/>
  <c r="I850" i="1"/>
  <c r="I849" i="1"/>
  <c r="I848" i="1"/>
  <c r="I847" i="1"/>
  <c r="I846" i="1"/>
  <c r="I845" i="1"/>
  <c r="I844" i="1"/>
  <c r="I843" i="1"/>
  <c r="G842" i="1"/>
  <c r="I842" i="1" s="1"/>
  <c r="I841" i="1"/>
  <c r="I840" i="1"/>
  <c r="I839" i="1"/>
  <c r="I838" i="1"/>
  <c r="H837" i="1"/>
  <c r="I837" i="1" s="1"/>
  <c r="H836" i="1"/>
  <c r="I836" i="1" s="1"/>
  <c r="I835" i="1"/>
  <c r="H834" i="1"/>
  <c r="I834" i="1" s="1"/>
  <c r="I833" i="1"/>
  <c r="I832" i="1"/>
  <c r="I831" i="1"/>
  <c r="I830" i="1"/>
  <c r="I829" i="1"/>
  <c r="I828" i="1"/>
  <c r="I827" i="1"/>
  <c r="I826" i="1"/>
  <c r="I825" i="1"/>
  <c r="I824" i="1"/>
  <c r="I823" i="1"/>
  <c r="G822" i="1"/>
  <c r="I822" i="1" s="1"/>
  <c r="I821" i="1"/>
  <c r="H820" i="1"/>
  <c r="I820" i="1" s="1"/>
  <c r="H819" i="1"/>
  <c r="I819" i="1" s="1"/>
  <c r="I818" i="1"/>
  <c r="I817" i="1"/>
  <c r="I816" i="1"/>
  <c r="I815" i="1"/>
  <c r="I814" i="1"/>
  <c r="I813" i="1"/>
  <c r="I812" i="1"/>
  <c r="H811" i="1"/>
  <c r="I811" i="1" s="1"/>
  <c r="G810" i="1"/>
  <c r="I810" i="1" s="1"/>
  <c r="I809" i="1"/>
  <c r="I808" i="1"/>
  <c r="I807" i="1"/>
  <c r="I806" i="1"/>
  <c r="I805" i="1"/>
  <c r="H804" i="1"/>
  <c r="I804" i="1" s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H789" i="1"/>
  <c r="I789" i="1" s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H761" i="1"/>
  <c r="I761" i="1" s="1"/>
  <c r="I760" i="1"/>
  <c r="I759" i="1"/>
  <c r="I758" i="1"/>
  <c r="I757" i="1"/>
  <c r="I756" i="1"/>
  <c r="I755" i="1"/>
  <c r="I754" i="1"/>
  <c r="G753" i="1"/>
  <c r="I753" i="1" s="1"/>
  <c r="I752" i="1"/>
  <c r="I751" i="1"/>
  <c r="I750" i="1"/>
  <c r="I749" i="1"/>
  <c r="I748" i="1"/>
  <c r="I747" i="1"/>
  <c r="I746" i="1" l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 l="1"/>
  <c r="I575" i="1"/>
  <c r="I574" i="1"/>
  <c r="I573" i="1"/>
  <c r="I572" i="1"/>
  <c r="G571" i="1"/>
  <c r="I571" i="1" s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G545" i="1"/>
  <c r="I545" i="1" s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G531" i="1"/>
  <c r="I531" i="1" s="1"/>
  <c r="I530" i="1"/>
  <c r="I529" i="1"/>
  <c r="G528" i="1"/>
  <c r="I528" i="1" s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G508" i="1"/>
  <c r="I508" i="1" s="1"/>
  <c r="I507" i="1"/>
  <c r="I506" i="1"/>
  <c r="I505" i="1"/>
  <c r="G504" i="1"/>
  <c r="I504" i="1" s="1"/>
  <c r="I503" i="1"/>
  <c r="I502" i="1"/>
  <c r="I501" i="1"/>
  <c r="I500" i="1"/>
  <c r="I499" i="1"/>
  <c r="I498" i="1"/>
  <c r="I497" i="1"/>
  <c r="G496" i="1"/>
  <c r="I496" i="1" s="1"/>
  <c r="I495" i="1"/>
  <c r="I494" i="1"/>
  <c r="I493" i="1"/>
  <c r="I492" i="1"/>
  <c r="I491" i="1"/>
  <c r="I490" i="1"/>
  <c r="I489" i="1"/>
  <c r="I488" i="1"/>
  <c r="G487" i="1"/>
  <c r="I487" i="1" s="1"/>
  <c r="I486" i="1"/>
  <c r="G485" i="1"/>
  <c r="I485" i="1" s="1"/>
  <c r="I484" i="1"/>
  <c r="G483" i="1"/>
  <c r="I483" i="1" s="1"/>
  <c r="I482" i="1"/>
  <c r="I481" i="1"/>
  <c r="I480" i="1"/>
  <c r="G479" i="1"/>
  <c r="I479" i="1" s="1"/>
  <c r="I478" i="1"/>
  <c r="I477" i="1"/>
  <c r="I476" i="1"/>
  <c r="I475" i="1"/>
  <c r="I474" i="1"/>
  <c r="I473" i="1"/>
  <c r="I472" i="1"/>
  <c r="I471" i="1"/>
  <c r="I470" i="1"/>
  <c r="I469" i="1"/>
  <c r="G468" i="1"/>
  <c r="I468" i="1" s="1"/>
  <c r="I467" i="1"/>
  <c r="G466" i="1"/>
  <c r="I466" i="1" s="1"/>
  <c r="G465" i="1"/>
  <c r="I465" i="1" s="1"/>
  <c r="I464" i="1"/>
  <c r="G463" i="1"/>
  <c r="I463" i="1" s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G444" i="1"/>
  <c r="I444" i="1" s="1"/>
  <c r="I443" i="1"/>
  <c r="I442" i="1"/>
  <c r="I441" i="1"/>
  <c r="I440" i="1"/>
  <c r="I439" i="1" l="1"/>
  <c r="I438" i="1"/>
  <c r="I437" i="1"/>
  <c r="I436" i="1"/>
  <c r="I435" i="1"/>
  <c r="I434" i="1"/>
  <c r="I433" i="1"/>
  <c r="I432" i="1"/>
  <c r="I431" i="1"/>
  <c r="I430" i="1"/>
  <c r="G429" i="1"/>
  <c r="I429" i="1" s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G408" i="1"/>
  <c r="I408" i="1" s="1"/>
  <c r="I407" i="1"/>
  <c r="I406" i="1"/>
  <c r="I405" i="1"/>
  <c r="I404" i="1"/>
  <c r="I403" i="1"/>
  <c r="I402" i="1"/>
  <c r="I401" i="1"/>
  <c r="I400" i="1"/>
  <c r="I399" i="1"/>
  <c r="I398" i="1"/>
  <c r="I397" i="1"/>
  <c r="I396" i="1"/>
  <c r="G395" i="1"/>
  <c r="I395" i="1" s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G378" i="1"/>
  <c r="I378" i="1" s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G361" i="1"/>
  <c r="I361" i="1" s="1"/>
  <c r="I360" i="1"/>
  <c r="I359" i="1"/>
  <c r="I358" i="1"/>
  <c r="I357" i="1"/>
  <c r="G356" i="1"/>
  <c r="I356" i="1" s="1"/>
  <c r="I355" i="1"/>
  <c r="I354" i="1"/>
  <c r="I353" i="1"/>
  <c r="I352" i="1"/>
  <c r="I351" i="1"/>
  <c r="I350" i="1"/>
  <c r="I349" i="1"/>
  <c r="I348" i="1"/>
  <c r="I347" i="1"/>
  <c r="I346" i="1"/>
  <c r="G345" i="1"/>
  <c r="I345" i="1" s="1"/>
  <c r="I344" i="1"/>
  <c r="I343" i="1"/>
  <c r="I342" i="1"/>
  <c r="G341" i="1"/>
  <c r="I341" i="1" s="1"/>
  <c r="I340" i="1"/>
  <c r="I339" i="1"/>
  <c r="I338" i="1"/>
  <c r="G337" i="1"/>
  <c r="I337" i="1" s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G321" i="1"/>
  <c r="I321" i="1" s="1"/>
  <c r="I320" i="1"/>
  <c r="G319" i="1"/>
  <c r="I319" i="1" s="1"/>
  <c r="I318" i="1"/>
  <c r="I317" i="1"/>
  <c r="G316" i="1"/>
  <c r="I316" i="1" s="1"/>
  <c r="I315" i="1"/>
  <c r="G314" i="1"/>
  <c r="I314" i="1" s="1"/>
  <c r="I313" i="1"/>
  <c r="I312" i="1"/>
  <c r="I311" i="1"/>
  <c r="G310" i="1"/>
  <c r="I310" i="1" s="1"/>
  <c r="I309" i="1"/>
  <c r="I308" i="1"/>
  <c r="G307" i="1"/>
  <c r="I307" i="1" s="1"/>
  <c r="I306" i="1"/>
  <c r="I305" i="1"/>
  <c r="I304" i="1"/>
  <c r="I303" i="1"/>
  <c r="I302" i="1"/>
  <c r="I301" i="1"/>
  <c r="I300" i="1"/>
  <c r="I299" i="1"/>
  <c r="I298" i="1"/>
  <c r="I297" i="1"/>
  <c r="I2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<sst xmlns="http://schemas.openxmlformats.org/spreadsheetml/2006/main" count="5615" uniqueCount="1876">
  <si>
    <t>Dealer Code</t>
  </si>
  <si>
    <t>CIN0207</t>
  </si>
  <si>
    <t>CNE0666</t>
  </si>
  <si>
    <t>CRA1049</t>
  </si>
  <si>
    <t>CIS0059</t>
  </si>
  <si>
    <t>CSU1679</t>
  </si>
  <si>
    <t>CRE0045</t>
  </si>
  <si>
    <t>CNA0110</t>
  </si>
  <si>
    <t>CBI0452</t>
  </si>
  <si>
    <t>CSR6389</t>
  </si>
  <si>
    <t>CBA2341</t>
  </si>
  <si>
    <t>CPO0268</t>
  </si>
  <si>
    <t>CPR0279</t>
  </si>
  <si>
    <t>CPU0194</t>
  </si>
  <si>
    <t>CRA0283</t>
  </si>
  <si>
    <t>CAS0542</t>
  </si>
  <si>
    <t>CJY0073</t>
  </si>
  <si>
    <t>CPR0059</t>
  </si>
  <si>
    <t>CDH0222</t>
  </si>
  <si>
    <t>CMI0301</t>
  </si>
  <si>
    <t>CKL0036</t>
  </si>
  <si>
    <t>CNA1261</t>
  </si>
  <si>
    <t>CMS0191</t>
  </si>
  <si>
    <t>CSW0307</t>
  </si>
  <si>
    <t>CRE2311</t>
  </si>
  <si>
    <t>CAC0001</t>
  </si>
  <si>
    <t>CRA0078</t>
  </si>
  <si>
    <t>CTR0358</t>
  </si>
  <si>
    <t>CRA0540</t>
  </si>
  <si>
    <t>CSH4514</t>
  </si>
  <si>
    <t>CNO0132</t>
  </si>
  <si>
    <t>CAK0150</t>
  </si>
  <si>
    <t>CHO0263</t>
  </si>
  <si>
    <t>CSU1592</t>
  </si>
  <si>
    <t>CRO0046</t>
  </si>
  <si>
    <t>CLU0029</t>
  </si>
  <si>
    <t>CLA0181</t>
  </si>
  <si>
    <t>CMS0197</t>
  </si>
  <si>
    <t>CGA0386</t>
  </si>
  <si>
    <t>CKU0326</t>
  </si>
  <si>
    <t>CNU0029</t>
  </si>
  <si>
    <t>CMA2493</t>
  </si>
  <si>
    <t>CEV0003</t>
  </si>
  <si>
    <t>CKR0479</t>
  </si>
  <si>
    <t>CRA0068</t>
  </si>
  <si>
    <t>CBH0803</t>
  </si>
  <si>
    <t>CTA0481</t>
  </si>
  <si>
    <t>CSW0220</t>
  </si>
  <si>
    <t>CMA3233</t>
  </si>
  <si>
    <t>CLP0006</t>
  </si>
  <si>
    <t>CVR0027</t>
  </si>
  <si>
    <t>CAH0077</t>
  </si>
  <si>
    <t>CSH3539</t>
  </si>
  <si>
    <t>CSH1286</t>
  </si>
  <si>
    <t>CNE0613</t>
  </si>
  <si>
    <t>COM0373</t>
  </si>
  <si>
    <t>CID0028</t>
  </si>
  <si>
    <t>CPR0666</t>
  </si>
  <si>
    <t>CYA0163</t>
  </si>
  <si>
    <t>CAD0394</t>
  </si>
  <si>
    <t>CSH0683</t>
  </si>
  <si>
    <t>CBR0147</t>
  </si>
  <si>
    <t>CBA0680</t>
  </si>
  <si>
    <t>CRA2069</t>
  </si>
  <si>
    <t>CDH0205</t>
  </si>
  <si>
    <t>CRM0030</t>
  </si>
  <si>
    <t>CAB0022</t>
  </si>
  <si>
    <t>CSU0420</t>
  </si>
  <si>
    <t>CME0120</t>
  </si>
  <si>
    <t>CTA0268</t>
  </si>
  <si>
    <t>CSH3002</t>
  </si>
  <si>
    <t>CMA0228</t>
  </si>
  <si>
    <t>CKR0051</t>
  </si>
  <si>
    <t>CSU1380</t>
  </si>
  <si>
    <t>CJI0204</t>
  </si>
  <si>
    <t>CSA0307</t>
  </si>
  <si>
    <t>CFO0054</t>
  </si>
  <si>
    <t>CKW0019</t>
  </si>
  <si>
    <t>CSA0838</t>
  </si>
  <si>
    <t>CAN1103</t>
  </si>
  <si>
    <t>CCR0298</t>
  </si>
  <si>
    <t>CJK0035</t>
  </si>
  <si>
    <t>CBA2210</t>
  </si>
  <si>
    <t>CMO0161</t>
  </si>
  <si>
    <t>CSR0612</t>
  </si>
  <si>
    <t>CPR0433</t>
  </si>
  <si>
    <t>CTA0449</t>
  </si>
  <si>
    <t>CAS0672</t>
  </si>
  <si>
    <t>CAN0334</t>
  </si>
  <si>
    <t>CVA2389</t>
  </si>
  <si>
    <t>CRA0321</t>
  </si>
  <si>
    <t>CJA0572</t>
  </si>
  <si>
    <t>CSH2926</t>
  </si>
  <si>
    <t>CKP0025</t>
  </si>
  <si>
    <t>CSH3021</t>
  </si>
  <si>
    <t>CLT0013</t>
  </si>
  <si>
    <t>CMA1427</t>
  </si>
  <si>
    <t>CAM2690</t>
  </si>
  <si>
    <t>CDE0826</t>
  </si>
  <si>
    <t>CRA1558</t>
  </si>
  <si>
    <t>CSG0015</t>
  </si>
  <si>
    <t>CSM0106</t>
  </si>
  <si>
    <t>CBR0174</t>
  </si>
  <si>
    <t>CTU0082</t>
  </si>
  <si>
    <t>CPE0346</t>
  </si>
  <si>
    <t>CJA1446</t>
  </si>
  <si>
    <t>CKR0149</t>
  </si>
  <si>
    <t>CKA0176</t>
  </si>
  <si>
    <t>CAK0229</t>
  </si>
  <si>
    <t>CRI0298</t>
  </si>
  <si>
    <t>CMM0052</t>
  </si>
  <si>
    <t>CHI0142</t>
  </si>
  <si>
    <t>CNA0004</t>
  </si>
  <si>
    <t>CDH0215</t>
  </si>
  <si>
    <t>CTH0338</t>
  </si>
  <si>
    <t>CMI0365</t>
  </si>
  <si>
    <t>CSA2372</t>
  </si>
  <si>
    <t>CIN0047</t>
  </si>
  <si>
    <t>CMA2433</t>
  </si>
  <si>
    <t>CCI0108</t>
  </si>
  <si>
    <t>CGO0501</t>
  </si>
  <si>
    <t>CMP0044</t>
  </si>
  <si>
    <t>CSA1815</t>
  </si>
  <si>
    <t>CMA2328</t>
  </si>
  <si>
    <t>COY0008</t>
  </si>
  <si>
    <t>CHA8225</t>
  </si>
  <si>
    <t>CMA2616</t>
  </si>
  <si>
    <t>CGO0047</t>
  </si>
  <si>
    <t>CAR0613</t>
  </si>
  <si>
    <t>CTR0417</t>
  </si>
  <si>
    <t>CNE0031</t>
  </si>
  <si>
    <t>CBR0111</t>
  </si>
  <si>
    <t>CRA2083</t>
  </si>
  <si>
    <t>CSO0368</t>
  </si>
  <si>
    <t>CBL0015</t>
  </si>
  <si>
    <t>CTM0009</t>
  </si>
  <si>
    <t>CVI1319</t>
  </si>
  <si>
    <t>CBU0082</t>
  </si>
  <si>
    <t>CNA0553</t>
  </si>
  <si>
    <t>CGU2259</t>
  </si>
  <si>
    <t>CMA2851</t>
  </si>
  <si>
    <t>CMM0051</t>
  </si>
  <si>
    <t>CMP0001</t>
  </si>
  <si>
    <t>CGA0763</t>
  </si>
  <si>
    <t>CAS0510</t>
  </si>
  <si>
    <t>CSA0295</t>
  </si>
  <si>
    <t>CGU2357</t>
  </si>
  <si>
    <t>CSE1150</t>
  </si>
  <si>
    <t>CCL0108</t>
  </si>
  <si>
    <t>CMR0058</t>
  </si>
  <si>
    <t>CBR0159</t>
  </si>
  <si>
    <t>CTH0070</t>
  </si>
  <si>
    <t>CBR0065</t>
  </si>
  <si>
    <t>CMU0312</t>
  </si>
  <si>
    <t>CMA3314</t>
  </si>
  <si>
    <t>CVA0729</t>
  </si>
  <si>
    <t>CPR0098</t>
  </si>
  <si>
    <t>CRA1043</t>
  </si>
  <si>
    <t>CSR0906</t>
  </si>
  <si>
    <t>CGA0670</t>
  </si>
  <si>
    <t>CSH3686</t>
  </si>
  <si>
    <t>CMA2909</t>
  </si>
  <si>
    <t>CKR0154</t>
  </si>
  <si>
    <t>CAM0383</t>
  </si>
  <si>
    <t>CJA1437</t>
  </si>
  <si>
    <t>CSH3589</t>
  </si>
  <si>
    <t>CME1136</t>
  </si>
  <si>
    <t>CLA1097</t>
  </si>
  <si>
    <t>CGO0336</t>
  </si>
  <si>
    <t>CVI0542</t>
  </si>
  <si>
    <t>CVI0873</t>
  </si>
  <si>
    <t>CBA2402</t>
  </si>
  <si>
    <t>CKH0151</t>
  </si>
  <si>
    <t>CTR0488</t>
  </si>
  <si>
    <t>CRA0427</t>
  </si>
  <si>
    <t>CSL0005</t>
  </si>
  <si>
    <t>CSI0492</t>
  </si>
  <si>
    <t>CSH3804</t>
  </si>
  <si>
    <t>CAV0003</t>
  </si>
  <si>
    <t>CMA0641</t>
  </si>
  <si>
    <t>CDE0132</t>
  </si>
  <si>
    <t>CGN0013</t>
  </si>
  <si>
    <t>CZA0016</t>
  </si>
  <si>
    <t>CVA0055</t>
  </si>
  <si>
    <t>CFA0007</t>
  </si>
  <si>
    <t>CRC0013</t>
  </si>
  <si>
    <t>CHY0025</t>
  </si>
  <si>
    <t>CSH1317</t>
  </si>
  <si>
    <t>CBH0257</t>
  </si>
  <si>
    <t>CKU0112</t>
  </si>
  <si>
    <t>CSE0101</t>
  </si>
  <si>
    <t>CNE0301</t>
  </si>
  <si>
    <t>CSH2074</t>
  </si>
  <si>
    <t>CVA2387</t>
  </si>
  <si>
    <t>CMK0002</t>
  </si>
  <si>
    <t>CFI0078</t>
  </si>
  <si>
    <t>CMA2600</t>
  </si>
  <si>
    <t>CSA0723</t>
  </si>
  <si>
    <t>CAD0390</t>
  </si>
  <si>
    <t>CBM0018</t>
  </si>
  <si>
    <t>CSH0019</t>
  </si>
  <si>
    <t>CPU0002</t>
  </si>
  <si>
    <t>CRA1339</t>
  </si>
  <si>
    <t>CGL0166</t>
  </si>
  <si>
    <t>CYO0049</t>
  </si>
  <si>
    <t>CAN1106</t>
  </si>
  <si>
    <t>CJA1190</t>
  </si>
  <si>
    <t>CTA0470</t>
  </si>
  <si>
    <t>CSH3605</t>
  </si>
  <si>
    <t>CRA2063</t>
  </si>
  <si>
    <t>CAK0009</t>
  </si>
  <si>
    <t>CPA0966</t>
  </si>
  <si>
    <t>CSU1387</t>
  </si>
  <si>
    <t>CSR5914</t>
  </si>
  <si>
    <t>CAA0223</t>
  </si>
  <si>
    <t>CMA0338</t>
  </si>
  <si>
    <t>CSK0001</t>
  </si>
  <si>
    <t>CCM0024</t>
  </si>
  <si>
    <t>CDC0007</t>
  </si>
  <si>
    <t>CVI1274</t>
  </si>
  <si>
    <t>CKU0002</t>
  </si>
  <si>
    <t>CGA0506</t>
  </si>
  <si>
    <t>CHA0992</t>
  </si>
  <si>
    <t>CFR0037</t>
  </si>
  <si>
    <t>CSR0183</t>
  </si>
  <si>
    <t>CVA2413</t>
  </si>
  <si>
    <t>CBA2316</t>
  </si>
  <si>
    <t>CKI0187</t>
  </si>
  <si>
    <t>CAN0555</t>
  </si>
  <si>
    <t>CSU1004</t>
  </si>
  <si>
    <t>CSH0136</t>
  </si>
  <si>
    <t>CNA0104</t>
  </si>
  <si>
    <t>CTI0066</t>
  </si>
  <si>
    <t>CSH1570</t>
  </si>
  <si>
    <t>CRO0286</t>
  </si>
  <si>
    <t>CAB0042</t>
  </si>
  <si>
    <t>CRA2299</t>
  </si>
  <si>
    <t>CSH4343</t>
  </si>
  <si>
    <t>CRA0855</t>
  </si>
  <si>
    <t>CRA2275</t>
  </si>
  <si>
    <t>CKU0113</t>
  </si>
  <si>
    <t>CRA1330</t>
  </si>
  <si>
    <t>CAR0715</t>
  </si>
  <si>
    <t>CRA1336</t>
  </si>
  <si>
    <t>CMA3113</t>
  </si>
  <si>
    <t>CKU0097</t>
  </si>
  <si>
    <t>CBH0171</t>
  </si>
  <si>
    <t>CSU0140</t>
  </si>
  <si>
    <t>CTH0463</t>
  </si>
  <si>
    <t>CBI0014</t>
  </si>
  <si>
    <t>CMA2799</t>
  </si>
  <si>
    <t>CUL0027</t>
  </si>
  <si>
    <t>CJH0029</t>
  </si>
  <si>
    <t>CGI0041</t>
  </si>
  <si>
    <t>CEL0179</t>
  </si>
  <si>
    <t>CFA0108</t>
  </si>
  <si>
    <t>CAM0467</t>
  </si>
  <si>
    <t>CBR0075</t>
  </si>
  <si>
    <t>CSU1244</t>
  </si>
  <si>
    <t>CJY0092</t>
  </si>
  <si>
    <t>CAB0139</t>
  </si>
  <si>
    <t>CGA0342</t>
  </si>
  <si>
    <t>CAA0220</t>
  </si>
  <si>
    <t>CDK0001</t>
  </si>
  <si>
    <t>CSH2035</t>
  </si>
  <si>
    <t>CMA0933</t>
  </si>
  <si>
    <t>CRE2391</t>
  </si>
  <si>
    <t>CVI0545</t>
  </si>
  <si>
    <t>CSK0501</t>
  </si>
  <si>
    <t>CSI2274</t>
  </si>
  <si>
    <t>CCB0012</t>
  </si>
  <si>
    <t>CRS0021</t>
  </si>
  <si>
    <t>CUK0001</t>
  </si>
  <si>
    <t>CNE0804</t>
  </si>
  <si>
    <t>CIM0007</t>
  </si>
  <si>
    <t>CDS0015</t>
  </si>
  <si>
    <t>CKI0109</t>
  </si>
  <si>
    <t>CKR0152</t>
  </si>
  <si>
    <t>CGU2366</t>
  </si>
  <si>
    <t>CJK0045</t>
  </si>
  <si>
    <t>CHA8132</t>
  </si>
  <si>
    <t>CQU0026</t>
  </si>
  <si>
    <t>CPR0811</t>
  </si>
  <si>
    <t>CMA2597</t>
  </si>
  <si>
    <t>CKH0236</t>
  </si>
  <si>
    <t>CVI1258</t>
  </si>
  <si>
    <t>CSA1348</t>
  </si>
  <si>
    <t>CAM0613</t>
  </si>
  <si>
    <t>CRA0639</t>
  </si>
  <si>
    <t>CJA0611</t>
  </si>
  <si>
    <t>CEL0635</t>
  </si>
  <si>
    <t>CAT0063</t>
  </si>
  <si>
    <t>CNE1141</t>
  </si>
  <si>
    <t>CJY0055</t>
  </si>
  <si>
    <t>Firm Name</t>
  </si>
  <si>
    <t>Indira Enterprisers</t>
  </si>
  <si>
    <t>Newtec Industries</t>
  </si>
  <si>
    <t>Rainbow Lights</t>
  </si>
  <si>
    <t>Ishan Corporation</t>
  </si>
  <si>
    <t>SUN SPARKLE ENERGY</t>
  </si>
  <si>
    <t>Relax Agencies</t>
  </si>
  <si>
    <t>Navratan Electric Co.</t>
  </si>
  <si>
    <t>Bindra Electric Company</t>
  </si>
  <si>
    <t>Vishnu Enterprises</t>
  </si>
  <si>
    <t>Bansal Traders</t>
  </si>
  <si>
    <t>Pooja Electricals</t>
  </si>
  <si>
    <t>Prem Electricals</t>
  </si>
  <si>
    <t>Pushpa Sales And Service</t>
  </si>
  <si>
    <t>Rajasthan Electricials</t>
  </si>
  <si>
    <t>ASK Corporation</t>
  </si>
  <si>
    <t>Jyoti Electricals</t>
  </si>
  <si>
    <t>Priyanka Video And Electronics</t>
  </si>
  <si>
    <t>Dhanani Distributor</t>
  </si>
  <si>
    <t>Mittal Technoplast India</t>
  </si>
  <si>
    <t>Kloseven Royale</t>
  </si>
  <si>
    <t>NAVEEN BUILDMART</t>
  </si>
  <si>
    <t>M S Enterprises</t>
  </si>
  <si>
    <t>SWASTIK ENTERPRISES</t>
  </si>
  <si>
    <t>Reliable Enterprise</t>
  </si>
  <si>
    <t>Active Enterprises</t>
  </si>
  <si>
    <t>Radhe Corporation</t>
  </si>
  <si>
    <t>Trans India</t>
  </si>
  <si>
    <t>Rakesh Enterprises</t>
  </si>
  <si>
    <t>SHREE SIRAYAM</t>
  </si>
  <si>
    <t>NORTHERN STAR ELECTRICAL COMPANY</t>
  </si>
  <si>
    <t>AK Engineer</t>
  </si>
  <si>
    <t>Hotstart Energy Private Limited</t>
  </si>
  <si>
    <t>Super Electric &amp; Co.</t>
  </si>
  <si>
    <t>ROOP KUMAR STORE</t>
  </si>
  <si>
    <t>Luniya Brothers</t>
  </si>
  <si>
    <t>Laxmi Store</t>
  </si>
  <si>
    <t>M S SYSTEMS</t>
  </si>
  <si>
    <t>Garg Electro</t>
  </si>
  <si>
    <t>Kuwar traders</t>
  </si>
  <si>
    <t>Numberdar Enterprises</t>
  </si>
  <si>
    <t>Mangaldeep Electrical And Hardwares</t>
  </si>
  <si>
    <t>EVERGREEN ELECTRIC &amp; HARDWARE</t>
  </si>
  <si>
    <t>Krishna Enterprises</t>
  </si>
  <si>
    <t>Radio Electric Stores and Agencies</t>
  </si>
  <si>
    <t>Bharat Trade And Industries</t>
  </si>
  <si>
    <t>Taurus Enterprises</t>
  </si>
  <si>
    <t>Swastik Enterprises</t>
  </si>
  <si>
    <t>MAXIMAS TECHNOLOGIES</t>
  </si>
  <si>
    <t>LP Electricals</t>
  </si>
  <si>
    <t>V R Corporation</t>
  </si>
  <si>
    <t>AHAMADULLAH AND SONS</t>
  </si>
  <si>
    <t>Shri Ram Sales Corporation</t>
  </si>
  <si>
    <t xml:space="preserve">New Umiya Electricals </t>
  </si>
  <si>
    <t>Omkar Enterprises</t>
  </si>
  <si>
    <t>Ideal Electric Corporation</t>
  </si>
  <si>
    <t>Prakash Traders</t>
  </si>
  <si>
    <t>Yash traders</t>
  </si>
  <si>
    <t>Adithya Marketing</t>
  </si>
  <si>
    <t>Shree Laxmi Electricals</t>
  </si>
  <si>
    <t>Bright Electro Mechanical</t>
  </si>
  <si>
    <t>Bansal And Sons</t>
  </si>
  <si>
    <t>Ranganadha Sai Agency</t>
  </si>
  <si>
    <t>Dhruv Electricals</t>
  </si>
  <si>
    <t>RM Enterprises</t>
  </si>
  <si>
    <t>Abirami Electricals</t>
  </si>
  <si>
    <t>Surya Agency</t>
  </si>
  <si>
    <t>Mehul Enterprises</t>
  </si>
  <si>
    <t>Talwar Electricals</t>
  </si>
  <si>
    <t>Shaurav Enterprises</t>
  </si>
  <si>
    <t>Maruti Sales</t>
  </si>
  <si>
    <t>Krishna Electronics</t>
  </si>
  <si>
    <t>Sunrise Traders</t>
  </si>
  <si>
    <t>Jigisha Electricals</t>
  </si>
  <si>
    <t>Samir Electricals</t>
  </si>
  <si>
    <t>Foursun Solar</t>
  </si>
  <si>
    <t>Kwality Smart Solutions</t>
  </si>
  <si>
    <t>Sainath Electricals and Infotech</t>
  </si>
  <si>
    <t>Anany Urja</t>
  </si>
  <si>
    <t>C R Enterprises</t>
  </si>
  <si>
    <t>J. K. Electricals</t>
  </si>
  <si>
    <t>BASANT ENGEENERING COMPANY</t>
  </si>
  <si>
    <t>MODERN FRET WORKS</t>
  </si>
  <si>
    <t>Sri Balajee Electricals</t>
  </si>
  <si>
    <t>Prashakti Electrical Pvt. Ltd.</t>
  </si>
  <si>
    <t>Tanmay Enterprises</t>
  </si>
  <si>
    <t>A.s Electronics India</t>
  </si>
  <si>
    <t>Ankur Electricals</t>
  </si>
  <si>
    <t>M/s Varunavi Electrical &amp; Hardware</t>
  </si>
  <si>
    <t>Rahul Cables Pvt. Ltd.</t>
  </si>
  <si>
    <t>Jay Laxmi Electricals</t>
  </si>
  <si>
    <t>Shree Wholesale Electricals</t>
  </si>
  <si>
    <t>K.P Enterprises</t>
  </si>
  <si>
    <t>Shanti Arya Industries</t>
  </si>
  <si>
    <t>L. T. Enterprise</t>
  </si>
  <si>
    <t>Madhav Electric Corporation</t>
  </si>
  <si>
    <t>Amit Traders</t>
  </si>
  <si>
    <t>Devi Electricals</t>
  </si>
  <si>
    <t>RAMRAJA SALES</t>
  </si>
  <si>
    <t>S.Govindasamy And Sons</t>
  </si>
  <si>
    <t>SM Light House</t>
  </si>
  <si>
    <t>Bravura Enterprises</t>
  </si>
  <si>
    <t>Tulsi Electromech</t>
  </si>
  <si>
    <t>Pershad Marketing Private Limited</t>
  </si>
  <si>
    <t>Jadhav Electricals Private Limited</t>
  </si>
  <si>
    <t>K. R. Distributors</t>
  </si>
  <si>
    <t>Kamlesh Electricals Store</t>
  </si>
  <si>
    <t>Akon India Sales Corporation</t>
  </si>
  <si>
    <t>Rivaan Electricals</t>
  </si>
  <si>
    <t>MM Lunkad Electricals</t>
  </si>
  <si>
    <t>Hindustan Commercial Agency</t>
  </si>
  <si>
    <t>Nand Kishore And Co.</t>
  </si>
  <si>
    <t>Dhupar Brothers Trading Pvt Ltd</t>
  </si>
  <si>
    <t>The Kable Point</t>
  </si>
  <si>
    <t>Mishra Electricals</t>
  </si>
  <si>
    <t>S.A Rather&amp; Sons</t>
  </si>
  <si>
    <t>India Supply Corpn</t>
  </si>
  <si>
    <t>Master Light House</t>
  </si>
  <si>
    <t>City Electrical</t>
  </si>
  <si>
    <t>Good will Electronics</t>
  </si>
  <si>
    <t>M P SALES CORPORATION</t>
  </si>
  <si>
    <t>Sagar Electricals</t>
  </si>
  <si>
    <t>Makharia Machineries Private Limited</t>
  </si>
  <si>
    <t>Oyster Technocon</t>
  </si>
  <si>
    <t>HARSHIL ENTERPRISE</t>
  </si>
  <si>
    <t>Manibhadra Electricals Pvt Ltd</t>
  </si>
  <si>
    <t>Goyal Electronics</t>
  </si>
  <si>
    <t>A. R Enterprises</t>
  </si>
  <si>
    <t>True Sales</t>
  </si>
  <si>
    <t>New Modern Electricals and Electron</t>
  </si>
  <si>
    <t>B R Electricals</t>
  </si>
  <si>
    <t>Raysteeds Energy Private Limited</t>
  </si>
  <si>
    <t>SoftLine Computers</t>
  </si>
  <si>
    <t>B N R Enterprises</t>
  </si>
  <si>
    <t>T M Distributors</t>
  </si>
  <si>
    <t>Vipul Traders Sanitary House</t>
  </si>
  <si>
    <t>Buildmax India</t>
  </si>
  <si>
    <t>Nandhiya Agencies</t>
  </si>
  <si>
    <t>Gupta Pump</t>
  </si>
  <si>
    <t>Mahajan Sales Corp</t>
  </si>
  <si>
    <t>MM Lights</t>
  </si>
  <si>
    <t>M PATEL MART</t>
  </si>
  <si>
    <t>Gayatri Enterprises</t>
  </si>
  <si>
    <t>Asha Electricals</t>
  </si>
  <si>
    <t>Sangam App. And Electrical Ltd</t>
  </si>
  <si>
    <t>Gujarat Electronics</t>
  </si>
  <si>
    <t>Secure Electra Trade Links</t>
  </si>
  <si>
    <t>Classic Engineering Motions Private</t>
  </si>
  <si>
    <t>Mr Electric Traders</t>
  </si>
  <si>
    <t>Bright Electric</t>
  </si>
  <si>
    <t>The Nutrone Electricals</t>
  </si>
  <si>
    <t>British Engineering Co</t>
  </si>
  <si>
    <t>Mukesh Electricals</t>
  </si>
  <si>
    <t>Manish And Sons</t>
  </si>
  <si>
    <t>vashi Integrated Solution Ltd</t>
  </si>
  <si>
    <t>Pratham Electricals</t>
  </si>
  <si>
    <t>Raju Electricals</t>
  </si>
  <si>
    <t>ri Ram Enterprises</t>
  </si>
  <si>
    <t>Ganesh  Electric Store</t>
  </si>
  <si>
    <t>Shalimar Lights And Electricals</t>
  </si>
  <si>
    <t>Mass Co</t>
  </si>
  <si>
    <t>Amba Sales Corporation</t>
  </si>
  <si>
    <t>Jaspal Engennering Work</t>
  </si>
  <si>
    <t>Shraddha Electricals</t>
  </si>
  <si>
    <t>METRO ELECTRICALS AND INDUSTRIAL AG</t>
  </si>
  <si>
    <t>LAKSHMI ELECTRICALS</t>
  </si>
  <si>
    <t>Gokul Enterprises</t>
  </si>
  <si>
    <t>Vishnuprem Electricals And Associates</t>
  </si>
  <si>
    <t>Vindhyanchal Trade Link</t>
  </si>
  <si>
    <t>Bajaj Enterprises</t>
  </si>
  <si>
    <t>Khanak System</t>
  </si>
  <si>
    <t>TRIO RENEWABLE</t>
  </si>
  <si>
    <t>Ramdeo Fans</t>
  </si>
  <si>
    <t>SLR Enterprises</t>
  </si>
  <si>
    <t>Siva Krishna Enterprises</t>
  </si>
  <si>
    <t xml:space="preserve">Shyam Ji Trading Company	
</t>
  </si>
  <si>
    <t>AVINASH CABLES (I) PVT LT</t>
  </si>
  <si>
    <t>Maithri Electric Co.</t>
  </si>
  <si>
    <t>Deep Electricals And Home Appliance</t>
  </si>
  <si>
    <t>GNA Motors Private Limited</t>
  </si>
  <si>
    <t>Zaveri Mehta And Company</t>
  </si>
  <si>
    <t>Vaibhav Lightronics</t>
  </si>
  <si>
    <t>Fairdeal Electric Ware</t>
  </si>
  <si>
    <t>RC Automation Services</t>
  </si>
  <si>
    <t>Hygrid Solar Private Limited</t>
  </si>
  <si>
    <t>Shubham Traders</t>
  </si>
  <si>
    <t>Bharat Vyapar</t>
  </si>
  <si>
    <t>Kumar Trading Company</t>
  </si>
  <si>
    <t>Seema Electricals</t>
  </si>
  <si>
    <t>Neminath Electricals</t>
  </si>
  <si>
    <t>Shivankar Electricals</t>
  </si>
  <si>
    <t>Vardhaman Electricals</t>
  </si>
  <si>
    <t>M K Electricals</t>
  </si>
  <si>
    <t>5 Star Agencies</t>
  </si>
  <si>
    <t>Manali Computer House</t>
  </si>
  <si>
    <t>Sadhana Electric Store</t>
  </si>
  <si>
    <t>Adhya Agency</t>
  </si>
  <si>
    <t xml:space="preserve">B Mart </t>
  </si>
  <si>
    <t>SHIV ELECTRIC AND TRADING COMPANY</t>
  </si>
  <si>
    <t>Purbanchal Hardware and Electricals</t>
  </si>
  <si>
    <t>Raas Distributors</t>
  </si>
  <si>
    <t>Globe Electrical</t>
  </si>
  <si>
    <t>Youngster s Choice</t>
  </si>
  <si>
    <t>Ank Solar Energy</t>
  </si>
  <si>
    <t>jagannath Electricals</t>
  </si>
  <si>
    <t>Taj Iron</t>
  </si>
  <si>
    <t>Shivam Electricals</t>
  </si>
  <si>
    <t>Rachi Marketing</t>
  </si>
  <si>
    <t>Akash Cable Corporation</t>
  </si>
  <si>
    <t>Pammi Enterprises</t>
  </si>
  <si>
    <t>Sushil Electricals</t>
  </si>
  <si>
    <t>Sri Padma Enterprises</t>
  </si>
  <si>
    <t>Aasha Techno Enterprises</t>
  </si>
  <si>
    <t>Madaan Electric Store</t>
  </si>
  <si>
    <t>SK industrial Corporation</t>
  </si>
  <si>
    <t>C-MOS</t>
  </si>
  <si>
    <t>DCA Marketing</t>
  </si>
  <si>
    <t>Vikas Electric Agencies Pvt Ltd</t>
  </si>
  <si>
    <t>Kumar Electric Corporation</t>
  </si>
  <si>
    <t>Ganpati Traders</t>
  </si>
  <si>
    <t>Hanuman Electrical Agency</t>
  </si>
  <si>
    <t>FRIENDS ELECTRICALS</t>
  </si>
  <si>
    <t>Shri Hanuman Electricals</t>
  </si>
  <si>
    <t>VANSHIKA TRADERS</t>
  </si>
  <si>
    <t>BALAJI AGENCY</t>
  </si>
  <si>
    <t xml:space="preserve">Kirit Engineering </t>
  </si>
  <si>
    <t>Ankit Marketing</t>
  </si>
  <si>
    <t>SURESH ELECTRIC BOARD WORKS LTD</t>
  </si>
  <si>
    <t>Shakti Electric C</t>
  </si>
  <si>
    <t>Narmada Trading Corporation</t>
  </si>
  <si>
    <t>Tirupati Enterprises</t>
  </si>
  <si>
    <t>Shree Nath And Company</t>
  </si>
  <si>
    <t>Roaunak Agency</t>
  </si>
  <si>
    <t>A B C Enterprise.</t>
  </si>
  <si>
    <t>Rational Business Corporation</t>
  </si>
  <si>
    <t>M/S SHRI BADRINATH DISTRIBUTOR</t>
  </si>
  <si>
    <t>Raghunath Enterprises</t>
  </si>
  <si>
    <t>M/s RAWAT ENTERPRISES</t>
  </si>
  <si>
    <t>Kukreja Electricals</t>
  </si>
  <si>
    <t>Ram Motors</t>
  </si>
  <si>
    <t>Ar Associates</t>
  </si>
  <si>
    <t>Rakesh Marketing Pvt. Ltd.</t>
  </si>
  <si>
    <t>Matrix Green Enterprise Private Lim</t>
  </si>
  <si>
    <t>Kumaran Lighting Co</t>
  </si>
  <si>
    <t>Bharat Radio and Electric Co</t>
  </si>
  <si>
    <t>Surya Electric stores</t>
  </si>
  <si>
    <t>Thakur Electricals</t>
  </si>
  <si>
    <t>Bishwanath Electricals</t>
  </si>
  <si>
    <t>Manikanta Electricals</t>
  </si>
  <si>
    <t>Ultron Power Systems</t>
  </si>
  <si>
    <t>Jharkhand Electrical</t>
  </si>
  <si>
    <t>Gitanjali Traders</t>
  </si>
  <si>
    <t>Elmec</t>
  </si>
  <si>
    <t>Falcon Agencies</t>
  </si>
  <si>
    <t>Amrit Electricals</t>
  </si>
  <si>
    <t>Brite Enterprises</t>
  </si>
  <si>
    <t>Surindera Motor &amp; Mill Store</t>
  </si>
  <si>
    <t>Jyothi Enterprises</t>
  </si>
  <si>
    <t>ABHA ENTERPRISES</t>
  </si>
  <si>
    <t>GAURAV TRADERS</t>
  </si>
  <si>
    <t>Aadvik Enterprise</t>
  </si>
  <si>
    <t>D K Enterprises</t>
  </si>
  <si>
    <t>Shree Ganesh Electric</t>
  </si>
  <si>
    <t>Mahajan Cement Store</t>
  </si>
  <si>
    <t>Renuka Sales Corporation</t>
  </si>
  <si>
    <t>Vinay Electricals</t>
  </si>
  <si>
    <t>SKYCELL DISTRIBUTION PRIVATE LIMITE</t>
  </si>
  <si>
    <t>Siddhi Vinayak Distributors</t>
  </si>
  <si>
    <t>Cbl Enterprises</t>
  </si>
  <si>
    <t>Rsd Power Lines</t>
  </si>
  <si>
    <t>U K Agencies and Electricals</t>
  </si>
  <si>
    <t>New Light House</t>
  </si>
  <si>
    <t>Imperial Shah Store</t>
  </si>
  <si>
    <t>D. S. Enterprises</t>
  </si>
  <si>
    <t>Kirti Marketing</t>
  </si>
  <si>
    <t>Krishna Electrical</t>
  </si>
  <si>
    <t>Gulati Trading Co</t>
  </si>
  <si>
    <t>J K Electricals</t>
  </si>
  <si>
    <t>Har Krishan Lighting</t>
  </si>
  <si>
    <t xml:space="preserve">Quality Agency </t>
  </si>
  <si>
    <t>Prakash Cable House</t>
  </si>
  <si>
    <t>Samal_Maa Tabhamani Trading</t>
  </si>
  <si>
    <t>Khurana Agencies</t>
  </si>
  <si>
    <t>Vibgyor</t>
  </si>
  <si>
    <t>Saar Agencies</t>
  </si>
  <si>
    <t>Amit Trading Company</t>
  </si>
  <si>
    <t>Raj Traders</t>
  </si>
  <si>
    <t>Jagdamba Electricals</t>
  </si>
  <si>
    <t>Elkart Private Limited</t>
  </si>
  <si>
    <t>A to z POWER SOLUTIONS</t>
  </si>
  <si>
    <t>New Anand Electrical</t>
  </si>
  <si>
    <t>Dine-Out/Salon/Spa/
Photoshoot/Concert</t>
  </si>
  <si>
    <t>Salon</t>
  </si>
  <si>
    <t>Dine-Out</t>
  </si>
  <si>
    <t>Spa</t>
  </si>
  <si>
    <t>Gym</t>
  </si>
  <si>
    <t>Photoshoot</t>
  </si>
  <si>
    <t>RM</t>
  </si>
  <si>
    <t>Ravinder</t>
  </si>
  <si>
    <t>Simran</t>
  </si>
  <si>
    <t>Aayushi</t>
  </si>
  <si>
    <t>Parsun</t>
  </si>
  <si>
    <t>Himanshu</t>
  </si>
  <si>
    <t>PAYMENT SPOC</t>
  </si>
  <si>
    <t>Supriya</t>
  </si>
  <si>
    <t>Parmeet</t>
  </si>
  <si>
    <t>Rishabh</t>
  </si>
  <si>
    <t>Bharti</t>
  </si>
  <si>
    <t>Amount Paid</t>
  </si>
  <si>
    <t>Billing Amount</t>
  </si>
  <si>
    <t>STORY</t>
  </si>
  <si>
    <t>Months</t>
  </si>
  <si>
    <t>Apr`26</t>
  </si>
  <si>
    <t>May`26</t>
  </si>
  <si>
    <t>CAM0375</t>
  </si>
  <si>
    <t>CBR0195</t>
  </si>
  <si>
    <t>CRA1613</t>
  </si>
  <si>
    <t>CSA2472</t>
  </si>
  <si>
    <t>CJJ0024</t>
  </si>
  <si>
    <t>CAD0630</t>
  </si>
  <si>
    <t>CHI0083</t>
  </si>
  <si>
    <t>CNE1037</t>
  </si>
  <si>
    <t>CRA0677</t>
  </si>
  <si>
    <t>CUN0042</t>
  </si>
  <si>
    <t>CMM0025</t>
  </si>
  <si>
    <t>CLI0300</t>
  </si>
  <si>
    <t xml:space="preserve">CKR0436 </t>
  </si>
  <si>
    <t>CJI0245</t>
  </si>
  <si>
    <t>CEM0125</t>
  </si>
  <si>
    <t>CSH3891</t>
  </si>
  <si>
    <t>CSH0701</t>
  </si>
  <si>
    <t>CSU0821</t>
  </si>
  <si>
    <t>CPI0176</t>
  </si>
  <si>
    <t>CSP0007</t>
  </si>
  <si>
    <t>CNE0588</t>
  </si>
  <si>
    <t>CPA0760</t>
  </si>
  <si>
    <t>CIM0048</t>
  </si>
  <si>
    <t>CLI0035</t>
  </si>
  <si>
    <t>CGA0584</t>
  </si>
  <si>
    <t>CNA1282</t>
  </si>
  <si>
    <t>CKO0212</t>
  </si>
  <si>
    <t>CBH0019</t>
  </si>
  <si>
    <t>CGA0837</t>
  </si>
  <si>
    <t>CBH1045</t>
  </si>
  <si>
    <t>CES0095</t>
  </si>
  <si>
    <t>CNA1208</t>
  </si>
  <si>
    <t>CJA0292</t>
  </si>
  <si>
    <t xml:space="preserve">CTH0482 </t>
  </si>
  <si>
    <t>CVE0497</t>
  </si>
  <si>
    <t>CCH0485</t>
  </si>
  <si>
    <t>CRA0822</t>
  </si>
  <si>
    <t>CMA3026</t>
  </si>
  <si>
    <t>CKI0001</t>
  </si>
  <si>
    <t>CSR0840</t>
  </si>
  <si>
    <t>CJA1462</t>
  </si>
  <si>
    <t>CMA1694</t>
  </si>
  <si>
    <t>COM0121</t>
  </si>
  <si>
    <t>CDI1094</t>
  </si>
  <si>
    <t>CVA0782</t>
  </si>
  <si>
    <t>CGA0289</t>
  </si>
  <si>
    <t xml:space="preserve">CGE0033 </t>
  </si>
  <si>
    <t>CKH0189</t>
  </si>
  <si>
    <t>CJS0074</t>
  </si>
  <si>
    <t>CRA0861</t>
  </si>
  <si>
    <t>CLE0060</t>
  </si>
  <si>
    <t>CSP0869</t>
  </si>
  <si>
    <t>CCI0091</t>
  </si>
  <si>
    <t>CSS6055</t>
  </si>
  <si>
    <t>CSH3959</t>
  </si>
  <si>
    <t>CDE0720</t>
  </si>
  <si>
    <t>CPR1088</t>
  </si>
  <si>
    <t>CME0012</t>
  </si>
  <si>
    <t>CAG0220</t>
  </si>
  <si>
    <t>CAC0158</t>
  </si>
  <si>
    <t>CGE0252</t>
  </si>
  <si>
    <t>CVE0223</t>
  </si>
  <si>
    <t>CAM2769</t>
  </si>
  <si>
    <t>CNE1200</t>
  </si>
  <si>
    <t>CSR5849</t>
  </si>
  <si>
    <t>CMV0022</t>
  </si>
  <si>
    <t>Cga0487</t>
  </si>
  <si>
    <t>CSR1011</t>
  </si>
  <si>
    <t>CRS0032</t>
  </si>
  <si>
    <t>CSR0299</t>
  </si>
  <si>
    <t>CME0919</t>
  </si>
  <si>
    <t>CAM0050</t>
  </si>
  <si>
    <t>CSH0022</t>
  </si>
  <si>
    <t>CUT0099</t>
  </si>
  <si>
    <t>CSE1006</t>
  </si>
  <si>
    <t>CSK0101</t>
  </si>
  <si>
    <t>CUK0016</t>
  </si>
  <si>
    <t>CHI0139</t>
  </si>
  <si>
    <t>CGS0050</t>
  </si>
  <si>
    <t>CKR0043</t>
  </si>
  <si>
    <t>CMA0357</t>
  </si>
  <si>
    <t>CGO0033</t>
  </si>
  <si>
    <t>CHI0096</t>
  </si>
  <si>
    <t>CVA0738</t>
  </si>
  <si>
    <t>CME1158</t>
  </si>
  <si>
    <t>CMA1579</t>
  </si>
  <si>
    <t>CDA0363</t>
  </si>
  <si>
    <t>CAV0150</t>
  </si>
  <si>
    <t>CSA0664</t>
  </si>
  <si>
    <t>CDH0040</t>
  </si>
  <si>
    <t>CSA0177</t>
  </si>
  <si>
    <t>CGA0621</t>
  </si>
  <si>
    <t>CWH0031</t>
  </si>
  <si>
    <t>CRA0001</t>
  </si>
  <si>
    <t>CKH0054</t>
  </si>
  <si>
    <t>CGO0580</t>
  </si>
  <si>
    <t>CAL1169</t>
  </si>
  <si>
    <t>CVE0722</t>
  </si>
  <si>
    <t>CRS0107</t>
  </si>
  <si>
    <t>CSH2836</t>
  </si>
  <si>
    <t>CIL0020</t>
  </si>
  <si>
    <t>CAK0164</t>
  </si>
  <si>
    <t>CAD0553</t>
  </si>
  <si>
    <t>CMK0027</t>
  </si>
  <si>
    <t>CKV0016</t>
  </si>
  <si>
    <t>CNE0226</t>
  </si>
  <si>
    <t>CTE0394</t>
  </si>
  <si>
    <t>CSA0928</t>
  </si>
  <si>
    <t>CVO0053</t>
  </si>
  <si>
    <t>CMI0201</t>
  </si>
  <si>
    <t>CSR0587</t>
  </si>
  <si>
    <t>CAS0367</t>
  </si>
  <si>
    <t>CRA1969</t>
  </si>
  <si>
    <t>CPA0273</t>
  </si>
  <si>
    <t>CRE1194</t>
  </si>
  <si>
    <t>CKU0095</t>
  </si>
  <si>
    <t>CSU1660</t>
  </si>
  <si>
    <t>CBI0361</t>
  </si>
  <si>
    <t>Csm0075</t>
  </si>
  <si>
    <t>CAS0716</t>
  </si>
  <si>
    <t>CJY0074</t>
  </si>
  <si>
    <t>CPA0759</t>
  </si>
  <si>
    <t>CTI0223</t>
  </si>
  <si>
    <t>CEL0311</t>
  </si>
  <si>
    <t>CCO0139</t>
  </si>
  <si>
    <t>CKA1098</t>
  </si>
  <si>
    <t>CSH3125</t>
  </si>
  <si>
    <t>CMA2410</t>
  </si>
  <si>
    <t>CSW0109</t>
  </si>
  <si>
    <t>CSR0213</t>
  </si>
  <si>
    <t>CSR0846</t>
  </si>
  <si>
    <t>CPO0525/CPO0151</t>
  </si>
  <si>
    <t>CKU0341</t>
  </si>
  <si>
    <t>CPA0919</t>
  </si>
  <si>
    <t>CAN1196</t>
  </si>
  <si>
    <t>CUN0498</t>
  </si>
  <si>
    <t>CJA1010</t>
  </si>
  <si>
    <t>CDU0079</t>
  </si>
  <si>
    <t>CIN0161</t>
  </si>
  <si>
    <t>Cma0013</t>
  </si>
  <si>
    <t>CRA2177</t>
  </si>
  <si>
    <t xml:space="preserve">CBE0056 </t>
  </si>
  <si>
    <t>Ambica Electricals</t>
  </si>
  <si>
    <t>Branz Hexa India Private Limited</t>
  </si>
  <si>
    <t>Rakhi Traders</t>
  </si>
  <si>
    <t>SAFFRON SOLAR SYSTEMS</t>
  </si>
  <si>
    <t>J J Traders</t>
  </si>
  <si>
    <t>Adithi Business Solutions</t>
  </si>
  <si>
    <t>Hindustan Electric Corporation</t>
  </si>
  <si>
    <t>Neeraj Traders</t>
  </si>
  <si>
    <t>Radiant Hardware</t>
  </si>
  <si>
    <t>Universal Electricals</t>
  </si>
  <si>
    <t>M.M Traders</t>
  </si>
  <si>
    <t>Live Wire Tech Services Llp</t>
  </si>
  <si>
    <t>Krish Enterprisess</t>
  </si>
  <si>
    <t>JIBIN ELECTRICALS &amp; HOME APPLIANCES</t>
  </si>
  <si>
    <t>EMAC AUTOMATION SOLUTIONS INDIA PRI</t>
  </si>
  <si>
    <t>Shree Ganesh Traders</t>
  </si>
  <si>
    <t>Success Enterprises</t>
  </si>
  <si>
    <t>Pipeco</t>
  </si>
  <si>
    <t>S P Electrical Industries</t>
  </si>
  <si>
    <t>New Kable Point</t>
  </si>
  <si>
    <t>Patna Machinery Stores</t>
  </si>
  <si>
    <t>Impex Distribution Llp</t>
  </si>
  <si>
    <t>Light Centre</t>
  </si>
  <si>
    <t>Gandhi Electric Stores</t>
  </si>
  <si>
    <t>NANKIA ELECTRICALS</t>
  </si>
  <si>
    <t>KOHLI TRADERS</t>
  </si>
  <si>
    <t>Bhutani Electric Store</t>
  </si>
  <si>
    <t>GAYATRI SALES AND SERVICE PRIVATE L</t>
  </si>
  <si>
    <t>Bhagwati Integrated Solutions Pvt L</t>
  </si>
  <si>
    <t>Eskay Agencies</t>
  </si>
  <si>
    <t>Naina Infotech</t>
  </si>
  <si>
    <t>Jain Trading Company</t>
  </si>
  <si>
    <t>Thirupathy Electricals Sanitaryware</t>
  </si>
  <si>
    <t>Venu Electrical Center</t>
  </si>
  <si>
    <t>Chandana Appliances</t>
  </si>
  <si>
    <t>Rameshwaram Electricals</t>
  </si>
  <si>
    <t>Marissa Connect</t>
  </si>
  <si>
    <t>Kiran Electrical</t>
  </si>
  <si>
    <t>Sri Nagneswari Industries</t>
  </si>
  <si>
    <t>Jay Ambey Associate</t>
  </si>
  <si>
    <t>Manichanda Marketing</t>
  </si>
  <si>
    <t>Omkar Electricals</t>
  </si>
  <si>
    <t>Diya Communications</t>
  </si>
  <si>
    <t>Varkey &amp; Sons Communication</t>
  </si>
  <si>
    <t>Ganpati Enterprises</t>
  </si>
  <si>
    <t>Geeta Stores</t>
  </si>
  <si>
    <t>Khushi Electronics And Home Applian</t>
  </si>
  <si>
    <t>Js Electromate</t>
  </si>
  <si>
    <t xml:space="preserve">Ratwan Light House </t>
  </si>
  <si>
    <t>ELECTRO TRADERS</t>
  </si>
  <si>
    <t>SPARK ELECTRICALS</t>
  </si>
  <si>
    <t>City Lights</t>
  </si>
  <si>
    <t>S.s. Enterprises</t>
  </si>
  <si>
    <t>Shreeji Electricals</t>
  </si>
  <si>
    <t>Deepam Electricals</t>
  </si>
  <si>
    <t xml:space="preserve">Prakash Enterprises </t>
  </si>
  <si>
    <t>Mercury Agencies</t>
  </si>
  <si>
    <t>Aggarwal Electrical Store</t>
  </si>
  <si>
    <t>Ace Marketing</t>
  </si>
  <si>
    <t>Genisys Engineers And Contractors</t>
  </si>
  <si>
    <t>Venus Marketing</t>
  </si>
  <si>
    <t>A M S ELECTRICALS</t>
  </si>
  <si>
    <t>New Umiya Electric Company</t>
  </si>
  <si>
    <t>Sri Shiava Agencies- Galaxy-Khammam</t>
  </si>
  <si>
    <t>Mv Raj Sales Private Limited</t>
  </si>
  <si>
    <t>G And G Agencies</t>
  </si>
  <si>
    <t>Sree Krishna Associates</t>
  </si>
  <si>
    <t>R.S. Electricals</t>
  </si>
  <si>
    <t>Sri Krishna Electricals</t>
  </si>
  <si>
    <t>Medistar Agencies</t>
  </si>
  <si>
    <t>Ambe Electrical And Hardware Stores</t>
  </si>
  <si>
    <t>Shiv Electric Works</t>
  </si>
  <si>
    <t>Utkarsh Enterprises</t>
  </si>
  <si>
    <t>Sethi Electricals</t>
  </si>
  <si>
    <t>S.K. Electric</t>
  </si>
  <si>
    <t>UK ENTERPRISES</t>
  </si>
  <si>
    <t>Hi Light Enteprises</t>
  </si>
  <si>
    <t>G S Traders</t>
  </si>
  <si>
    <t>Krishna Electric And General Store</t>
  </si>
  <si>
    <t>Mamta Sales Corporation</t>
  </si>
  <si>
    <t>Govind Electric Co.</t>
  </si>
  <si>
    <t>Hira Electric Company</t>
  </si>
  <si>
    <t>Vaibhav electric inc</t>
  </si>
  <si>
    <t xml:space="preserve">Mentor Water Experts Private Limited </t>
  </si>
  <si>
    <t>Mayur Electric Company</t>
  </si>
  <si>
    <t>DASHMESH ELECTRICAL</t>
  </si>
  <si>
    <t>AVR Electricials &amp; Snantary</t>
  </si>
  <si>
    <t>Sai Teja Electricals</t>
  </si>
  <si>
    <t>Darshan Electricals</t>
  </si>
  <si>
    <t>Samu Electricals</t>
  </si>
  <si>
    <t>Ganesh Electricals And Hardares</t>
  </si>
  <si>
    <t>WHITE HOUSE MARKETING</t>
  </si>
  <si>
    <t>Radio Electric Emporium</t>
  </si>
  <si>
    <t>Khalsa electric Co</t>
  </si>
  <si>
    <t>Gopal Enterprises</t>
  </si>
  <si>
    <t xml:space="preserve">Alsafa Trading Company </t>
  </si>
  <si>
    <t>VERMA ELECTRIC STORE</t>
  </si>
  <si>
    <t>RS Battery</t>
  </si>
  <si>
    <t xml:space="preserve">Sharma Communication </t>
  </si>
  <si>
    <t>Illumina Controls</t>
  </si>
  <si>
    <t>Akshar Sales Corporation</t>
  </si>
  <si>
    <t>Adhithyan Solar Power Solutions</t>
  </si>
  <si>
    <t>MK DISTRIBUTOR GALAXY</t>
  </si>
  <si>
    <t>K V R Enterprises</t>
  </si>
  <si>
    <t>New Bright Electrcals</t>
  </si>
  <si>
    <t>TERRA LIVE LUXURIOUSLY LLP</t>
  </si>
  <si>
    <t>Safiya Build Mart</t>
  </si>
  <si>
    <t>Vohra Electricals</t>
  </si>
  <si>
    <t>Mittal Electricales</t>
  </si>
  <si>
    <t>Sri Raam Marketing</t>
  </si>
  <si>
    <t>Ashish Sales</t>
  </si>
  <si>
    <t>Rajeev Electricals</t>
  </si>
  <si>
    <t>Pawar Electrical Store</t>
  </si>
  <si>
    <t>Renergy Systems India Private Limited</t>
  </si>
  <si>
    <t>Kumar Electric Store</t>
  </si>
  <si>
    <t>SUMI AGENCIES</t>
  </si>
  <si>
    <t>BILAL SUPER SHINE</t>
  </si>
  <si>
    <t>S. M. Trading Company</t>
  </si>
  <si>
    <t>Assam Supply Syndicate</t>
  </si>
  <si>
    <t>Jyoti Bijli Ghar</t>
  </si>
  <si>
    <t>Parayil Agencies</t>
  </si>
  <si>
    <t>Tiwari Machinery Tools</t>
  </si>
  <si>
    <t>Electric Ghar</t>
  </si>
  <si>
    <t>Coverage Agencies</t>
  </si>
  <si>
    <t>Kanha Enterprises</t>
  </si>
  <si>
    <t>Shree Gajanan Enterprise</t>
  </si>
  <si>
    <t>Mansoor Iron Works</t>
  </si>
  <si>
    <t>Sree Ganesh Enterprises</t>
  </si>
  <si>
    <t>Laxmi Ganesh Distributors</t>
  </si>
  <si>
    <t>Kumaran Home Decors</t>
  </si>
  <si>
    <t>Pandian Plastic Traders</t>
  </si>
  <si>
    <t>ANNAI MARKETING</t>
  </si>
  <si>
    <t>Unity Engineers</t>
  </si>
  <si>
    <t>Jay Hind Electricals</t>
  </si>
  <si>
    <t xml:space="preserve">Durga Agencis </t>
  </si>
  <si>
    <t>INDUSTRIAL SUPPLIERS ENGINEERS</t>
  </si>
  <si>
    <t>Mahaveer Electricals</t>
  </si>
  <si>
    <t>RAJPUROHIT ELECTRICALS</t>
  </si>
  <si>
    <t>Best Marketing</t>
  </si>
  <si>
    <t>CSH3232</t>
  </si>
  <si>
    <t>Shreedeep</t>
  </si>
  <si>
    <t>CAN0331</t>
  </si>
  <si>
    <t>Anand Electrical</t>
  </si>
  <si>
    <t>CAS0547</t>
  </si>
  <si>
    <t>Ashish Electricals Works</t>
  </si>
  <si>
    <t>CMA0191</t>
  </si>
  <si>
    <t>Mahavira Electric Co.</t>
  </si>
  <si>
    <t>CSR1295</t>
  </si>
  <si>
    <t>Sri Diamond Hardware And Electricals</t>
  </si>
  <si>
    <t>CBA2569</t>
  </si>
  <si>
    <t>Basha Home Needs</t>
  </si>
  <si>
    <t>CSA2377</t>
  </si>
  <si>
    <t>SAMPTEL ENERGY PRIVATE LIMITED</t>
  </si>
  <si>
    <t>CSI0495</t>
  </si>
  <si>
    <t>Singaniya Enterprises</t>
  </si>
  <si>
    <t>CAG0244</t>
  </si>
  <si>
    <t>Agarwal Enterprises</t>
  </si>
  <si>
    <t>CAL0007</t>
  </si>
  <si>
    <t>Allied Trade Links</t>
  </si>
  <si>
    <t>Csa0009</t>
  </si>
  <si>
    <t>Sai Marketing</t>
  </si>
  <si>
    <t>CSU0131</t>
  </si>
  <si>
    <t>Supreme Electro Controls</t>
  </si>
  <si>
    <t>CJA0307</t>
  </si>
  <si>
    <t>Jay Enterprise-Ahd</t>
  </si>
  <si>
    <t>CKA0144</t>
  </si>
  <si>
    <t>Kaylight And Electrical Goods Pvt. Ltd.</t>
  </si>
  <si>
    <t>Cas0125</t>
  </si>
  <si>
    <t>Asian Electricals</t>
  </si>
  <si>
    <t>CRA0705</t>
  </si>
  <si>
    <t>Raj and Sons</t>
  </si>
  <si>
    <t>CBN0009</t>
  </si>
  <si>
    <t>B N Electricals</t>
  </si>
  <si>
    <t>CSA1112</t>
  </si>
  <si>
    <t>Sangam</t>
  </si>
  <si>
    <t>CSA0318</t>
  </si>
  <si>
    <t>Sanzari</t>
  </si>
  <si>
    <t>CBH0563</t>
  </si>
  <si>
    <t>Bharat Electricals</t>
  </si>
  <si>
    <t>CMA2782</t>
  </si>
  <si>
    <t>Maa Annapurna Agency</t>
  </si>
  <si>
    <t>CDI1192</t>
  </si>
  <si>
    <t>Divya Retail India Pvt. Ltd.</t>
  </si>
  <si>
    <t>CSH0909</t>
  </si>
  <si>
    <t>Shiva Electricals</t>
  </si>
  <si>
    <t>CGA0376</t>
  </si>
  <si>
    <t>Gaurav Electrovision</t>
  </si>
  <si>
    <t>CVI0042</t>
  </si>
  <si>
    <t>Viney Electricals</t>
  </si>
  <si>
    <t>CKA1012</t>
  </si>
  <si>
    <t>Kansal Electric</t>
  </si>
  <si>
    <t>CRB0020</t>
  </si>
  <si>
    <t>R.B. Electrical</t>
  </si>
  <si>
    <t>Cse0097</t>
  </si>
  <si>
    <t>See India Electricals</t>
  </si>
  <si>
    <t>CJS0097</t>
  </si>
  <si>
    <t>JSM Group</t>
  </si>
  <si>
    <t>CSR0093</t>
  </si>
  <si>
    <t>Sri Ganesh Electricals</t>
  </si>
  <si>
    <t>CSR0467</t>
  </si>
  <si>
    <t>Sree Manikka Vinayagar Agencies</t>
  </si>
  <si>
    <t>CPR0769</t>
  </si>
  <si>
    <t>Prabhu Appliances</t>
  </si>
  <si>
    <t>COM0162</t>
  </si>
  <si>
    <t>Om Prakash Agarwal</t>
  </si>
  <si>
    <t>CSH2479</t>
  </si>
  <si>
    <t>Shagun Enterprises</t>
  </si>
  <si>
    <t>CUM0045</t>
  </si>
  <si>
    <t>Umiya Electricals</t>
  </si>
  <si>
    <t>CBH0345</t>
  </si>
  <si>
    <t>Bharathi Electricals</t>
  </si>
  <si>
    <t>CSU1041</t>
  </si>
  <si>
    <t>Sunovative Private Limited</t>
  </si>
  <si>
    <t>CAG0205</t>
  </si>
  <si>
    <t>Agari Enterprises</t>
  </si>
  <si>
    <t>CSA1347</t>
  </si>
  <si>
    <t>Satish Kumar Madan Lal</t>
  </si>
  <si>
    <t>CGA0223</t>
  </si>
  <si>
    <t>Garima Electric Company</t>
  </si>
  <si>
    <t>CMA1098</t>
  </si>
  <si>
    <t>Maruti Electricals</t>
  </si>
  <si>
    <t>CMS0073</t>
  </si>
  <si>
    <t>M.S. Trade Link</t>
  </si>
  <si>
    <t>CDI0156</t>
  </si>
  <si>
    <t>Dinesh Electricals</t>
  </si>
  <si>
    <t>CMA0451</t>
  </si>
  <si>
    <t>Magan Traders</t>
  </si>
  <si>
    <t>CHI0200</t>
  </si>
  <si>
    <t>Hi Tech Marketing</t>
  </si>
  <si>
    <t>CHI0159</t>
  </si>
  <si>
    <t>Hi Choice Electricals</t>
  </si>
  <si>
    <t>CKA0797</t>
  </si>
  <si>
    <t>Kishore Kumar</t>
  </si>
  <si>
    <t>CPA0348</t>
  </si>
  <si>
    <t xml:space="preserve">Pankaj Electricals </t>
  </si>
  <si>
    <t>CSA1324</t>
  </si>
  <si>
    <t>Sansar Udyog Pvt Ltd</t>
  </si>
  <si>
    <t>CSI0174</t>
  </si>
  <si>
    <t>Sidharth Electric Corporation</t>
  </si>
  <si>
    <t>CST5996</t>
  </si>
  <si>
    <t>Star Enterprises</t>
  </si>
  <si>
    <t>CPE0401</t>
  </si>
  <si>
    <t>Perfect Builders Store Ltd.</t>
  </si>
  <si>
    <t>CGL0050</t>
  </si>
  <si>
    <t>Gleam Electric And Power Company</t>
  </si>
  <si>
    <t>CAJ0055</t>
  </si>
  <si>
    <t>Ajmera Trading Company</t>
  </si>
  <si>
    <t>CMA0976</t>
  </si>
  <si>
    <t>Manish Electricals (India)</t>
  </si>
  <si>
    <t>CPR0624</t>
  </si>
  <si>
    <t>Praveen Electricals</t>
  </si>
  <si>
    <t>CAV0298</t>
  </si>
  <si>
    <t>AVS ELECTRICAL AND SWITCHGEARS PRIV</t>
  </si>
  <si>
    <t>CMU0469</t>
  </si>
  <si>
    <t>Murli Electricals</t>
  </si>
  <si>
    <t>CGA0871</t>
  </si>
  <si>
    <t>GARG ELECTRIC</t>
  </si>
  <si>
    <t>CKI0070</t>
  </si>
  <si>
    <t>Kishan Enterprises</t>
  </si>
  <si>
    <t>CSA0879</t>
  </si>
  <si>
    <t>Samay Marketing</t>
  </si>
  <si>
    <t>CAN0116</t>
  </si>
  <si>
    <t>ANKIT ELECTRICALS</t>
  </si>
  <si>
    <t>CNI0536</t>
  </si>
  <si>
    <t>Niranjan Agencies</t>
  </si>
  <si>
    <t>CSA0118</t>
  </si>
  <si>
    <t>Savar Enterprises</t>
  </si>
  <si>
    <t>CRA2255</t>
  </si>
  <si>
    <t>RAMA REFLECTION INDIA PRIVATE LIMIT</t>
  </si>
  <si>
    <t>CSH0890</t>
  </si>
  <si>
    <t>Sharad Electricals</t>
  </si>
  <si>
    <t>CHA0958</t>
  </si>
  <si>
    <t>Hari Om Lighting</t>
  </si>
  <si>
    <t>CGR0177</t>
  </si>
  <si>
    <t>Gracias Electrics</t>
  </si>
  <si>
    <t>CSH0184</t>
  </si>
  <si>
    <t>Shubham Agencies</t>
  </si>
  <si>
    <t>CCH0480</t>
  </si>
  <si>
    <t>Chopra Industrial Corporation</t>
  </si>
  <si>
    <t>CKI0206</t>
  </si>
  <si>
    <t>Kineto India Private Limited</t>
  </si>
  <si>
    <t>CRO0137</t>
  </si>
  <si>
    <t>Rohan Madan Electric Company</t>
  </si>
  <si>
    <t>CSA1685</t>
  </si>
  <si>
    <t>SARK Engineers</t>
  </si>
  <si>
    <t>CKU0279</t>
  </si>
  <si>
    <t>Kunnal electronics</t>
  </si>
  <si>
    <t>CAN1172</t>
  </si>
  <si>
    <t>ANIKA CORPORATION</t>
  </si>
  <si>
    <t>CAM2735</t>
  </si>
  <si>
    <t>AMBBA JYOTI ELECTRICALS</t>
  </si>
  <si>
    <t>CCH0604</t>
  </si>
  <si>
    <t>Chordia Electricals</t>
  </si>
  <si>
    <t>CSO0528</t>
  </si>
  <si>
    <t>SOURAV ELECTRICALS</t>
  </si>
  <si>
    <t>CHI0214</t>
  </si>
  <si>
    <t>Hiramani Enterprises</t>
  </si>
  <si>
    <t>CBI0004</t>
  </si>
  <si>
    <t>Bihar Electric Stores</t>
  </si>
  <si>
    <t>CNA0527</t>
  </si>
  <si>
    <t>Narayan Enterprises</t>
  </si>
  <si>
    <t>CBA2388</t>
  </si>
  <si>
    <t>BALAJI LIGHTS</t>
  </si>
  <si>
    <t>CMA2885</t>
  </si>
  <si>
    <t>Maa Sharda Agency</t>
  </si>
  <si>
    <t>cmi0333</t>
  </si>
  <si>
    <t>Mir Electric industries</t>
  </si>
  <si>
    <t>Cgo0540</t>
  </si>
  <si>
    <t>Goyal Traders</t>
  </si>
  <si>
    <t>CMD0023</t>
  </si>
  <si>
    <t>M D Enterprises</t>
  </si>
  <si>
    <t>CSH2026</t>
  </si>
  <si>
    <t>Shri Pita Maruti Electrical Stores</t>
  </si>
  <si>
    <t>CBP0003</t>
  </si>
  <si>
    <t>B.P.Engineers and Electronics Pvt Ltd</t>
  </si>
  <si>
    <t>CIN2030</t>
  </si>
  <si>
    <t>Industrial Controls</t>
  </si>
  <si>
    <t>CAD0672</t>
  </si>
  <si>
    <t>Adrika Enterprise</t>
  </si>
  <si>
    <t>CPR0899</t>
  </si>
  <si>
    <t>Premier Sales Corporation</t>
  </si>
  <si>
    <t>CJJ0011</t>
  </si>
  <si>
    <t>J.J. Electricals</t>
  </si>
  <si>
    <t>CBA0890</t>
  </si>
  <si>
    <t>Baldev Electric Co</t>
  </si>
  <si>
    <t>CBK0015</t>
  </si>
  <si>
    <t>B K Hardware Store</t>
  </si>
  <si>
    <t>CCA0082</t>
  </si>
  <si>
    <t>Capital Fancy Light</t>
  </si>
  <si>
    <t>CGU2242</t>
  </si>
  <si>
    <t>Gupta Electrical Works</t>
  </si>
  <si>
    <t>CSP0811</t>
  </si>
  <si>
    <t>Sparkle</t>
  </si>
  <si>
    <t>CRU0185</t>
  </si>
  <si>
    <t>RUDRA TRADERS</t>
  </si>
  <si>
    <t>CAJ0126</t>
  </si>
  <si>
    <t>Ajanta Music and Electricals</t>
  </si>
  <si>
    <t>CNA0595</t>
  </si>
  <si>
    <t>NARAYAN AGENCY ( LIGHT KING)</t>
  </si>
  <si>
    <t>CBA0753</t>
  </si>
  <si>
    <t>Balaji Electric</t>
  </si>
  <si>
    <t>CAL0069</t>
  </si>
  <si>
    <t>Alam Electricals</t>
  </si>
  <si>
    <t>CNE0851</t>
  </si>
  <si>
    <t>New Maa Durga Electricals</t>
  </si>
  <si>
    <t>CSU0086</t>
  </si>
  <si>
    <t>Subudhi Electrical Stores</t>
  </si>
  <si>
    <t>M.M.LIGHTS</t>
  </si>
  <si>
    <t>CBE0024</t>
  </si>
  <si>
    <t>Bengal Engineering Industries</t>
  </si>
  <si>
    <t>CRB0005</t>
  </si>
  <si>
    <t>R.B.Chandak and Sons</t>
  </si>
  <si>
    <t>CSH0925</t>
  </si>
  <si>
    <t>Shyam Electricals</t>
  </si>
  <si>
    <t>Cik0001</t>
  </si>
  <si>
    <t xml:space="preserve">Hajra Mehmood </t>
  </si>
  <si>
    <t>CMK0063</t>
  </si>
  <si>
    <t>M.K. Traders</t>
  </si>
  <si>
    <t>CGU0027</t>
  </si>
  <si>
    <t>Gupta Traders</t>
  </si>
  <si>
    <t>CAS0387</t>
  </si>
  <si>
    <t>ASIAN ASSOCIATES</t>
  </si>
  <si>
    <t>CSA1326</t>
  </si>
  <si>
    <t>Sagar Engineering</t>
  </si>
  <si>
    <t>CGA0285</t>
  </si>
  <si>
    <t>CLA1102</t>
  </si>
  <si>
    <t>Ladda Infratech Pvt. Ltd. (Ganav Retail)</t>
  </si>
  <si>
    <t>CSH4267</t>
  </si>
  <si>
    <t xml:space="preserve"> Sharma Brothers</t>
  </si>
  <si>
    <t>CAM2620</t>
  </si>
  <si>
    <t>CAG0283</t>
  </si>
  <si>
    <t>Agarwal Electricals</t>
  </si>
  <si>
    <t>CRK0436</t>
  </si>
  <si>
    <t>Rk Agrawal And Sons</t>
  </si>
  <si>
    <t>CLO0102</t>
  </si>
  <si>
    <t>lone Electric Store</t>
  </si>
  <si>
    <t>CSH0187</t>
  </si>
  <si>
    <t>Shree Nursing Sahay Mudungopal(Cal)</t>
  </si>
  <si>
    <t>CAD0502</t>
  </si>
  <si>
    <t>Adil Electronics</t>
  </si>
  <si>
    <t>CSR6404</t>
  </si>
  <si>
    <t>SRI HARI TRADERS</t>
  </si>
  <si>
    <t>CGA0236</t>
  </si>
  <si>
    <t>Gaurav Enterprises</t>
  </si>
  <si>
    <t>CAL0196</t>
  </si>
  <si>
    <t>Alfa Marketing</t>
  </si>
  <si>
    <t>CJM0066</t>
  </si>
  <si>
    <t>Jmg Buildcon Llp</t>
  </si>
  <si>
    <t>CMO0422</t>
  </si>
  <si>
    <t>Mohindra Enterprises</t>
  </si>
  <si>
    <t>CHI0030</t>
  </si>
  <si>
    <t>Hind Electric and Trading Co.</t>
  </si>
  <si>
    <t>CBA0872</t>
  </si>
  <si>
    <t>Bajrang And Company</t>
  </si>
  <si>
    <t>CKI0061</t>
  </si>
  <si>
    <t>Kirtikumar Electric Corporation</t>
  </si>
  <si>
    <t>CMM0005</t>
  </si>
  <si>
    <t>M M Sales Agencies</t>
  </si>
  <si>
    <t>CMM0024</t>
  </si>
  <si>
    <t>M.M. Electricals</t>
  </si>
  <si>
    <t>CRA0963</t>
  </si>
  <si>
    <t>Radhika Cables And Switchgear</t>
  </si>
  <si>
    <t>CTR0413</t>
  </si>
  <si>
    <t>Transformers And Equipments Industr</t>
  </si>
  <si>
    <t>CUR0033</t>
  </si>
  <si>
    <t>Urban Electricals</t>
  </si>
  <si>
    <t>CNE0218</t>
  </si>
  <si>
    <t>New Garg Electricals</t>
  </si>
  <si>
    <t>CNE0599</t>
  </si>
  <si>
    <t>New Kashmir Iron Store</t>
  </si>
  <si>
    <t>Jun`26</t>
  </si>
  <si>
    <t>Dine-out</t>
  </si>
  <si>
    <t>Kids Activity</t>
  </si>
  <si>
    <t>Mammography</t>
  </si>
  <si>
    <t>SPA</t>
  </si>
  <si>
    <t>spa</t>
  </si>
  <si>
    <t>Kids Summer Classes (Online)</t>
  </si>
  <si>
    <t>Yoga</t>
  </si>
  <si>
    <t>Concert</t>
  </si>
  <si>
    <t>CAB0152</t>
  </si>
  <si>
    <t>A B Electricals</t>
  </si>
  <si>
    <t>CAD0658</t>
  </si>
  <si>
    <t>Adarsh Associates</t>
  </si>
  <si>
    <t>CAG0027</t>
  </si>
  <si>
    <t>AGRASAIN ELECTRIC CO</t>
  </si>
  <si>
    <t>CAG0209</t>
  </si>
  <si>
    <t xml:space="preserve">Agnihotri Electricals </t>
  </si>
  <si>
    <t>CAG0337</t>
  </si>
  <si>
    <t>Aggarwal Electric &amp; Machinery Store</t>
  </si>
  <si>
    <t>CAM0276</t>
  </si>
  <si>
    <t>Ammini  Traders</t>
  </si>
  <si>
    <t>CAM0371</t>
  </si>
  <si>
    <t>Ambika Electric Stores</t>
  </si>
  <si>
    <t>CAN0276</t>
  </si>
  <si>
    <t>ANURADHA ELECTRICALS</t>
  </si>
  <si>
    <t>CAN1077</t>
  </si>
  <si>
    <t>Anil Agencies</t>
  </si>
  <si>
    <t>CAN1231</t>
  </si>
  <si>
    <t>ANMOL ENTERPRISES</t>
  </si>
  <si>
    <t>CAR0155</t>
  </si>
  <si>
    <t>Arihant Enterprises-Surat</t>
  </si>
  <si>
    <t>CAR0564</t>
  </si>
  <si>
    <t>Armaan Distributors</t>
  </si>
  <si>
    <t>CAR0600</t>
  </si>
  <si>
    <t>Arora Electric Works</t>
  </si>
  <si>
    <t>CAR0904</t>
  </si>
  <si>
    <t>Arvind Industries</t>
  </si>
  <si>
    <t>CAS0708</t>
  </si>
  <si>
    <t>CAU0090</t>
  </si>
  <si>
    <t>AUTO DISTRIBUTORS</t>
  </si>
  <si>
    <t>CAV0145</t>
  </si>
  <si>
    <t>Avtaar Electric Hub Private Limited</t>
  </si>
  <si>
    <t>CAY0012</t>
  </si>
  <si>
    <t>Ayya Trading</t>
  </si>
  <si>
    <t>CBA0253</t>
  </si>
  <si>
    <t>Bajaj Cables</t>
  </si>
  <si>
    <t>CBC0007</t>
  </si>
  <si>
    <t>B C Appliances</t>
  </si>
  <si>
    <t>CBH0192</t>
  </si>
  <si>
    <t>Bhaia Electronics And Electricals</t>
  </si>
  <si>
    <t>CCH0353</t>
  </si>
  <si>
    <t>Chandan Associates</t>
  </si>
  <si>
    <t>CCH1021</t>
  </si>
  <si>
    <t>Chopra Sales Corporation</t>
  </si>
  <si>
    <t>CCI0082</t>
  </si>
  <si>
    <t>City Trade Links</t>
  </si>
  <si>
    <t>CDA0101</t>
  </si>
  <si>
    <t>Damani Vidyut Kendra Kharghar</t>
  </si>
  <si>
    <t>CDA0368</t>
  </si>
  <si>
    <t>Datti Vidut</t>
  </si>
  <si>
    <t>CDE0157</t>
  </si>
  <si>
    <t>Delight Electric Co.</t>
  </si>
  <si>
    <t>CDE0169</t>
  </si>
  <si>
    <t>DEEPAK ELECTRICALS</t>
  </si>
  <si>
    <t>CDE0751</t>
  </si>
  <si>
    <t>Deccan Associates</t>
  </si>
  <si>
    <t>CDH0002</t>
  </si>
  <si>
    <t>Dhruva Electricals</t>
  </si>
  <si>
    <t>CDI1263</t>
  </si>
  <si>
    <t>DIVINE TECHNO</t>
  </si>
  <si>
    <t>CDU0046</t>
  </si>
  <si>
    <t>Durga Electricals</t>
  </si>
  <si>
    <t>CDU0080</t>
  </si>
  <si>
    <t>Durga Emporium</t>
  </si>
  <si>
    <t>CEX0177</t>
  </si>
  <si>
    <t>Excel Electro Empire</t>
  </si>
  <si>
    <t>CEZ0004</t>
  </si>
  <si>
    <t>Ezzy Electricals</t>
  </si>
  <si>
    <t>CFI0013</t>
  </si>
  <si>
    <t>Fine Enterprises</t>
  </si>
  <si>
    <t>CGA0006</t>
  </si>
  <si>
    <t>Garodia Enterprises</t>
  </si>
  <si>
    <t>CGA0241</t>
  </si>
  <si>
    <t>Garg Electricals</t>
  </si>
  <si>
    <t>CGA0307</t>
  </si>
  <si>
    <t>Garg Electrical (India)</t>
  </si>
  <si>
    <t>CGM0030</t>
  </si>
  <si>
    <t>Gms Tradelink Private Limited</t>
  </si>
  <si>
    <t>CGO0221</t>
  </si>
  <si>
    <t>Goodwill electricals</t>
  </si>
  <si>
    <t>CGO0385</t>
  </si>
  <si>
    <t>CGO0401</t>
  </si>
  <si>
    <t>Goel Home Appliances</t>
  </si>
  <si>
    <t>CGS0074</t>
  </si>
  <si>
    <t>GS ENTERPRISES</t>
  </si>
  <si>
    <t>CGU0249</t>
  </si>
  <si>
    <t>Good Luck Electric Stores</t>
  </si>
  <si>
    <t>CHA1401</t>
  </si>
  <si>
    <t>Hanuman Agencies</t>
  </si>
  <si>
    <t>CHA8198</t>
  </si>
  <si>
    <t>Hari Enterprises</t>
  </si>
  <si>
    <t>CHV0008</t>
  </si>
  <si>
    <t>H Vision Electrotrade</t>
  </si>
  <si>
    <t>CID0023</t>
  </si>
  <si>
    <t>Ideal Home Appliances</t>
  </si>
  <si>
    <t>CIN2146</t>
  </si>
  <si>
    <t>Indresh And Sons</t>
  </si>
  <si>
    <t>CIN2284</t>
  </si>
  <si>
    <t>Indian Trading Company</t>
  </si>
  <si>
    <t>CIS0044</t>
  </si>
  <si>
    <t>ISHWAR ELECTRICALS</t>
  </si>
  <si>
    <t>CIS0052</t>
  </si>
  <si>
    <t>Ishwar Electric Works</t>
  </si>
  <si>
    <t>CJA0579</t>
  </si>
  <si>
    <t>Jai Brothers</t>
  </si>
  <si>
    <t>CJA1052</t>
  </si>
  <si>
    <t>Janvi Trading Co</t>
  </si>
  <si>
    <t>CJA1624</t>
  </si>
  <si>
    <t>JAI MATA ELECTRONICS</t>
  </si>
  <si>
    <t>CJB0029</t>
  </si>
  <si>
    <t>Jbm</t>
  </si>
  <si>
    <t>CJI0133</t>
  </si>
  <si>
    <t>Jindal Electric and Hardware</t>
  </si>
  <si>
    <t>CJI0201</t>
  </si>
  <si>
    <t>Jindal &amp; Co</t>
  </si>
  <si>
    <t>CJO0127</t>
  </si>
  <si>
    <t>JOULE ENTERPRISE</t>
  </si>
  <si>
    <t>CJS0057</t>
  </si>
  <si>
    <t>J.S. Solartech India Private Limite</t>
  </si>
  <si>
    <t>CJY0010</t>
  </si>
  <si>
    <t>Jyoti Radio and Electricals</t>
  </si>
  <si>
    <t>CKA0650</t>
  </si>
  <si>
    <t xml:space="preserve">Kailash Electricals </t>
  </si>
  <si>
    <t>CKA0745</t>
  </si>
  <si>
    <t>Kapoor Electricals</t>
  </si>
  <si>
    <t>CKA0782</t>
  </si>
  <si>
    <t>Kapoor Lites</t>
  </si>
  <si>
    <t>CKA0783</t>
  </si>
  <si>
    <t>Kaushal Electricals</t>
  </si>
  <si>
    <t>CKE0314</t>
  </si>
  <si>
    <t>KESAR ENTERPRISES</t>
  </si>
  <si>
    <t>CKI0086</t>
  </si>
  <si>
    <t>Kiran Cables And Electricals</t>
  </si>
  <si>
    <t>CKO0157</t>
  </si>
  <si>
    <t>Kospi Tradlink</t>
  </si>
  <si>
    <t>CKR0551</t>
  </si>
  <si>
    <t>KRISHNAM ELECTRO MART</t>
  </si>
  <si>
    <t>CLA0835</t>
  </si>
  <si>
    <t>Lakshmi Priya Trader</t>
  </si>
  <si>
    <t>CLI0344</t>
  </si>
  <si>
    <t>Light Emporium Pvt Ltd.</t>
  </si>
  <si>
    <t>CLN0004</t>
  </si>
  <si>
    <t>LNBERA&amp; CO.</t>
  </si>
  <si>
    <t>CMA0649</t>
  </si>
  <si>
    <t>Manish Enterprises</t>
  </si>
  <si>
    <t>CMA0786</t>
  </si>
  <si>
    <t>Madhukar Electricals co</t>
  </si>
  <si>
    <t>CMA1353</t>
  </si>
  <si>
    <t>Madavana Electronics And Home Appli</t>
  </si>
  <si>
    <t>CMA1563</t>
  </si>
  <si>
    <t>Mahalaxmi Marketing</t>
  </si>
  <si>
    <t>CMA1582</t>
  </si>
  <si>
    <t>Maa Ganga Enterprises</t>
  </si>
  <si>
    <t>CMA2507</t>
  </si>
  <si>
    <t>Maa Sachchiyay Enterprises</t>
  </si>
  <si>
    <t>CMA2662</t>
  </si>
  <si>
    <t>Madhvi Enterprise</t>
  </si>
  <si>
    <t>CME0135</t>
  </si>
  <si>
    <t>Mehul Agencies</t>
  </si>
  <si>
    <t>CME1107</t>
  </si>
  <si>
    <t>Metro E Marttt</t>
  </si>
  <si>
    <t>CMI0083</t>
  </si>
  <si>
    <t>Mittal Machinary Store</t>
  </si>
  <si>
    <t>CMI0310</t>
  </si>
  <si>
    <t>Milan Solar</t>
  </si>
  <si>
    <t>CMI0408</t>
  </si>
  <si>
    <t>Midukky Enterprises</t>
  </si>
  <si>
    <t>CMO0129</t>
  </si>
  <si>
    <t>Mohta Enterprises</t>
  </si>
  <si>
    <t>CMO0360</t>
  </si>
  <si>
    <t>Monika Enterprises</t>
  </si>
  <si>
    <t>CMO0430</t>
  </si>
  <si>
    <t>Motabhai Electronics</t>
  </si>
  <si>
    <t>CMO0550</t>
  </si>
  <si>
    <t>Mohan Marketing</t>
  </si>
  <si>
    <t>CMS0156</t>
  </si>
  <si>
    <t>M S Kargil Trading Company</t>
  </si>
  <si>
    <t>CMU0367</t>
  </si>
  <si>
    <t>Mukesh Marketing</t>
  </si>
  <si>
    <t>CMU0481</t>
  </si>
  <si>
    <t>Multan Traders</t>
  </si>
  <si>
    <t>CNA0247</t>
  </si>
  <si>
    <t>Namrata Electricals</t>
  </si>
  <si>
    <t>CNA0956</t>
  </si>
  <si>
    <t>Nand Ganesh Enterprises</t>
  </si>
  <si>
    <t>CNA0995</t>
  </si>
  <si>
    <t>National Trading Company</t>
  </si>
  <si>
    <t>CNA1291</t>
  </si>
  <si>
    <t>NAYAL IMPEX</t>
  </si>
  <si>
    <t>CNE0183</t>
  </si>
  <si>
    <t>CNE0765</t>
  </si>
  <si>
    <t>Nelloor Home Shoppe</t>
  </si>
  <si>
    <t>CNE1279</t>
  </si>
  <si>
    <t>NEW TECH SOLAR</t>
  </si>
  <si>
    <t>CNI0488</t>
  </si>
  <si>
    <t xml:space="preserve">Nivash Engeniring </t>
  </si>
  <si>
    <t>CNI0562</t>
  </si>
  <si>
    <t>Nilkanth Engineering</t>
  </si>
  <si>
    <t>COM0481</t>
  </si>
  <si>
    <t>Omicron Marketing</t>
  </si>
  <si>
    <t>CPA0280</t>
  </si>
  <si>
    <t>Pandey Electricals</t>
  </si>
  <si>
    <t>CPA0292</t>
  </si>
  <si>
    <t>Paragon Electricals Pvt.Ltd.</t>
  </si>
  <si>
    <t>CPA0456</t>
  </si>
  <si>
    <t>Paras Enterprises</t>
  </si>
  <si>
    <t>CPA0702</t>
  </si>
  <si>
    <t>Parvati Enterprises</t>
  </si>
  <si>
    <t>CPA0931</t>
  </si>
  <si>
    <t>Padmashree House</t>
  </si>
  <si>
    <t>CPA0965</t>
  </si>
  <si>
    <t>Parth Electric And Home Appliancies</t>
  </si>
  <si>
    <t>CPG0018</t>
  </si>
  <si>
    <t>Pg Electricals And Pipes</t>
  </si>
  <si>
    <t>CPP0010</t>
  </si>
  <si>
    <t>P.P. Elektro Power</t>
  </si>
  <si>
    <t>CPR0185</t>
  </si>
  <si>
    <t>Premier Electricals</t>
  </si>
  <si>
    <t>CPR1722</t>
  </si>
  <si>
    <t>PROXSUN</t>
  </si>
  <si>
    <t>CPS0003</t>
  </si>
  <si>
    <t>P.S. Vaidyanath And Sons</t>
  </si>
  <si>
    <t>CPU0093</t>
  </si>
  <si>
    <t>PURUSHOTTAM DAS DHORIBHAI AND CO</t>
  </si>
  <si>
    <t>CRA0703</t>
  </si>
  <si>
    <t>Rajendra Trading Company</t>
  </si>
  <si>
    <t>CRA0812</t>
  </si>
  <si>
    <t>Rajeshree Ventures</t>
  </si>
  <si>
    <t>CRA1867</t>
  </si>
  <si>
    <t xml:space="preserve">Ramakrishna electricals </t>
  </si>
  <si>
    <t>CRA2232</t>
  </si>
  <si>
    <t>Rass Heavy Electricals Private</t>
  </si>
  <si>
    <t>CRA2307</t>
  </si>
  <si>
    <t>RAGHAV RENEWABLE ENERGY INDUSTRIES</t>
  </si>
  <si>
    <t>CRA2335</t>
  </si>
  <si>
    <t>RAHI SOLAR SOLUTION PRIVATE LIMITED</t>
  </si>
  <si>
    <t>CSA0468</t>
  </si>
  <si>
    <t>Sandeep Cables</t>
  </si>
  <si>
    <t>CSA1084</t>
  </si>
  <si>
    <t>Satguru Agencies</t>
  </si>
  <si>
    <t>CSA2426</t>
  </si>
  <si>
    <t>Samkit Corporations</t>
  </si>
  <si>
    <t>CSH0779</t>
  </si>
  <si>
    <t>Shree Traders</t>
  </si>
  <si>
    <t>CSH1527</t>
  </si>
  <si>
    <t>Shri Salasar Digital Private Limite</t>
  </si>
  <si>
    <t>CSH1813</t>
  </si>
  <si>
    <t>SHREENATH AND AGRAWAL ENT</t>
  </si>
  <si>
    <t>CSH1881</t>
  </si>
  <si>
    <t>Shree Krushna Electrics</t>
  </si>
  <si>
    <t>CSH2344</t>
  </si>
  <si>
    <t xml:space="preserve">Shri Rama &amp; Company </t>
  </si>
  <si>
    <t>CSH3108</t>
  </si>
  <si>
    <t>Shree Ji Sales</t>
  </si>
  <si>
    <t>CSH3873</t>
  </si>
  <si>
    <t>Shalabh India Ltd</t>
  </si>
  <si>
    <t>CSH4366</t>
  </si>
  <si>
    <t>SHREE SHYAM DISTRIBUTORS</t>
  </si>
  <si>
    <t>CSO0436</t>
  </si>
  <si>
    <t>Solar India</t>
  </si>
  <si>
    <t>CSO0534</t>
  </si>
  <si>
    <t>SOLARIOUS ENERGIES PVT LTD</t>
  </si>
  <si>
    <t>CSO0540</t>
  </si>
  <si>
    <t>SOLAR SHOPPEE</t>
  </si>
  <si>
    <t>CSO0556</t>
  </si>
  <si>
    <t>SOURI TRADING CO</t>
  </si>
  <si>
    <t>CSR0896</t>
  </si>
  <si>
    <t>Sri Lakshmi Electrical &amp; Hardware</t>
  </si>
  <si>
    <t>CSR0897</t>
  </si>
  <si>
    <t>Rajyalakshmi Marketing</t>
  </si>
  <si>
    <t>CSR1227</t>
  </si>
  <si>
    <t>Sreejith Traders</t>
  </si>
  <si>
    <t>CSR6494</t>
  </si>
  <si>
    <t>SRI RANI AGENCIES</t>
  </si>
  <si>
    <t>CSS6013</t>
  </si>
  <si>
    <t>S.s Jindal &amp; Company</t>
  </si>
  <si>
    <t>CSU0003</t>
  </si>
  <si>
    <t>Sugan Enterprises</t>
  </si>
  <si>
    <t>CSU0428</t>
  </si>
  <si>
    <t>Suhani Cables</t>
  </si>
  <si>
    <t>CSU0622</t>
  </si>
  <si>
    <t>Subhash Electricals</t>
  </si>
  <si>
    <t>CSU1092</t>
  </si>
  <si>
    <t>Sunergy Power</t>
  </si>
  <si>
    <t>CSU1176</t>
  </si>
  <si>
    <t>Suntech Lighting Co</t>
  </si>
  <si>
    <t>CSU1437</t>
  </si>
  <si>
    <t>Sunshree Solar</t>
  </si>
  <si>
    <t>CSU1504</t>
  </si>
  <si>
    <t>Sunseed Power India Private Limited</t>
  </si>
  <si>
    <t>CSU1516</t>
  </si>
  <si>
    <t>Sudhanva Enterprises</t>
  </si>
  <si>
    <t>CSU1539</t>
  </si>
  <si>
    <t>Super Spares</t>
  </si>
  <si>
    <t>CSW0296</t>
  </si>
  <si>
    <t>CTA0574</t>
  </si>
  <si>
    <t>TATSAT NRGS</t>
  </si>
  <si>
    <t>CTH0312</t>
  </si>
  <si>
    <t>The Electrify Shop</t>
  </si>
  <si>
    <t>CTH0493</t>
  </si>
  <si>
    <t>The Indian Electric Company</t>
  </si>
  <si>
    <t>CTH0610</t>
  </si>
  <si>
    <t>THE FAN HUB</t>
  </si>
  <si>
    <t>CTH0635</t>
  </si>
  <si>
    <t>THE GRAND BHARAI MAHAL</t>
  </si>
  <si>
    <t>CTI0135</t>
  </si>
  <si>
    <t>Tirupati Electrify Shops P. Ltd.</t>
  </si>
  <si>
    <t>CTR0496</t>
  </si>
  <si>
    <t>TRAVANCORE SECURITY SYSTEMS INDIA PRIVAT</t>
  </si>
  <si>
    <t>CTU0028</t>
  </si>
  <si>
    <t>Tulsi Electricals</t>
  </si>
  <si>
    <t>CUM0069</t>
  </si>
  <si>
    <t>Umesh Enterprises</t>
  </si>
  <si>
    <t>CUM0085</t>
  </si>
  <si>
    <t>Umiya Corporation</t>
  </si>
  <si>
    <t>CUN0424</t>
  </si>
  <si>
    <t>Universal Electric Solutions</t>
  </si>
  <si>
    <t>CUR0039</t>
  </si>
  <si>
    <t>Urja Corporation</t>
  </si>
  <si>
    <t>CVA0098</t>
  </si>
  <si>
    <t>Vadilal R Shah</t>
  </si>
  <si>
    <t>CVI0619</t>
  </si>
  <si>
    <t>Vishal Agency</t>
  </si>
  <si>
    <t>CVI0688</t>
  </si>
  <si>
    <t>VinayBabu Agencies</t>
  </si>
  <si>
    <t>CVI0716</t>
  </si>
  <si>
    <t>Vishnu Electricals</t>
  </si>
  <si>
    <t>CVI1457</t>
  </si>
  <si>
    <t>Vishuddh Traders</t>
  </si>
  <si>
    <t>CVR0082</t>
  </si>
  <si>
    <t>VRAJ ENTERPRISE</t>
  </si>
  <si>
    <t>CVS0022</t>
  </si>
  <si>
    <t>V Sunlight Trading Co.</t>
  </si>
  <si>
    <t>CYA0142</t>
  </si>
  <si>
    <t>YASH TRADING COMPANY</t>
  </si>
  <si>
    <t>Dine Out</t>
  </si>
  <si>
    <t>Kids Day Out</t>
  </si>
  <si>
    <t>Vikrant</t>
  </si>
  <si>
    <t>Jul`26</t>
  </si>
  <si>
    <t>COM0504</t>
  </si>
  <si>
    <t>OM ELECTRIC SALES</t>
  </si>
  <si>
    <t>CPU0249</t>
  </si>
  <si>
    <t>Pushpad Enterprises</t>
  </si>
  <si>
    <t>CSR0542</t>
  </si>
  <si>
    <t>Sri Vijaya Lakshmi Agencies</t>
  </si>
  <si>
    <t>CAD0002</t>
  </si>
  <si>
    <t>Adarsh Electricals</t>
  </si>
  <si>
    <t>CSI2286</t>
  </si>
  <si>
    <t>SIDH ENTERPRISES</t>
  </si>
  <si>
    <t>CMR0068</t>
  </si>
  <si>
    <t xml:space="preserve">MR Electric Corporation </t>
  </si>
  <si>
    <t>CDE0837</t>
  </si>
  <si>
    <t>Dewansh Marketing</t>
  </si>
  <si>
    <t>CGO0616</t>
  </si>
  <si>
    <t>Goyal Enterprises</t>
  </si>
  <si>
    <t>CSA1923</t>
  </si>
  <si>
    <t>Sangam Electrical</t>
  </si>
  <si>
    <t>CJK0121</t>
  </si>
  <si>
    <t>J K Agro Sales</t>
  </si>
  <si>
    <t>CKR0404</t>
  </si>
  <si>
    <t xml:space="preserve">Krishna Marketing </t>
  </si>
  <si>
    <t>CDE0807</t>
  </si>
  <si>
    <t>Deep Engineers</t>
  </si>
  <si>
    <t>CGU2396</t>
  </si>
  <si>
    <t>Gupta Agencies</t>
  </si>
  <si>
    <t>CAH0076</t>
  </si>
  <si>
    <t>Ahad Solartech</t>
  </si>
  <si>
    <t>CSH1125</t>
  </si>
  <si>
    <t>Shivashakti Traders</t>
  </si>
  <si>
    <t>CSH4726</t>
  </si>
  <si>
    <t>SHREEJI SOLAR &amp; SERVICES</t>
  </si>
  <si>
    <t>CNI0607</t>
  </si>
  <si>
    <t>NIYANSHI ENTERPRISES</t>
  </si>
  <si>
    <t>CSW0320</t>
  </si>
  <si>
    <t>SWARNIM ENTERPRISES</t>
  </si>
  <si>
    <t>CKA0486</t>
  </si>
  <si>
    <t>KAYSON TRADERS</t>
  </si>
  <si>
    <t>CPR1136</t>
  </si>
  <si>
    <t>Priya International</t>
  </si>
  <si>
    <t>CSI0116</t>
  </si>
  <si>
    <t>Sihotia Sales</t>
  </si>
  <si>
    <t>CLA0997</t>
  </si>
  <si>
    <t>Lakshita Enterprises</t>
  </si>
  <si>
    <t>CVA2429</t>
  </si>
  <si>
    <t>VASL ENTERPRISE</t>
  </si>
  <si>
    <t>CPI0132</t>
  </si>
  <si>
    <t>Pio Electricals</t>
  </si>
  <si>
    <t>CRA2242</t>
  </si>
  <si>
    <t>RAJESH TRADING COMPANY</t>
  </si>
  <si>
    <t>CJS0105</t>
  </si>
  <si>
    <t>J STAR TECHNOLOGIES</t>
  </si>
  <si>
    <t>CVR0081</t>
  </si>
  <si>
    <t>Vrindavan Hardware &amp; paint store</t>
  </si>
  <si>
    <t>CLA0113</t>
  </si>
  <si>
    <t xml:space="preserve">Luxmi Electric Sales </t>
  </si>
  <si>
    <t>CPR1021</t>
  </si>
  <si>
    <t>Pradeep Light House</t>
  </si>
  <si>
    <t>CDH0242</t>
  </si>
  <si>
    <t>Dhyani Enterprise</t>
  </si>
  <si>
    <t>CEX0017</t>
  </si>
  <si>
    <t>Excel Enterprises</t>
  </si>
  <si>
    <t>csu1728</t>
  </si>
  <si>
    <t>Suvarna Enterprises</t>
  </si>
  <si>
    <t>CAY0022</t>
  </si>
  <si>
    <t>Ayush Enterprises</t>
  </si>
  <si>
    <t>COM0120</t>
  </si>
  <si>
    <t>Om Prakash Power System (P) Ltd.</t>
  </si>
  <si>
    <t>CRA1005</t>
  </si>
  <si>
    <t>Ravi Enterprises</t>
  </si>
  <si>
    <t>CEL0298</t>
  </si>
  <si>
    <t>Electrical Hub</t>
  </si>
  <si>
    <t>CMA3057</t>
  </si>
  <si>
    <t>Mahalaxmi Electricals</t>
  </si>
  <si>
    <t>CAR0203</t>
  </si>
  <si>
    <t>A R Electro Power Pvt Ltd</t>
  </si>
  <si>
    <t>CRA2339</t>
  </si>
  <si>
    <t>RAJ ELECTRO HUB</t>
  </si>
  <si>
    <t>CBH0751</t>
  </si>
  <si>
    <t>Bhagwati Electricals</t>
  </si>
  <si>
    <t>CME1103</t>
  </si>
  <si>
    <t>Metro Trading Co.</t>
  </si>
  <si>
    <t>CSH4306</t>
  </si>
  <si>
    <t>Shiv Swaroop Electricals</t>
  </si>
  <si>
    <t>CMA1684</t>
  </si>
  <si>
    <t>Mahesh Electrical Agencies</t>
  </si>
  <si>
    <t>CHA8030</t>
  </si>
  <si>
    <t>Harish Sanitations</t>
  </si>
  <si>
    <t>CCA1169</t>
  </si>
  <si>
    <t>CABLE CONNECT</t>
  </si>
  <si>
    <t>CSS5961</t>
  </si>
  <si>
    <t>S.S. Agencies</t>
  </si>
  <si>
    <t>CSA0085</t>
  </si>
  <si>
    <t>Sanjay Electricals</t>
  </si>
  <si>
    <t>CBE0233</t>
  </si>
  <si>
    <t>Benipal Enterprises</t>
  </si>
  <si>
    <t>CAG0372</t>
  </si>
  <si>
    <t>Aggarwal Agencies</t>
  </si>
  <si>
    <t>CDH0136</t>
  </si>
  <si>
    <t>Dhanalaxmi Electrical</t>
  </si>
  <si>
    <t>CSH1926</t>
  </si>
  <si>
    <t>Shri Vijaylaxmi Enterprises</t>
  </si>
  <si>
    <t>CSR0851</t>
  </si>
  <si>
    <t>Sri Vasavi Enterprises</t>
  </si>
  <si>
    <t>CNA0550</t>
  </si>
  <si>
    <t>National Traders</t>
  </si>
  <si>
    <t>CAS0660</t>
  </si>
  <si>
    <t>Ashish Traders</t>
  </si>
  <si>
    <t>CQP0001</t>
  </si>
  <si>
    <t>Q Point Integrated Solutions</t>
  </si>
  <si>
    <t>CDI1281</t>
  </si>
  <si>
    <t>Digital Trading Com.</t>
  </si>
  <si>
    <t>CSR0355</t>
  </si>
  <si>
    <t>V MURALI</t>
  </si>
  <si>
    <t>CSA0109</t>
  </si>
  <si>
    <t>Sai Electricals</t>
  </si>
  <si>
    <t>CRO0177</t>
  </si>
  <si>
    <t>Royale Lights</t>
  </si>
  <si>
    <t>CDA0390</t>
  </si>
  <si>
    <t>DASHMESH ELECTRICALS</t>
  </si>
  <si>
    <t>CSU1057</t>
  </si>
  <si>
    <t>Sunpower Automation</t>
  </si>
  <si>
    <t>CSU0002</t>
  </si>
  <si>
    <t>Sudeep Enterprises</t>
  </si>
  <si>
    <t>CNA1140</t>
  </si>
  <si>
    <t>Nas Agencies</t>
  </si>
  <si>
    <t>CBH1186</t>
  </si>
  <si>
    <t>BHAVANI HARDWARE PAINTS &amp; ELECTRICA</t>
  </si>
  <si>
    <t>CSH4251</t>
  </si>
  <si>
    <t>Shiv Electric Experience Centre</t>
  </si>
  <si>
    <t>COC0015</t>
  </si>
  <si>
    <t>OCEAN ENTERPRISES</t>
  </si>
  <si>
    <t>CSA0232</t>
  </si>
  <si>
    <t>Samyak Sales</t>
  </si>
  <si>
    <t>CKA1188</t>
  </si>
  <si>
    <t>Kandarp Engineers</t>
  </si>
  <si>
    <t>CSR6497</t>
  </si>
  <si>
    <t>C.K.C. COMMUNICATIONS</t>
  </si>
  <si>
    <t>CRU0181</t>
  </si>
  <si>
    <t>Rudra Enterprisers</t>
  </si>
  <si>
    <t>CSR1385</t>
  </si>
  <si>
    <t>Sri Ganesh Mill Stores</t>
  </si>
  <si>
    <t>CBH0917</t>
  </si>
  <si>
    <t>Bharat Light Homes</t>
  </si>
  <si>
    <t>CKO0087</t>
  </si>
  <si>
    <t>Korde Electricals And Electronics P</t>
  </si>
  <si>
    <t>CBT0008</t>
  </si>
  <si>
    <t>B-2 Electricals And Suppliers</t>
  </si>
  <si>
    <t>CJJ0026</t>
  </si>
  <si>
    <t>J.J. ENTERPRISES</t>
  </si>
  <si>
    <t>CKU0257</t>
  </si>
  <si>
    <t>Kurbitte Enterprises</t>
  </si>
  <si>
    <t>CTS0023</t>
  </si>
  <si>
    <t>T.S.W. ENGINEERING</t>
  </si>
  <si>
    <t>CBA0585</t>
  </si>
  <si>
    <t>Baheti Electricals</t>
  </si>
  <si>
    <t>CBR0228</t>
  </si>
  <si>
    <t>Bright Enterprises</t>
  </si>
  <si>
    <t>CSR0061</t>
  </si>
  <si>
    <t>Sri Ganesh Agencies</t>
  </si>
  <si>
    <t>CSS5972</t>
  </si>
  <si>
    <t xml:space="preserve">SSY Distribution House LLP </t>
  </si>
  <si>
    <t>CBA0636</t>
  </si>
  <si>
    <t>Badola Trading Company</t>
  </si>
  <si>
    <t>CRK0382</t>
  </si>
  <si>
    <t>R K Enterprises</t>
  </si>
  <si>
    <t>CSH2407</t>
  </si>
  <si>
    <t>Shri Krishna Electricals</t>
  </si>
  <si>
    <t>CKA0712</t>
  </si>
  <si>
    <t>CBH1091</t>
  </si>
  <si>
    <t>Bhagirathi Traders</t>
  </si>
  <si>
    <t>CTU0086</t>
  </si>
  <si>
    <t>Tulsi Electricals And Switchgears</t>
  </si>
  <si>
    <t>CBH1233</t>
  </si>
  <si>
    <t>BHUVNESH CABLE HOUSE</t>
  </si>
  <si>
    <t>CKA0651</t>
  </si>
  <si>
    <t>Kanpur Electric Sales</t>
  </si>
  <si>
    <t>CBH0881</t>
  </si>
  <si>
    <t>Bhanu Agencies</t>
  </si>
  <si>
    <t>CHP0031</t>
  </si>
  <si>
    <t>H. P. Electrical</t>
  </si>
  <si>
    <t>CMA1296</t>
  </si>
  <si>
    <t>Maa Samaleswari Enterprises</t>
  </si>
  <si>
    <t>CPO0519</t>
  </si>
  <si>
    <t>Powertech Electricals</t>
  </si>
  <si>
    <t>CFU0110</t>
  </si>
  <si>
    <t>Future Energy</t>
  </si>
  <si>
    <t>CKA1085</t>
  </si>
  <si>
    <t>Kamna Traders</t>
  </si>
  <si>
    <t>CTR0349</t>
  </si>
  <si>
    <t>Trade Zone</t>
  </si>
  <si>
    <t>CKU0334</t>
  </si>
  <si>
    <t>KULBHUSHAN TRADE LINKS</t>
  </si>
  <si>
    <t>CBH1250</t>
  </si>
  <si>
    <t>BHAGWATI ELECTRICALS</t>
  </si>
  <si>
    <t>CLI0159</t>
  </si>
  <si>
    <t>Li-Tech Electric Trading Company</t>
  </si>
  <si>
    <t>CAM2713</t>
  </si>
  <si>
    <t>Ample Engineers</t>
  </si>
  <si>
    <t>CSU0876</t>
  </si>
  <si>
    <t>Super Electricals</t>
  </si>
  <si>
    <t>CSU0409</t>
  </si>
  <si>
    <t>Subhadra Electricals</t>
  </si>
  <si>
    <t>CMI0211</t>
  </si>
  <si>
    <t>M/S Mir Mart</t>
  </si>
  <si>
    <t>CKT0010</t>
  </si>
  <si>
    <t>M/S  K2 Home Solutions</t>
  </si>
  <si>
    <t>CAM2759</t>
  </si>
  <si>
    <t>AMG Energy</t>
  </si>
  <si>
    <t>CFR0038</t>
  </si>
  <si>
    <t>M/s Frontier Communications</t>
  </si>
  <si>
    <t>CHU0076</t>
  </si>
  <si>
    <t>M/s Hurra Traders</t>
  </si>
  <si>
    <t>CMI0242</t>
  </si>
  <si>
    <t>M/s Mir Trading Co</t>
  </si>
  <si>
    <t>CMA2759</t>
  </si>
  <si>
    <t>Mahalaxmi Sanitary &amp; Tiles</t>
  </si>
  <si>
    <t>CMR0024</t>
  </si>
  <si>
    <t>M R ELECTRONICS</t>
  </si>
  <si>
    <t>CNV0005</t>
  </si>
  <si>
    <t>NVN</t>
  </si>
  <si>
    <t>CAM0384</t>
  </si>
  <si>
    <t>AMIT SALES</t>
  </si>
  <si>
    <t>CBR0197</t>
  </si>
  <si>
    <t>BRIGHT HOME</t>
  </si>
  <si>
    <t>CAN0275</t>
  </si>
  <si>
    <t>ANAND TRADING CORPORATION</t>
  </si>
  <si>
    <t>CVI1295</t>
  </si>
  <si>
    <t>VIRAJ SALES</t>
  </si>
  <si>
    <t>CMA2823</t>
  </si>
  <si>
    <t>Maheshwari Ventures</t>
  </si>
  <si>
    <t>CJA1572</t>
  </si>
  <si>
    <t>JAGANNATH ELECTRICALS</t>
  </si>
  <si>
    <t>CWO0010</t>
  </si>
  <si>
    <t>Woodmans Associates</t>
  </si>
  <si>
    <t>CTR0427</t>
  </si>
  <si>
    <t>Trpahal Power India Private Limited</t>
  </si>
  <si>
    <t>CKR0035 </t>
  </si>
  <si>
    <t>Krishna Electrical Agencies </t>
  </si>
  <si>
    <t>CVK0070</t>
  </si>
  <si>
    <t>Vk Sales</t>
  </si>
  <si>
    <t>CNA0450</t>
  </si>
  <si>
    <t>Nakoda Electricals And General Supp</t>
  </si>
  <si>
    <t>CAG0158</t>
  </si>
  <si>
    <t>Agartala Marketing</t>
  </si>
  <si>
    <t>CSI0640</t>
  </si>
  <si>
    <t>Sindhu Traders</t>
  </si>
  <si>
    <t>CBH0103</t>
  </si>
  <si>
    <t>Bharati Enterprises</t>
  </si>
  <si>
    <t>CDU0087</t>
  </si>
  <si>
    <t>Dutta Enterprises</t>
  </si>
  <si>
    <t>CME0970</t>
  </si>
  <si>
    <t>Medha Enterprises</t>
  </si>
  <si>
    <t>CSA1067</t>
  </si>
  <si>
    <t>Sancheti Electrical</t>
  </si>
  <si>
    <t>CSH1602</t>
  </si>
  <si>
    <t>Shree Communication</t>
  </si>
  <si>
    <t>CAR0807</t>
  </si>
  <si>
    <t>Arora Enterprises</t>
  </si>
  <si>
    <t>CAR0005</t>
  </si>
  <si>
    <t>Arjun Lal Banwari Lal and Co Pvt.Ltd</t>
  </si>
  <si>
    <t>CSC0033</t>
  </si>
  <si>
    <t>SCM Distributors</t>
  </si>
  <si>
    <t>CAA0094</t>
  </si>
  <si>
    <t>Aastha Distributor</t>
  </si>
  <si>
    <t>CMO0616</t>
  </si>
  <si>
    <t>MOHAN MOBILES</t>
  </si>
  <si>
    <t>CSR5798</t>
  </si>
  <si>
    <t>Sri Sapthagiri Conveyors</t>
  </si>
  <si>
    <t>CLA1189</t>
  </si>
  <si>
    <t>Laxmi Traders</t>
  </si>
  <si>
    <t>CCI0126</t>
  </si>
  <si>
    <t>M/s City To Town Traders</t>
  </si>
  <si>
    <t>CVI1458</t>
  </si>
  <si>
    <t>VIVAN ENTERPRISES</t>
  </si>
  <si>
    <t>CSH4474</t>
  </si>
  <si>
    <t>SHRADDHAPREM ENTERPRISES</t>
  </si>
  <si>
    <t>CSH3702</t>
  </si>
  <si>
    <t>SHEMESH ENERGY PRIVATE LTD</t>
  </si>
  <si>
    <t>CCA1182</t>
  </si>
  <si>
    <t>CARMEL AGENCY</t>
  </si>
  <si>
    <t>CSH3324</t>
  </si>
  <si>
    <t>Shrilakshman Enterprises</t>
  </si>
  <si>
    <t>CAW0008</t>
  </si>
  <si>
    <t>AWADH ELECTRICALS</t>
  </si>
  <si>
    <t>CRA2246</t>
  </si>
  <si>
    <t>RAMA AUTO MOBILE</t>
  </si>
  <si>
    <t>COJ0016</t>
  </si>
  <si>
    <t>OJASYASHPRIYA INFRATECH</t>
  </si>
  <si>
    <t>CRA1660</t>
  </si>
  <si>
    <t>Rajindra Electronics</t>
  </si>
  <si>
    <t>CAK0259</t>
  </si>
  <si>
    <t>Akshat Enterprises</t>
  </si>
  <si>
    <t>CRA2347</t>
  </si>
  <si>
    <t>RAGHURAM SOLAR POWER GREEN ENERGY L</t>
  </si>
  <si>
    <t>CLE0040</t>
  </si>
  <si>
    <t>Lesol Solar LLP</t>
  </si>
  <si>
    <t>CAL1255</t>
  </si>
  <si>
    <t>Alrick Solar Private Limited</t>
  </si>
  <si>
    <t>CRK0525</t>
  </si>
  <si>
    <t>R. K.SONS</t>
  </si>
  <si>
    <t>CMU0461</t>
  </si>
  <si>
    <t>Murlidhar Electricals &amp;Plumbing Sho</t>
  </si>
  <si>
    <t>CFR0106</t>
  </si>
  <si>
    <t>Friends Electricals</t>
  </si>
  <si>
    <t>CFA0166</t>
  </si>
  <si>
    <t>FALAZ INDUSTRIES</t>
  </si>
  <si>
    <t>CAJ0104</t>
  </si>
  <si>
    <t>Ajay Tradecorporation Pvt. Ltd.</t>
  </si>
  <si>
    <t>CNA0517</t>
  </si>
  <si>
    <t>National Agencies</t>
  </si>
  <si>
    <t>CSH2010</t>
  </si>
  <si>
    <t>Shri Khatu Shyam Traders</t>
  </si>
  <si>
    <t>CSH3775</t>
  </si>
  <si>
    <t>Shaan Trading Co</t>
  </si>
  <si>
    <t>CMA2436</t>
  </si>
  <si>
    <t>Mariyam Distributors</t>
  </si>
  <si>
    <t>CVA0646</t>
  </si>
  <si>
    <t>Vaibhav Enterprises</t>
  </si>
  <si>
    <t>CJA1246</t>
  </si>
  <si>
    <t>Jains Galaxy</t>
  </si>
  <si>
    <t>CSR6445</t>
  </si>
  <si>
    <t>SRI RAJALAKSHMI TRADERS</t>
  </si>
  <si>
    <t>CNO0139</t>
  </si>
  <si>
    <t>Noble Infra Inc</t>
  </si>
  <si>
    <t>CJA1664</t>
  </si>
  <si>
    <t>JAGAT RAN &amp; SONS</t>
  </si>
  <si>
    <t>CTR0415</t>
  </si>
  <si>
    <t>TRIVENI HOUSE</t>
  </si>
  <si>
    <t>CSR6118</t>
  </si>
  <si>
    <t>SRI BALAJI ENTERPRIS</t>
  </si>
  <si>
    <t>CJA0566</t>
  </si>
  <si>
    <t>Jain Sons</t>
  </si>
  <si>
    <t>CBE0253</t>
  </si>
  <si>
    <t>BENGAL ELECTRIC STORES</t>
  </si>
  <si>
    <t>CSR0704</t>
  </si>
  <si>
    <t>Sri Vigneshwara Electricals</t>
  </si>
  <si>
    <t>CNE0801</t>
  </si>
  <si>
    <t>NECESSA TECHNOLOGIES</t>
  </si>
  <si>
    <t>CDO0156</t>
  </si>
  <si>
    <t>Doodi Buildcon</t>
  </si>
  <si>
    <t>CSO0449</t>
  </si>
  <si>
    <t>Sohomon Electronics</t>
  </si>
  <si>
    <t>CSH3224</t>
  </si>
  <si>
    <t>Shiv Electronics &amp; Electricals</t>
  </si>
  <si>
    <t>CPA0606</t>
  </si>
  <si>
    <t>Panazan Enterprises Private Limited</t>
  </si>
  <si>
    <t>CAK0233</t>
  </si>
  <si>
    <t>Akode Brothers</t>
  </si>
  <si>
    <t>CSU1629</t>
  </si>
  <si>
    <t>SUNIL ENTERPRISE</t>
  </si>
  <si>
    <t>CSA1223</t>
  </si>
  <si>
    <t>Sarthak Gallery</t>
  </si>
  <si>
    <t>CNA0552</t>
  </si>
  <si>
    <t>Navrang Electronics</t>
  </si>
  <si>
    <t>Dine out</t>
  </si>
  <si>
    <t>Photo shoot</t>
  </si>
  <si>
    <t>Health Check_Up</t>
  </si>
  <si>
    <t>Health check up</t>
  </si>
  <si>
    <t>Staycation</t>
  </si>
  <si>
    <t>Kids Online Classes</t>
  </si>
  <si>
    <t>Aug`26</t>
  </si>
  <si>
    <t>Grand Total</t>
  </si>
  <si>
    <t>Sum of STORY</t>
  </si>
  <si>
    <t>Name</t>
  </si>
  <si>
    <t>RM Wise Summary</t>
  </si>
  <si>
    <t>PAYMENT SPOC Wise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</si>
</sst>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0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rgb="FF1F497D"/>
      <name val="Verdana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"/>
    </font>
    <font>
      <sz val="11"/>
      <color rgb="FF000000"/>
      <name val="Aptos Narrow"/>
      <family val="2"/>
    </font>
    <font>
      <sz val="11"/>
      <name val="cal"/>
    </font>
    <font>
      <sz val="10"/>
      <color rgb="FF000000"/>
      <name val="cal"/>
    </font>
    <font>
      <sz val="12"/>
      <color rgb="FF000000"/>
      <name val="Calibri"/>
      <family val="2"/>
    </font>
    <font>
      <sz val="11"/>
      <color theme="1"/>
      <name val="cal"/>
    </font>
    <font>
      <sz val="12"/>
      <color rgb="FF000000"/>
      <name val="cal"/>
    </font>
    <font>
      <sz val="10"/>
      <color theme="1"/>
      <name val="Aptos Display"/>
      <family val="2"/>
      <scheme val="major"/>
    </font>
    <font>
      <sz val="10"/>
      <color rgb="FF000000"/>
      <name val="Calibri"/>
      <family val="2"/>
    </font>
    <font>
      <sz val="10"/>
      <color theme="1"/>
      <name val="cal"/>
    </font>
    <font>
      <sz val="1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11"/>
      <color rgb="FF000000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sz val="11"/>
      <color theme="1"/>
      <name val="Poppins"/>
    </font>
    <font>
      <b/>
      <sz val="11"/>
      <color theme="1"/>
      <name val="Poppins"/>
    </font>
    <font>
      <sz val="8"/>
      <name val="Aptos Narrow"/>
      <family val="2"/>
      <scheme val="minor"/>
    </font>
    <font>
      <b/>
      <sz val="11"/>
      <color theme="0"/>
      <name val="Poppins"/>
    </font>
    <font>
      <b/>
      <sz val="11"/>
      <name val="Poppins"/>
    </font>
    <font>
      <b/>
      <sz val="20"/>
      <color theme="3"/>
      <name val="Poppins Black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5" fillId="5" borderId="2" applyNumberFormat="0" applyAlignment="0" applyProtection="0">
      <alignment horizontal="left" vertical="center" indent="1"/>
    </xf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2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4" borderId="1" xfId="0" applyFont="1" applyFill="1" applyBorder="1" applyAlignment="1">
      <alignment horizontal="center" wrapText="1"/>
    </xf>
    <xf numFmtId="43" fontId="3" fillId="3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43" fontId="3" fillId="0" borderId="1" xfId="1" applyFont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" xfId="2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11" fillId="6" borderId="1" xfId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43" fontId="23" fillId="0" borderId="1" xfId="1" applyFont="1" applyBorder="1" applyAlignment="1">
      <alignment horizontal="center" vertical="center" wrapText="1"/>
    </xf>
    <xf numFmtId="43" fontId="22" fillId="0" borderId="1" xfId="1" applyFont="1" applyBorder="1" applyAlignment="1">
      <alignment horizontal="center" vertical="center"/>
    </xf>
    <xf numFmtId="0" fontId="0" fillId="10" borderId="1" xfId="0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wrapText="1"/>
    </xf>
    <xf numFmtId="0" fontId="0" fillId="0" borderId="0" xfId="0" pivotButton="1"/>
    <xf numFmtId="0" fontId="24" fillId="0" borderId="1" xfId="0" applyFont="1" applyBorder="1"/>
    <xf numFmtId="0" fontId="25" fillId="0" borderId="1" xfId="0" applyFont="1" applyBorder="1"/>
    <xf numFmtId="0" fontId="27" fillId="12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13" borderId="1" xfId="0" applyFont="1" applyFill="1" applyBorder="1"/>
    <xf numFmtId="0" fontId="29" fillId="14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SAPMemberCell" xfId="2" xr:uid="{6F152629-98F5-43F9-98BB-4D964EB4EC8A}"/>
  </cellStyles>
  <dxfs count="9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DB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h.S STORYEXP (MIS)" refreshedDate="46321.756980787039" createdVersion="8" refreshedVersion="8" minRefreshableVersion="3" recordCount="923" xr:uid="{BF463470-4CB0-4246-97F0-4E6384EDA533}">
  <cacheSource type="worksheet">
    <worksheetSource ref="A1:I924" sheet="Master"/>
  </cacheSource>
  <cacheFields count="9">
    <cacheField name="Months" numFmtId="0">
      <sharedItems count="5">
        <s v="Apr`26"/>
        <s v="May`26"/>
        <s v="Jun`26"/>
        <s v="Jul`26"/>
        <s v="Aug`26"/>
      </sharedItems>
    </cacheField>
    <cacheField name="Dealer Code" numFmtId="0">
      <sharedItems count="919">
        <s v="CIN0207"/>
        <s v="CNE0666"/>
        <s v="CRA1049"/>
        <s v="CIS0059"/>
        <s v="CSU1679"/>
        <s v="CRE0045"/>
        <s v="CNA0110"/>
        <s v="CBI0452"/>
        <s v="CSR6389"/>
        <s v="CBA2341"/>
        <s v="CPO0268"/>
        <s v="CPR0279"/>
        <s v="CPU0194"/>
        <s v="CRA0283"/>
        <s v="CAS0542"/>
        <s v="CJY0073"/>
        <s v="CPR0059"/>
        <s v="CDH0222"/>
        <s v="CMI0301"/>
        <s v="CKL0036"/>
        <s v="CNA1261"/>
        <s v="CMS0191"/>
        <s v="CSW0307"/>
        <s v="CRE2311"/>
        <s v="CAC0001"/>
        <s v="CRA0078"/>
        <s v="CTR0358"/>
        <s v="CRA0540"/>
        <s v="CSH4514"/>
        <s v="CNO0132"/>
        <s v="CAK0150"/>
        <s v="CHO0263"/>
        <s v="CSU1592"/>
        <s v="CRO0046"/>
        <s v="CLU0029"/>
        <s v="CLA0181"/>
        <s v="CMS0197"/>
        <s v="CGA0386"/>
        <s v="CKU0326"/>
        <s v="CNU0029"/>
        <s v="CMA2493"/>
        <s v="CEV0003"/>
        <s v="CKR0479"/>
        <s v="CRA0068"/>
        <s v="CBH0803"/>
        <s v="CTA0481"/>
        <s v="CSW0220"/>
        <s v="CMA3233"/>
        <s v="CLP0006"/>
        <s v="CVR0027"/>
        <s v="CAH0077"/>
        <s v="CSH3539"/>
        <s v="CSH1286"/>
        <s v="CNE0613"/>
        <s v="COM0373"/>
        <s v="CID0028"/>
        <s v="CPR0666"/>
        <s v="CYA0163"/>
        <s v="CAD0394"/>
        <s v="CSH0683"/>
        <s v="CBR0147"/>
        <s v="CBA0680"/>
        <s v="CRA2069"/>
        <s v="CDH0205"/>
        <s v="CRM0030"/>
        <s v="CAB0022"/>
        <s v="CSU0420"/>
        <s v="CME0120"/>
        <s v="CTA0268"/>
        <s v="CSH3002"/>
        <s v="CMA0228"/>
        <s v="CKR0051"/>
        <s v="CSU1380"/>
        <s v="CJI0204"/>
        <s v="CSA0307"/>
        <s v="CFO0054"/>
        <s v="CKW0019"/>
        <s v="CSA0838"/>
        <s v="CAN1103"/>
        <s v="CCR0298"/>
        <s v="CJK0035"/>
        <s v="CBA2210"/>
        <s v="CMO0161"/>
        <s v="CSR0612"/>
        <s v="CPR0433"/>
        <s v="CTA0449"/>
        <s v="CAS0672"/>
        <s v="CAN0334"/>
        <s v="CVA2389"/>
        <s v="CRA0321"/>
        <s v="CJA0572"/>
        <s v="CSH2926"/>
        <s v="CKP0025"/>
        <s v="CSH3021"/>
        <s v="CLT0013"/>
        <s v="CMA1427"/>
        <s v="CAM2690"/>
        <s v="CDE0826"/>
        <s v="CRA1558"/>
        <s v="CSG0015"/>
        <s v="CSM0106"/>
        <s v="CBR0174"/>
        <s v="CTU0082"/>
        <s v="CPE0346"/>
        <s v="CJA1446"/>
        <s v="CKR0149"/>
        <s v="CKA0176"/>
        <s v="CAK0229"/>
        <s v="CRI0298"/>
        <s v="CMM0052"/>
        <s v="CHI0142"/>
        <s v="CNA0004"/>
        <s v="CDH0215"/>
        <s v="CTH0338"/>
        <s v="CMI0365"/>
        <s v="CSA2372"/>
        <s v="CIN0047"/>
        <s v="CMA2433"/>
        <s v="CCI0108"/>
        <s v="CGO0501"/>
        <s v="CMP0044"/>
        <s v="CSA1815"/>
        <s v="CMA2328"/>
        <s v="COY0008"/>
        <s v="CHA8225"/>
        <s v="CMA2616"/>
        <s v="CGO0047"/>
        <s v="CAR0613"/>
        <s v="CTR0417"/>
        <s v="CNE0031"/>
        <s v="CBR0111"/>
        <s v="CRA2083"/>
        <s v="CSO0368"/>
        <s v="CBL0015"/>
        <s v="CTM0009"/>
        <s v="CVI1319"/>
        <s v="CBU0082"/>
        <s v="CNA0553"/>
        <s v="CGU2259"/>
        <s v="CMA2851"/>
        <s v="CMM0051"/>
        <s v="CMP0001"/>
        <s v="CGA0763"/>
        <s v="CAS0510"/>
        <s v="CSA0295"/>
        <s v="CGU2357"/>
        <s v="CSE1150"/>
        <s v="CCL0108"/>
        <s v="CMR0058"/>
        <s v="CBR0159"/>
        <s v="CTH0070"/>
        <s v="CBR0065"/>
        <s v="CMU0312"/>
        <s v="CMA3314"/>
        <s v="CVA0729"/>
        <s v="CPR0098"/>
        <s v="CRA1043"/>
        <s v="CSR0906"/>
        <s v="CGA0670"/>
        <s v="CSH3686"/>
        <s v="CMA2909"/>
        <s v="CKR0154"/>
        <s v="CAM0383"/>
        <s v="CJA1437"/>
        <s v="CSH3589"/>
        <s v="CME1136"/>
        <s v="CLA1097"/>
        <s v="CGO0336"/>
        <s v="CVI0542"/>
        <s v="CVI0873"/>
        <s v="CBA2402"/>
        <s v="CKH0151"/>
        <s v="CTR0488"/>
        <s v="CRA0427"/>
        <s v="CSL0005"/>
        <s v="CSI0492"/>
        <s v="CSH3804"/>
        <s v="CAV0003"/>
        <s v="CMA0641"/>
        <s v="CDE0132"/>
        <s v="CGN0013"/>
        <s v="CZA0016"/>
        <s v="CVA0055"/>
        <s v="CFA0007"/>
        <s v="CRC0013"/>
        <s v="CHY0025"/>
        <s v="CSH1317"/>
        <s v="CBH0257"/>
        <s v="CKU0112"/>
        <s v="CSE0101"/>
        <s v="CNE0301"/>
        <s v="CSH2074"/>
        <s v="CVA2387"/>
        <s v="CMK0002"/>
        <s v="CFI0078"/>
        <s v="CMA2600"/>
        <s v="CSA0723"/>
        <s v="CAD0390"/>
        <s v="CBM0018"/>
        <s v="CSH0019"/>
        <s v="CPU0002"/>
        <s v="CRA1339"/>
        <s v="CGL0166"/>
        <s v="CYO0049"/>
        <s v="CAN1106"/>
        <s v="CJA1190"/>
        <s v="CTA0470"/>
        <s v="CSH3605"/>
        <s v="CRA2063"/>
        <s v="CAK0009"/>
        <s v="CPA0966"/>
        <s v="CSU1387"/>
        <s v="CSR5914"/>
        <s v="CAA0223"/>
        <s v="CMA0338"/>
        <s v="CSK0001"/>
        <s v="CCM0024"/>
        <s v="CDC0007"/>
        <s v="CVI1274"/>
        <s v="CKU0002"/>
        <s v="CGA0506"/>
        <s v="CHA0992"/>
        <s v="CFR0037"/>
        <s v="CSR0183"/>
        <s v="CVA2413"/>
        <s v="CBA2316"/>
        <s v="CKI0187"/>
        <s v="CAN0555"/>
        <s v="CSU1004"/>
        <s v="CSH0136"/>
        <s v="CNA0104"/>
        <s v="CTI0066"/>
        <s v="CSH1570"/>
        <s v="CRO0286"/>
        <s v="CAB0042"/>
        <s v="CRA2299"/>
        <s v="CSH4343"/>
        <s v="CRA0855"/>
        <s v="CRA2275"/>
        <s v="CKU0113"/>
        <s v="CRA1330"/>
        <s v="CAR0715"/>
        <s v="CRA1336"/>
        <s v="CMA3113"/>
        <s v="CKU0097"/>
        <s v="CBH0171"/>
        <s v="CSU0140"/>
        <s v="CTH0463"/>
        <s v="CBI0014"/>
        <s v="CMA2799"/>
        <s v="CUL0027"/>
        <s v="CJH0029"/>
        <s v="CGI0041"/>
        <s v="CEL0179"/>
        <s v="CFA0108"/>
        <s v="CAM0467"/>
        <s v="CBR0075"/>
        <s v="CSU1244"/>
        <s v="CJY0092"/>
        <s v="CAB0139"/>
        <s v="CGA0342"/>
        <s v="CAA0220"/>
        <s v="CDK0001"/>
        <s v="CSH2035"/>
        <s v="CMA0933"/>
        <s v="CRE2391"/>
        <s v="CVI0545"/>
        <s v="CSK0501"/>
        <s v="CSI2274"/>
        <s v="CCB0012"/>
        <s v="CRS0021"/>
        <s v="CUK0001"/>
        <s v="CNE0804"/>
        <s v="CIM0007"/>
        <s v="CDS0015"/>
        <s v="CKI0109"/>
        <s v="CKR0152"/>
        <s v="CGU2366"/>
        <s v="CJK0045"/>
        <s v="CHA8132"/>
        <s v="CQU0026"/>
        <s v="CPR0811"/>
        <s v="CMA2597"/>
        <s v="CKH0236"/>
        <s v="CVI1258"/>
        <s v="CSA1348"/>
        <s v="CAM0613"/>
        <s v="CRA0639"/>
        <s v="CJA0611"/>
        <s v="CEL0635"/>
        <s v="CAT0063"/>
        <s v="CNE1141"/>
        <s v="CJY0055"/>
        <s v="CAM0375"/>
        <s v="CBR0195"/>
        <s v="CRA1613"/>
        <s v="CSA2472"/>
        <s v="CJJ0024"/>
        <s v="CAD0630"/>
        <s v="CHI0083"/>
        <s v="CNE1037"/>
        <s v="CRA0677"/>
        <s v="CUN0042"/>
        <s v="CMM0025"/>
        <s v="CLI0300"/>
        <s v="CKR0436 "/>
        <s v="CJI0245"/>
        <s v="CEM0125"/>
        <s v="CSH3891"/>
        <s v="CSH0701"/>
        <s v="CSU0821"/>
        <s v="CPI0176"/>
        <s v="CSP0007"/>
        <s v="CNE0588"/>
        <s v="CPA0760"/>
        <s v="CIM0048"/>
        <s v="CLI0035"/>
        <s v="CGA0584"/>
        <s v="CNA1282"/>
        <s v="CKO0212"/>
        <s v="CBH0019"/>
        <s v="CGA0837"/>
        <s v="CBH1045"/>
        <s v="CES0095"/>
        <s v="CNA1208"/>
        <s v="CJA0292"/>
        <s v="CTH0482 "/>
        <s v="CVE0497"/>
        <s v="CCH0485"/>
        <s v="CRA0822"/>
        <s v="CMA3026"/>
        <s v="CKI0001"/>
        <s v="CSR0840"/>
        <s v="CJA1462"/>
        <s v="CMA1694"/>
        <s v="COM0121"/>
        <s v="CDI1094"/>
        <s v="CVA0782"/>
        <s v="CGA0289"/>
        <s v="CGE0033 "/>
        <s v="CKH0189"/>
        <s v="CJS0074"/>
        <s v="CRA0861"/>
        <s v="CLE0060"/>
        <s v="CSP0869"/>
        <s v="CCI0091"/>
        <s v="CSS6055"/>
        <s v="CSH3959"/>
        <s v="CDE0720"/>
        <s v="CPR1088"/>
        <s v="CME0012"/>
        <s v="CAG0220"/>
        <s v="CAC0158"/>
        <s v="CGE0252"/>
        <s v="CVE0223"/>
        <s v="CAM2769"/>
        <s v="CNE1200"/>
        <s v="CSR5849"/>
        <s v="CMV0022"/>
        <s v="Cga0487"/>
        <s v="CSR1011"/>
        <s v="CRS0032"/>
        <s v="CSR0299"/>
        <s v="CME0919"/>
        <s v="CAM0050"/>
        <s v="CSH0022"/>
        <s v="CUT0099"/>
        <s v="CSE1006"/>
        <s v="CSK0101"/>
        <s v="CUK0016"/>
        <s v="CHI0139"/>
        <s v="CGS0050"/>
        <s v="CKR0043"/>
        <s v="CMA0357"/>
        <s v="CGO0033"/>
        <s v="CHI0096"/>
        <s v="CVA0738"/>
        <s v="CME1158"/>
        <s v="CMA1579"/>
        <s v="CDA0363"/>
        <s v="CAV0150"/>
        <s v="CSA0664"/>
        <s v="CDH0040"/>
        <s v="CSA0177"/>
        <s v="CGA0621"/>
        <s v="CWH0031"/>
        <s v="CRA0001"/>
        <s v="CKH0054"/>
        <s v="CGO0580"/>
        <s v="CAL1169"/>
        <s v="CVE0722"/>
        <s v="CRS0107"/>
        <s v="CSH2836"/>
        <s v="CIL0020"/>
        <s v="CAK0164"/>
        <s v="CAD0553"/>
        <s v="CMK0027"/>
        <s v="CKV0016"/>
        <s v="CNE0226"/>
        <s v="CTE0394"/>
        <s v="CSA0928"/>
        <s v="CVO0053"/>
        <s v="CMI0201"/>
        <s v="CSR0587"/>
        <s v="CAS0367"/>
        <s v="CRA1969"/>
        <s v="CPA0273"/>
        <s v="CRE1194"/>
        <s v="CKU0095"/>
        <s v="CSU1660"/>
        <s v="CBI0361"/>
        <s v="Csm0075"/>
        <s v="CAS0716"/>
        <s v="CJY0074"/>
        <s v="CPA0759"/>
        <s v="CTI0223"/>
        <s v="CEL0311"/>
        <s v="CCO0139"/>
        <s v="CKA1098"/>
        <s v="CSH3125"/>
        <s v="CMA2410"/>
        <s v="CSW0109"/>
        <s v="CSR0213"/>
        <s v="CSR0846"/>
        <s v="CPO0525/CPO0151"/>
        <s v="CKU0341"/>
        <s v="CPA0919"/>
        <s v="CAN1196"/>
        <s v="CUN0498"/>
        <s v="CJA1010"/>
        <s v="CDU0079"/>
        <s v="CIN0161"/>
        <s v="Cma0013"/>
        <s v="CRA2177"/>
        <s v="CBE0056 "/>
        <s v="CSH3232"/>
        <s v="CAN0331"/>
        <s v="CAS0547"/>
        <s v="CMA0191"/>
        <s v="CSR1295"/>
        <s v="CBA2569"/>
        <s v="CSA2377"/>
        <s v="CSI0495"/>
        <s v="CAG0244"/>
        <s v="CAL0007"/>
        <s v="Csa0009"/>
        <s v="CSU0131"/>
        <s v="CJA0307"/>
        <s v="CKA0144"/>
        <s v="Cas0125"/>
        <s v="CRA0705"/>
        <s v="CBN0009"/>
        <s v="CSA1112"/>
        <s v="CSA0318"/>
        <s v="CBH0563"/>
        <s v="CMA2782"/>
        <s v="CDI1192"/>
        <s v="CSH0909"/>
        <s v="CGA0376"/>
        <s v="CVI0042"/>
        <s v="CKA1012"/>
        <s v="CRB0020"/>
        <s v="Cse0097"/>
        <s v="CJS0097"/>
        <s v="CSR0093"/>
        <s v="CSR0467"/>
        <s v="CPR0769"/>
        <s v="COM0162"/>
        <s v="CSH2479"/>
        <s v="CUM0045"/>
        <s v="CBH0345"/>
        <s v="CSU1041"/>
        <s v="CAG0205"/>
        <s v="CSA1347"/>
        <s v="CGA0223"/>
        <s v="CMA1098"/>
        <s v="CMS0073"/>
        <s v="CDI0156"/>
        <s v="CMA0451"/>
        <s v="CHI0200"/>
        <s v="CHI0159"/>
        <s v="CKA0797"/>
        <s v="CPA0348"/>
        <s v="CSA1324"/>
        <s v="CSI0174"/>
        <s v="CST5996"/>
        <s v="CPE0401"/>
        <s v="CGL0050"/>
        <s v="CAJ0055"/>
        <s v="CMA0976"/>
        <s v="CPR0624"/>
        <s v="CAV0298"/>
        <s v="CMU0469"/>
        <s v="CGA0871"/>
        <s v="CKI0070"/>
        <s v="CSA0879"/>
        <s v="CAN0116"/>
        <s v="CNI0536"/>
        <s v="CSA0118"/>
        <s v="CRA2255"/>
        <s v="CSH0890"/>
        <s v="CHA0958"/>
        <s v="CGR0177"/>
        <s v="CSH0184"/>
        <s v="CCH0480"/>
        <s v="CKI0206"/>
        <s v="CRO0137"/>
        <s v="CSA1685"/>
        <s v="CKU0279"/>
        <s v="CAN1172"/>
        <s v="CAM2735"/>
        <s v="CCH0604"/>
        <s v="CSO0528"/>
        <s v="CHI0214"/>
        <s v="CBI0004"/>
        <s v="CNA0527"/>
        <s v="CBA2388"/>
        <s v="CMA2885"/>
        <s v="cmi0333"/>
        <s v="Cgo0540"/>
        <s v="CMD0023"/>
        <s v="CSH2026"/>
        <s v="CBP0003"/>
        <s v="CIN2030"/>
        <s v="CAD0672"/>
        <s v="CPR0899"/>
        <s v="CJJ0011"/>
        <s v="CBA0890"/>
        <s v="CBK0015"/>
        <s v="CCA0082"/>
        <s v="CGU2242"/>
        <s v="CSP0811"/>
        <s v="CRU0185"/>
        <s v="CAJ0126"/>
        <s v="CNA0595"/>
        <s v="CBA0753"/>
        <s v="CAL0069"/>
        <s v="CNE0851"/>
        <s v="CSU0086"/>
        <s v="CBE0024"/>
        <s v="CRB0005"/>
        <s v="CSH0925"/>
        <s v="Cik0001"/>
        <s v="CMK0063"/>
        <s v="CGU0027"/>
        <s v="CAS0387"/>
        <s v="CSA1326"/>
        <s v="CGA0285"/>
        <s v="CLA1102"/>
        <s v="CSH4267"/>
        <s v="CAM2620"/>
        <s v="CAG0283"/>
        <s v="CRK0436"/>
        <s v="CLO0102"/>
        <s v="CSH0187"/>
        <s v="CAD0502"/>
        <s v="CSR6404"/>
        <s v="CGA0236"/>
        <s v="CAL0196"/>
        <s v="CJM0066"/>
        <s v="CMO0422"/>
        <s v="CHI0030"/>
        <s v="CBA0872"/>
        <s v="CKI0061"/>
        <s v="CMM0005"/>
        <s v="CMM0024"/>
        <s v="CRA0963"/>
        <s v="CTR0413"/>
        <s v="CUR0033"/>
        <s v="CNE0218"/>
        <s v="CNE0599"/>
        <s v="CAB0152"/>
        <s v="CAD0658"/>
        <s v="CAG0027"/>
        <s v="CAG0209"/>
        <s v="CAG0337"/>
        <s v="CAM0276"/>
        <s v="CAM0371"/>
        <s v="CAN0276"/>
        <s v="CAN1077"/>
        <s v="CAN1231"/>
        <s v="CAR0155"/>
        <s v="CAR0564"/>
        <s v="CAR0600"/>
        <s v="CAR0904"/>
        <s v="CAS0708"/>
        <s v="CAU0090"/>
        <s v="CAV0145"/>
        <s v="CAY0012"/>
        <s v="CBA0253"/>
        <s v="CBC0007"/>
        <s v="CBH0192"/>
        <s v="CCH0353"/>
        <s v="CCH1021"/>
        <s v="CCI0082"/>
        <s v="CDA0101"/>
        <s v="CDA0368"/>
        <s v="CDE0157"/>
        <s v="CDE0169"/>
        <s v="CDE0751"/>
        <s v="CDH0002"/>
        <s v="CDI1263"/>
        <s v="CDU0046"/>
        <s v="CDU0080"/>
        <s v="CEX0177"/>
        <s v="CEZ0004"/>
        <s v="CFI0013"/>
        <s v="CGA0006"/>
        <s v="CGA0241"/>
        <s v="CGA0307"/>
        <s v="CGM0030"/>
        <s v="CGO0221"/>
        <s v="CGO0385"/>
        <s v="CGO0401"/>
        <s v="CGS0074"/>
        <s v="CGU0249"/>
        <s v="CHA1401"/>
        <s v="CHA8198"/>
        <s v="CHV0008"/>
        <s v="CID0023"/>
        <s v="CIN2146"/>
        <s v="CIN2284"/>
        <s v="CIS0044"/>
        <s v="CIS0052"/>
        <s v="CJA0579"/>
        <s v="CJA1052"/>
        <s v="CJA1624"/>
        <s v="CJB0029"/>
        <s v="CJI0133"/>
        <s v="CJI0201"/>
        <s v="CJO0127"/>
        <s v="CJS0057"/>
        <s v="CJY0010"/>
        <s v="CKA0650"/>
        <s v="CKA0745"/>
        <s v="CKA0782"/>
        <s v="CKA0783"/>
        <s v="CKE0314"/>
        <s v="CKI0086"/>
        <s v="CKO0157"/>
        <s v="CKR0551"/>
        <s v="CLA0835"/>
        <s v="CLI0344"/>
        <s v="CLN0004"/>
        <s v="CMA0649"/>
        <s v="CMA0786"/>
        <s v="CMA1353"/>
        <s v="CMA1563"/>
        <s v="CMA1582"/>
        <s v="CMA2507"/>
        <s v="CMA2662"/>
        <s v="CME0135"/>
        <s v="CME1107"/>
        <s v="CMI0083"/>
        <s v="CMI0310"/>
        <s v="CMI0408"/>
        <s v="CMO0129"/>
        <s v="CMO0360"/>
        <s v="CMO0430"/>
        <s v="CMO0550"/>
        <s v="CMS0156"/>
        <s v="CMU0367"/>
        <s v="CMU0481"/>
        <s v="CNA0247"/>
        <s v="CNA0956"/>
        <s v="CNA0995"/>
        <s v="CNA1291"/>
        <s v="CNE0183"/>
        <s v="CNE0765"/>
        <s v="CNE1279"/>
        <s v="CNI0488"/>
        <s v="CNI0562"/>
        <s v="COM0481"/>
        <s v="CPA0280"/>
        <s v="CPA0292"/>
        <s v="CPA0456"/>
        <s v="CPA0702"/>
        <s v="CPA0931"/>
        <s v="CPA0965"/>
        <s v="CPG0018"/>
        <s v="CPP0010"/>
        <s v="CPR0185"/>
        <s v="CPR1722"/>
        <s v="CPS0003"/>
        <s v="CPU0093"/>
        <s v="CRA0703"/>
        <s v="CRA0812"/>
        <s v="CRA1867"/>
        <s v="CRA2232"/>
        <s v="CRA2307"/>
        <s v="CRA2335"/>
        <s v="CSA0468"/>
        <s v="CSA1084"/>
        <s v="CSA2426"/>
        <s v="CSH0779"/>
        <s v="CSH1527"/>
        <s v="CSH1813"/>
        <s v="CSH1881"/>
        <s v="CSH2344"/>
        <s v="CSH3108"/>
        <s v="CSH3873"/>
        <s v="CSH4366"/>
        <s v="CSO0436"/>
        <s v="CSO0534"/>
        <s v="CSO0540"/>
        <s v="CSO0556"/>
        <s v="CSR0896"/>
        <s v="CSR0897"/>
        <s v="CSR1227"/>
        <s v="CSR6494"/>
        <s v="CSS6013"/>
        <s v="CSU0003"/>
        <s v="CSU0428"/>
        <s v="CSU0622"/>
        <s v="CSU1092"/>
        <s v="CSU1176"/>
        <s v="CSU1437"/>
        <s v="CSU1504"/>
        <s v="CSU1516"/>
        <s v="CSU1539"/>
        <s v="CSW0296"/>
        <s v="CTA0574"/>
        <s v="CTH0312"/>
        <s v="CTH0493"/>
        <s v="CTH0610"/>
        <s v="CTH0635"/>
        <s v="CTI0135"/>
        <s v="CTR0496"/>
        <s v="CTU0028"/>
        <s v="CUM0069"/>
        <s v="CUM0085"/>
        <s v="CUN0424"/>
        <s v="CUR0039"/>
        <s v="CVA0098"/>
        <s v="CVI0619"/>
        <s v="CVI0688"/>
        <s v="CVI0716"/>
        <s v="CVI1457"/>
        <s v="CVR0082"/>
        <s v="CVS0022"/>
        <s v="CYA0142"/>
        <s v="COM0504"/>
        <s v="CPU0249"/>
        <s v="CSR0542"/>
        <s v="CAD0002"/>
        <s v="CSI2286"/>
        <s v="CMR0068"/>
        <s v="CDE0837"/>
        <s v="CGO0616"/>
        <s v="CSA1923"/>
        <s v="CJK0121"/>
        <s v="CKR0404"/>
        <s v="CDE0807"/>
        <s v="CGU2396"/>
        <s v="CAH0076"/>
        <s v="CSH1125"/>
        <s v="CSH4726"/>
        <s v="CNI0607"/>
        <s v="CSW0320"/>
        <s v="CKA0486"/>
        <s v="CPR1136"/>
        <s v="CSI0116"/>
        <s v="CLA0997"/>
        <s v="CVA2429"/>
        <s v="CPI0132"/>
        <s v="CRA2242"/>
        <s v="CJS0105"/>
        <s v="CVR0081"/>
        <s v="CLA0113"/>
        <s v="CPR1021"/>
        <s v="CDH0242"/>
        <s v="CEX0017"/>
        <s v="csu1728"/>
        <s v="CAY0022"/>
        <s v="COM0120"/>
        <s v="CRA1005"/>
        <s v="CEL0298"/>
        <s v="CMA3057"/>
        <s v="CAR0203"/>
        <s v="CRA2339"/>
        <s v="CBH0751"/>
        <s v="CME1103"/>
        <s v="CSH4306"/>
        <s v="CMA1684"/>
        <s v="CHA8030"/>
        <s v="CCA1169"/>
        <s v="CSS5961"/>
        <s v="CSA0085"/>
        <s v="CBE0233"/>
        <s v="CAG0372"/>
        <s v="CDH0136"/>
        <s v="CSH1926"/>
        <s v="CSR0851"/>
        <s v="CNA0550"/>
        <s v="CAS0660"/>
        <s v="CQP0001"/>
        <s v="CDI1281"/>
        <s v="CSR0355"/>
        <s v="CSA0109"/>
        <s v="CRO0177"/>
        <s v="CDA0390"/>
        <s v="CSU1057"/>
        <s v="CSU0002"/>
        <s v="CNA1140"/>
        <s v="CBH1186"/>
        <s v="CSH4251"/>
        <s v="COC0015"/>
        <s v="CSA0232"/>
        <s v="CKA1188"/>
        <s v="CSR6497"/>
        <s v="CRU0181"/>
        <s v="CSR1385"/>
        <s v="CBH0917"/>
        <s v="CKO0087"/>
        <s v="CBT0008"/>
        <s v="CJJ0026"/>
        <s v="CKU0257"/>
        <s v="CTS0023"/>
        <s v="CBA0585"/>
        <s v="CBR0228"/>
        <s v="CSR0061"/>
        <s v="CSS5972"/>
        <s v="CBA0636"/>
        <s v="CRK0382"/>
        <s v="CSH2407"/>
        <s v="CKA0712"/>
        <s v="CBH1091"/>
        <s v="CTU0086"/>
        <s v="CBH1233"/>
        <s v="CKA0651"/>
        <s v="CBH0881"/>
        <s v="CHP0031"/>
        <s v="CMA1296"/>
        <s v="CPO0519"/>
        <s v="CFU0110"/>
        <s v="CKA1085"/>
        <s v="CTR0349"/>
        <s v="CKU0334"/>
        <s v="CBH1250"/>
        <s v="CLI0159"/>
        <s v="CAM2713"/>
        <s v="CSU0876"/>
        <s v="CSU0409"/>
        <s v="CMI0211"/>
        <s v="CKT0010"/>
        <s v="CAM2759"/>
        <s v="CFR0038"/>
        <s v="CHU0076"/>
        <s v="CMI0242"/>
        <s v="CMA2759"/>
        <s v="CMR0024"/>
        <s v="CNV0005"/>
        <s v="CAM0384"/>
        <s v="CBR0197"/>
        <s v="CAN0275"/>
        <s v="CVI1295"/>
        <s v="CMA2823"/>
        <s v="CJA1572"/>
        <s v="CWO0010"/>
        <s v="CTR0427"/>
        <s v="CKR0035 "/>
        <s v="CVK0070"/>
        <s v="CNA0450"/>
        <s v="CAG0158"/>
        <s v="CSI0640"/>
        <s v="CBH0103"/>
        <s v="CDU0087"/>
        <s v="CME0970"/>
        <s v="CSA1067"/>
        <s v="CSH1602"/>
        <s v="CAR0807"/>
        <s v="CAR0005"/>
        <s v="CSC0033"/>
        <s v="CAA0094"/>
        <s v="CMO0616"/>
        <s v="CSR5798"/>
        <s v="CLA1189"/>
        <s v="CCI0126"/>
        <s v="CVI1458"/>
        <s v="CSH4474"/>
        <s v="CSH3702"/>
        <s v="CCA1182"/>
        <s v="CSH3324"/>
        <s v="CAW0008"/>
        <s v="CRA2246"/>
        <s v="COJ0016"/>
        <s v="CRA1660"/>
        <s v="CAK0259"/>
        <s v="CRA2347"/>
        <s v="CLE0040"/>
        <s v="CAL1255"/>
        <s v="CRK0525"/>
        <s v="CMU0461"/>
        <s v="CFR0106"/>
        <s v="CFA0166"/>
        <s v="CAJ0104"/>
        <s v="CNA0517"/>
        <s v="CSH2010"/>
        <s v="CSH3775"/>
        <s v="CMA2436"/>
        <s v="CVA0646"/>
        <s v="CJA1246"/>
        <s v="CSR6445"/>
        <s v="CNO0139"/>
        <s v="CJA1664"/>
        <s v="CTR0415"/>
        <s v="CSR6118"/>
        <s v="CJA0566"/>
        <s v="CBE0253"/>
        <s v="CSR0704"/>
        <s v="CNE0801"/>
        <s v="CDO0156"/>
        <s v="CSO0449"/>
        <s v="CSH3224"/>
        <s v="CPA0606"/>
        <s v="CAK0233"/>
        <s v="CSU1629"/>
        <s v="CSA1223"/>
        <s v="CNA0552"/>
      </sharedItems>
    </cacheField>
    <cacheField name="Firm Name" numFmtId="0">
      <sharedItems/>
    </cacheField>
    <cacheField name="Dine-Out/Salon/Spa/_x000a_Photoshoot/Concert" numFmtId="0">
      <sharedItems/>
    </cacheField>
    <cacheField name="RM" numFmtId="0">
      <sharedItems count="7">
        <s v="Ravinder"/>
        <s v="Simran"/>
        <s v="Aayushi"/>
        <s v="Parsun"/>
        <s v="Himanshu"/>
        <s v="Parsun " u="1"/>
        <s v="Simran " u="1"/>
      </sharedItems>
    </cacheField>
    <cacheField name="PAYMENT SPOC" numFmtId="0">
      <sharedItems containsBlank="1" count="13">
        <s v="Himanshu"/>
        <s v="Supriya"/>
        <s v="Parmeet"/>
        <s v="Simran"/>
        <s v="Rishabh"/>
        <s v="Ravinder"/>
        <s v="Bharti"/>
        <s v="Aayushi"/>
        <s v="Parsun"/>
        <s v="Vikrant"/>
        <s v="Aayushi " u="1"/>
        <m u="1"/>
        <s v="Ayushi" u="1"/>
      </sharedItems>
    </cacheField>
    <cacheField name="Amount Paid" numFmtId="43">
      <sharedItems containsSemiMixedTypes="0" containsString="0" containsNumber="1" minValue="0" maxValue="27331"/>
    </cacheField>
    <cacheField name="Billing Amount" numFmtId="43">
      <sharedItems containsSemiMixedTypes="0" containsString="0" containsNumber="1" minValue="0" maxValue="22294"/>
    </cacheField>
    <cacheField name="STORY" numFmtId="43">
      <sharedItems containsSemiMixedTypes="0" containsString="0" containsNumber="1" minValue="-60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3">
  <r>
    <x v="0"/>
    <s v="CIN0207"/>
    <s v="Indira Enterprisers"/>
    <s v="Salon"/>
    <x v="0"/>
    <x v="0"/>
    <n v="12600"/>
    <n v="12600"/>
    <n v="0"/>
  </r>
  <r>
    <x v="0"/>
    <s v="CNE0666"/>
    <s v="Newtec Industries"/>
    <s v="Salon"/>
    <x v="0"/>
    <x v="0"/>
    <n v="11000"/>
    <n v="11000"/>
    <n v="0"/>
  </r>
  <r>
    <x v="0"/>
    <s v="CRA1049"/>
    <s v="Rainbow Lights"/>
    <s v="Salon"/>
    <x v="1"/>
    <x v="1"/>
    <n v="9603"/>
    <n v="9803"/>
    <n v="200"/>
  </r>
  <r>
    <x v="0"/>
    <s v="CIS0059"/>
    <s v="Ishan Corporation"/>
    <s v="Dine-Out"/>
    <x v="0"/>
    <x v="0"/>
    <n v="4718"/>
    <n v="5418"/>
    <n v="700"/>
  </r>
  <r>
    <x v="0"/>
    <s v="CSU1679"/>
    <s v="SUN SPARKLE ENERGY"/>
    <s v="Spa"/>
    <x v="0"/>
    <x v="0"/>
    <n v="2000"/>
    <n v="4000"/>
    <n v="2000"/>
  </r>
  <r>
    <x v="0"/>
    <s v="CRE0045"/>
    <s v="Relax Agencies"/>
    <s v="Dine-Out"/>
    <x v="1"/>
    <x v="2"/>
    <n v="9558"/>
    <n v="9558"/>
    <n v="0"/>
  </r>
  <r>
    <x v="0"/>
    <s v="CNA0110"/>
    <s v="Navratan Electric Co."/>
    <s v="Dine-Out"/>
    <x v="1"/>
    <x v="3"/>
    <n v="5192"/>
    <n v="7792"/>
    <n v="2600"/>
  </r>
  <r>
    <x v="0"/>
    <s v="CBI0452"/>
    <s v="Bindra Electric Company"/>
    <s v="Salon"/>
    <x v="1"/>
    <x v="1"/>
    <n v="8702"/>
    <n v="9745"/>
    <n v="1043"/>
  </r>
  <r>
    <x v="0"/>
    <s v="CSR6389"/>
    <s v="Vishnu Enterprises"/>
    <s v="Dine-Out"/>
    <x v="1"/>
    <x v="2"/>
    <n v="3900"/>
    <n v="4900"/>
    <n v="1000"/>
  </r>
  <r>
    <x v="0"/>
    <s v="CBA2341"/>
    <s v="Bansal Traders"/>
    <s v="Salon"/>
    <x v="1"/>
    <x v="1"/>
    <n v="10000"/>
    <n v="10000"/>
    <n v="0"/>
  </r>
  <r>
    <x v="0"/>
    <s v="CPO0268"/>
    <s v="Pooja Electricals"/>
    <s v="Dine-Out"/>
    <x v="1"/>
    <x v="2"/>
    <n v="5535"/>
    <n v="5935"/>
    <n v="400"/>
  </r>
  <r>
    <x v="0"/>
    <s v="CPR0279"/>
    <s v="Prem Electricals"/>
    <s v="Dine-Out"/>
    <x v="1"/>
    <x v="2"/>
    <n v="6486"/>
    <n v="7549"/>
    <n v="1063"/>
  </r>
  <r>
    <x v="0"/>
    <s v="CPU0194"/>
    <s v="Pushpa Sales And Service"/>
    <s v="Salon"/>
    <x v="0"/>
    <x v="4"/>
    <n v="10868"/>
    <n v="10868"/>
    <n v="0"/>
  </r>
  <r>
    <x v="0"/>
    <s v="CRA0283"/>
    <s v="Rajasthan Electricials"/>
    <s v="Salon"/>
    <x v="1"/>
    <x v="1"/>
    <n v="9400"/>
    <n v="9800"/>
    <n v="400"/>
  </r>
  <r>
    <x v="0"/>
    <s v="CAS0542"/>
    <s v="ASK Corporation"/>
    <s v="Salon"/>
    <x v="1"/>
    <x v="1"/>
    <n v="10000"/>
    <n v="10000"/>
    <n v="0"/>
  </r>
  <r>
    <x v="0"/>
    <s v="CJY0073"/>
    <s v="Jyoti Electricals"/>
    <s v="Dine-Out"/>
    <x v="0"/>
    <x v="4"/>
    <n v="8256"/>
    <n v="8256"/>
    <n v="0"/>
  </r>
  <r>
    <x v="0"/>
    <s v="CPR0059"/>
    <s v="Priyanka Video And Electronics"/>
    <s v="Dine-Out"/>
    <x v="2"/>
    <x v="1"/>
    <n v="4648"/>
    <n v="6148"/>
    <n v="1500"/>
  </r>
  <r>
    <x v="0"/>
    <s v="CDH0222"/>
    <s v="Dhanani Distributor"/>
    <s v="Dine-Out"/>
    <x v="3"/>
    <x v="0"/>
    <n v="3107"/>
    <n v="4607"/>
    <n v="1500"/>
  </r>
  <r>
    <x v="0"/>
    <s v="CMI0301"/>
    <s v="Mittal Technoplast India"/>
    <s v="Dine-Out"/>
    <x v="0"/>
    <x v="0"/>
    <n v="7316"/>
    <n v="7816"/>
    <n v="500"/>
  </r>
  <r>
    <x v="0"/>
    <s v="CKL0036"/>
    <s v="Kloseven Royale"/>
    <s v="Dine-Out"/>
    <x v="3"/>
    <x v="0"/>
    <n v="8968"/>
    <n v="8968"/>
    <n v="0"/>
  </r>
  <r>
    <x v="0"/>
    <s v="CNA1261"/>
    <s v="NAVEEN BUILDMART"/>
    <s v="Dine-Out"/>
    <x v="2"/>
    <x v="1"/>
    <n v="972"/>
    <n v="1972"/>
    <n v="1000"/>
  </r>
  <r>
    <x v="0"/>
    <s v="CMS0191"/>
    <s v="M S Enterprises"/>
    <s v="Dine-Out"/>
    <x v="1"/>
    <x v="1"/>
    <n v="3219"/>
    <n v="4000"/>
    <n v="781"/>
  </r>
  <r>
    <x v="0"/>
    <s v="CSW0307"/>
    <s v="SWASTIK ENTERPRISES"/>
    <s v="Dine-Out"/>
    <x v="1"/>
    <x v="1"/>
    <n v="7785"/>
    <n v="8185"/>
    <n v="400"/>
  </r>
  <r>
    <x v="0"/>
    <s v="CRE2311"/>
    <s v="Reliable Enterprise"/>
    <s v="Dine-Out"/>
    <x v="0"/>
    <x v="4"/>
    <n v="1498"/>
    <n v="2998"/>
    <n v="1500"/>
  </r>
  <r>
    <x v="0"/>
    <s v="CAC0001"/>
    <s v="Active Enterprises"/>
    <s v="Dine-Out"/>
    <x v="0"/>
    <x v="4"/>
    <n v="3467"/>
    <n v="3900"/>
    <n v="433"/>
  </r>
  <r>
    <x v="0"/>
    <s v="CRA0078"/>
    <s v="Radhe Corporation"/>
    <s v="Spa"/>
    <x v="0"/>
    <x v="0"/>
    <n v="8820"/>
    <n v="9500"/>
    <n v="680"/>
  </r>
  <r>
    <x v="0"/>
    <s v="CTR0358"/>
    <s v="Trans India"/>
    <s v="Spa"/>
    <x v="0"/>
    <x v="0"/>
    <n v="8820"/>
    <n v="9500"/>
    <n v="680"/>
  </r>
  <r>
    <x v="0"/>
    <s v="CRA0540"/>
    <s v="Rakesh Enterprises"/>
    <s v="Dine-Out"/>
    <x v="1"/>
    <x v="2"/>
    <n v="5192"/>
    <n v="5192"/>
    <n v="0"/>
  </r>
  <r>
    <x v="0"/>
    <s v="CSH4514"/>
    <s v="SHREE SIRAYAM"/>
    <s v="Dine-Out"/>
    <x v="2"/>
    <x v="2"/>
    <n v="6782"/>
    <n v="7282"/>
    <n v="500"/>
  </r>
  <r>
    <x v="0"/>
    <s v="CNO0132"/>
    <s v="NORTHERN STAR ELECTRICAL COMPANY"/>
    <s v="Dine-Out"/>
    <x v="1"/>
    <x v="2"/>
    <n v="5192"/>
    <n v="5692"/>
    <n v="500"/>
  </r>
  <r>
    <x v="0"/>
    <s v="CAK0150"/>
    <s v="AK Engineer"/>
    <s v="Dine-Out"/>
    <x v="1"/>
    <x v="2"/>
    <n v="7269"/>
    <n v="7769"/>
    <n v="500"/>
  </r>
  <r>
    <x v="0"/>
    <s v="CHO0263"/>
    <s v="Hotstart Energy Private Limited"/>
    <s v="Dine-Out"/>
    <x v="1"/>
    <x v="2"/>
    <n v="7785"/>
    <n v="8185"/>
    <n v="400"/>
  </r>
  <r>
    <x v="0"/>
    <s v="CSU1592"/>
    <s v="Super Electric &amp; Co."/>
    <s v="Dine-Out"/>
    <x v="1"/>
    <x v="2"/>
    <n v="5535"/>
    <n v="5935"/>
    <n v="400"/>
  </r>
  <r>
    <x v="0"/>
    <s v="CRO0046"/>
    <s v="ROOP KUMAR STORE"/>
    <s v="Spa"/>
    <x v="2"/>
    <x v="1"/>
    <n v="5000"/>
    <n v="6500"/>
    <n v="1500"/>
  </r>
  <r>
    <x v="0"/>
    <s v="CLU0029"/>
    <s v="Luniya Brothers"/>
    <s v="Dine-Out"/>
    <x v="2"/>
    <x v="1"/>
    <n v="2079"/>
    <n v="3079"/>
    <n v="1000"/>
  </r>
  <r>
    <x v="0"/>
    <s v="CLA0181"/>
    <s v="Laxmi Store"/>
    <s v="Salon"/>
    <x v="1"/>
    <x v="1"/>
    <n v="9500"/>
    <n v="9750"/>
    <n v="250"/>
  </r>
  <r>
    <x v="0"/>
    <s v="CMS0197"/>
    <s v="M S SYSTEMS"/>
    <s v="Spa"/>
    <x v="2"/>
    <x v="1"/>
    <n v="9282"/>
    <n v="9682"/>
    <n v="400"/>
  </r>
  <r>
    <x v="0"/>
    <s v="CGA0386"/>
    <s v="Garg Electro"/>
    <s v="Salon"/>
    <x v="1"/>
    <x v="1"/>
    <n v="10000"/>
    <n v="10000"/>
    <n v="0"/>
  </r>
  <r>
    <x v="0"/>
    <s v="CKU0326"/>
    <s v="Kuwar traders"/>
    <s v="Salon"/>
    <x v="1"/>
    <x v="1"/>
    <n v="10000"/>
    <n v="10000"/>
    <n v="0"/>
  </r>
  <r>
    <x v="0"/>
    <s v="CNU0029"/>
    <s v="Numberdar Enterprises"/>
    <s v="Dine-Out"/>
    <x v="1"/>
    <x v="1"/>
    <n v="2513"/>
    <n v="3513"/>
    <n v="1000"/>
  </r>
  <r>
    <x v="0"/>
    <s v="CMA2493"/>
    <s v="Mangaldeep Electrical And Hardwares"/>
    <s v="Dine-Out"/>
    <x v="1"/>
    <x v="1"/>
    <n v="4720"/>
    <n v="6220"/>
    <n v="1500"/>
  </r>
  <r>
    <x v="0"/>
    <s v="CEV0003"/>
    <s v="EVERGREEN ELECTRIC &amp; HARDWARE"/>
    <s v="Dine-Out"/>
    <x v="2"/>
    <x v="1"/>
    <n v="7811"/>
    <n v="8411"/>
    <n v="600"/>
  </r>
  <r>
    <x v="0"/>
    <s v="CKR0479"/>
    <s v="Krishna Enterprises"/>
    <s v="Dine-Out"/>
    <x v="1"/>
    <x v="1"/>
    <n v="3656"/>
    <n v="4656"/>
    <n v="1000"/>
  </r>
  <r>
    <x v="0"/>
    <s v="CRA0068"/>
    <s v="Radio Electric Stores and Agencies"/>
    <s v="Dine-Out"/>
    <x v="3"/>
    <x v="0"/>
    <n v="7217"/>
    <n v="8217"/>
    <n v="1000"/>
  </r>
  <r>
    <x v="0"/>
    <s v="CBH0803"/>
    <s v="Bharat Trade And Industries"/>
    <s v="Salon"/>
    <x v="1"/>
    <x v="1"/>
    <n v="10000"/>
    <n v="10000"/>
    <n v="0"/>
  </r>
  <r>
    <x v="0"/>
    <s v="CTA0481"/>
    <s v="Taurus Enterprises"/>
    <s v="Dine-Out"/>
    <x v="0"/>
    <x v="5"/>
    <n v="7737"/>
    <n v="8737"/>
    <n v="1000"/>
  </r>
  <r>
    <x v="0"/>
    <s v="CSW0220"/>
    <s v="SWASTIK ENTERPRISES"/>
    <s v="Dine-Out"/>
    <x v="0"/>
    <x v="5"/>
    <n v="4870"/>
    <n v="9240"/>
    <n v="4370"/>
  </r>
  <r>
    <x v="0"/>
    <s v="CMA3233"/>
    <s v="MAXIMAS TECHNOLOGIES"/>
    <s v="Salon"/>
    <x v="1"/>
    <x v="1"/>
    <n v="10000"/>
    <n v="10000"/>
    <n v="0"/>
  </r>
  <r>
    <x v="0"/>
    <s v="CLP0006"/>
    <s v="LP Electricals"/>
    <s v="Dine-Out"/>
    <x v="3"/>
    <x v="0"/>
    <n v="2399"/>
    <n v="3499"/>
    <n v="1100"/>
  </r>
  <r>
    <x v="0"/>
    <s v="CVR0027"/>
    <s v="V R Corporation"/>
    <s v="Dine-Out"/>
    <x v="3"/>
    <x v="0"/>
    <n v="5988.5"/>
    <n v="6388"/>
    <n v="399.5"/>
  </r>
  <r>
    <x v="0"/>
    <s v="CAH0077"/>
    <s v="AHAMADULLAH AND SONS"/>
    <s v="Dine-Out"/>
    <x v="0"/>
    <x v="0"/>
    <n v="6000"/>
    <n v="6500"/>
    <n v="500"/>
  </r>
  <r>
    <x v="0"/>
    <s v="CSH3539"/>
    <s v="Shri Ram Sales Corporation"/>
    <s v="Dine-Out"/>
    <x v="0"/>
    <x v="0"/>
    <n v="2425"/>
    <n v="3825"/>
    <n v="1400"/>
  </r>
  <r>
    <x v="0"/>
    <s v="CSH1286"/>
    <s v="Shri Ram Sales Corporation"/>
    <s v="Dine-Out"/>
    <x v="0"/>
    <x v="0"/>
    <n v="2425"/>
    <n v="3120"/>
    <n v="695"/>
  </r>
  <r>
    <x v="0"/>
    <s v="CNE0613"/>
    <s v="New Umiya Electricals "/>
    <s v="Spa"/>
    <x v="0"/>
    <x v="4"/>
    <n v="9450"/>
    <n v="9450"/>
    <n v="0"/>
  </r>
  <r>
    <x v="0"/>
    <s v="COM0373"/>
    <s v="Omkar Enterprises"/>
    <s v="Dine-Out"/>
    <x v="1"/>
    <x v="1"/>
    <n v="4007"/>
    <n v="4707"/>
    <n v="700"/>
  </r>
  <r>
    <x v="0"/>
    <s v="CID0028"/>
    <s v="Ideal Electric Corporation"/>
    <s v="Dine-Out"/>
    <x v="0"/>
    <x v="0"/>
    <n v="6897.1"/>
    <n v="7897"/>
    <n v="999.89999999999964"/>
  </r>
  <r>
    <x v="0"/>
    <s v="CPR0666"/>
    <s v="Prakash Traders"/>
    <s v="Dine-Out"/>
    <x v="2"/>
    <x v="2"/>
    <n v="4508"/>
    <n v="5058"/>
    <n v="550"/>
  </r>
  <r>
    <x v="0"/>
    <s v="CYA0163"/>
    <s v="Yash traders"/>
    <s v="Dine-Out"/>
    <x v="1"/>
    <x v="2"/>
    <n v="4540"/>
    <n v="5540"/>
    <n v="1000"/>
  </r>
  <r>
    <x v="0"/>
    <s v="CAD0394"/>
    <s v="Adithya Marketing"/>
    <s v="Dine-Out"/>
    <x v="2"/>
    <x v="2"/>
    <n v="7248.15"/>
    <n v="7749"/>
    <n v="500.85000000000036"/>
  </r>
  <r>
    <x v="0"/>
    <s v="CSH0683"/>
    <s v="Shree Laxmi Electricals"/>
    <s v="Dine-Out"/>
    <x v="0"/>
    <x v="5"/>
    <n v="7080"/>
    <n v="7480"/>
    <n v="400"/>
  </r>
  <r>
    <x v="0"/>
    <s v="CBR0147"/>
    <s v="Bright Electro Mechanical"/>
    <s v="Salon"/>
    <x v="2"/>
    <x v="1"/>
    <n v="10000"/>
    <n v="10000"/>
    <n v="0"/>
  </r>
  <r>
    <x v="0"/>
    <s v="CBA0680"/>
    <s v="Bansal And Sons"/>
    <s v="Dine-Out"/>
    <x v="1"/>
    <x v="1"/>
    <n v="2900"/>
    <n v="3900"/>
    <n v="1000"/>
  </r>
  <r>
    <x v="0"/>
    <s v="CRA2069"/>
    <s v="Ranganadha Sai Agency"/>
    <s v="Dine-Out"/>
    <x v="1"/>
    <x v="3"/>
    <n v="2712"/>
    <n v="4411"/>
    <n v="1699"/>
  </r>
  <r>
    <x v="0"/>
    <s v="CDH0205"/>
    <s v="Dhruv Electricals"/>
    <s v="Dine-Out"/>
    <x v="1"/>
    <x v="3"/>
    <n v="6337"/>
    <n v="6837"/>
    <n v="500"/>
  </r>
  <r>
    <x v="0"/>
    <s v="CRM0030"/>
    <s v="RM Enterprises"/>
    <s v="Dine-Out"/>
    <x v="3"/>
    <x v="6"/>
    <n v="4413.2"/>
    <n v="5913"/>
    <n v="1499.8000000000002"/>
  </r>
  <r>
    <x v="0"/>
    <s v="CAB0022"/>
    <s v="Abirami Electricals"/>
    <s v="Dine-Out"/>
    <x v="1"/>
    <x v="2"/>
    <n v="3658"/>
    <n v="3958"/>
    <n v="300"/>
  </r>
  <r>
    <x v="0"/>
    <s v="CSU0420"/>
    <s v="Surya Agency"/>
    <s v="Dine-Out"/>
    <x v="2"/>
    <x v="7"/>
    <n v="2922"/>
    <n v="3922"/>
    <n v="1000"/>
  </r>
  <r>
    <x v="0"/>
    <s v="CME0120"/>
    <s v="Mehul Enterprises"/>
    <s v="Dine-Out"/>
    <x v="3"/>
    <x v="8"/>
    <n v="11493"/>
    <n v="11493"/>
    <n v="0"/>
  </r>
  <r>
    <x v="0"/>
    <s v="CTA0268"/>
    <s v="Talwar Electricals"/>
    <s v="Salon"/>
    <x v="1"/>
    <x v="1"/>
    <n v="10000"/>
    <n v="10000"/>
    <n v="0"/>
  </r>
  <r>
    <x v="0"/>
    <s v="CSH3002"/>
    <s v="Shaurav Enterprises"/>
    <s v="Spa"/>
    <x v="3"/>
    <x v="8"/>
    <n v="8000"/>
    <n v="9599"/>
    <n v="1599"/>
  </r>
  <r>
    <x v="0"/>
    <s v="CMA0228"/>
    <s v="Maruti Sales"/>
    <s v="Salon"/>
    <x v="1"/>
    <x v="1"/>
    <n v="10000"/>
    <n v="10000"/>
    <n v="0"/>
  </r>
  <r>
    <x v="0"/>
    <s v="CKR0051"/>
    <s v="Krishna Electronics"/>
    <s v="Spa"/>
    <x v="1"/>
    <x v="1"/>
    <n v="7000"/>
    <n v="7999"/>
    <n v="999"/>
  </r>
  <r>
    <x v="0"/>
    <s v="CSU1380"/>
    <s v="Sunrise Traders"/>
    <s v="Dine-Out"/>
    <x v="0"/>
    <x v="6"/>
    <n v="2342"/>
    <n v="3962"/>
    <n v="1620"/>
  </r>
  <r>
    <x v="0"/>
    <s v="CJI0204"/>
    <s v="Jigisha Electricals"/>
    <s v="Dine-Out"/>
    <x v="0"/>
    <x v="6"/>
    <n v="8846"/>
    <n v="8846"/>
    <n v="0"/>
  </r>
  <r>
    <x v="0"/>
    <s v="CSA0307"/>
    <s v="Samir Electricals"/>
    <s v="Spa"/>
    <x v="0"/>
    <x v="6"/>
    <n v="10915"/>
    <n v="10915"/>
    <n v="0"/>
  </r>
  <r>
    <x v="0"/>
    <s v="CFO0054"/>
    <s v="Foursun Solar"/>
    <s v="Dine-Out"/>
    <x v="0"/>
    <x v="6"/>
    <n v="2115"/>
    <n v="4415"/>
    <n v="2300"/>
  </r>
  <r>
    <x v="0"/>
    <s v="CKW0019"/>
    <s v="Kwality Smart Solutions"/>
    <s v="Dine-Out"/>
    <x v="3"/>
    <x v="6"/>
    <n v="5546"/>
    <n v="5546"/>
    <n v="0"/>
  </r>
  <r>
    <x v="0"/>
    <s v="CSA0838"/>
    <s v="Sainath Electricals and Infotech"/>
    <s v="Dine-Out"/>
    <x v="0"/>
    <x v="6"/>
    <n v="7959"/>
    <n v="8459"/>
    <n v="500"/>
  </r>
  <r>
    <x v="0"/>
    <s v="CAN1103"/>
    <s v="Anany Urja"/>
    <s v="Dine-Out"/>
    <x v="0"/>
    <x v="6"/>
    <n v="3537.64"/>
    <n v="4538"/>
    <n v="1000.3600000000001"/>
  </r>
  <r>
    <x v="0"/>
    <s v="CCR0298"/>
    <s v="C R Enterprises"/>
    <s v="Dine-Out"/>
    <x v="3"/>
    <x v="6"/>
    <n v="3774"/>
    <n v="3775"/>
    <n v="1"/>
  </r>
  <r>
    <x v="0"/>
    <s v="CJK0035"/>
    <s v="J. K. Electricals"/>
    <s v="Salon"/>
    <x v="3"/>
    <x v="8"/>
    <n v="9500"/>
    <n v="9825"/>
    <n v="325"/>
  </r>
  <r>
    <x v="0"/>
    <s v="CBA2210"/>
    <s v="BASANT ENGEENERING COMPANY"/>
    <s v="Dine-Out"/>
    <x v="2"/>
    <x v="2"/>
    <n v="7134"/>
    <n v="7734"/>
    <n v="600"/>
  </r>
  <r>
    <x v="0"/>
    <s v="CMO0161"/>
    <s v="MODERN FRET WORKS"/>
    <s v="Dine-Out"/>
    <x v="1"/>
    <x v="2"/>
    <n v="4720"/>
    <n v="5720"/>
    <n v="1000"/>
  </r>
  <r>
    <x v="0"/>
    <s v="CSR0612"/>
    <s v="Sri Balajee Electricals"/>
    <s v="Dine-Out"/>
    <x v="2"/>
    <x v="7"/>
    <n v="2574"/>
    <n v="4174"/>
    <n v="1600"/>
  </r>
  <r>
    <x v="0"/>
    <s v="CPR0433"/>
    <s v="Prashakti Electrical Pvt. Ltd."/>
    <s v="Spa"/>
    <x v="2"/>
    <x v="1"/>
    <n v="9360"/>
    <n v="9660"/>
    <n v="300"/>
  </r>
  <r>
    <x v="0"/>
    <s v="CTA0449"/>
    <s v="Tanmay Enterprises"/>
    <s v="Salon"/>
    <x v="1"/>
    <x v="1"/>
    <n v="10000"/>
    <n v="10000"/>
    <n v="0"/>
  </r>
  <r>
    <x v="0"/>
    <s v="CAS0672"/>
    <s v="A.s Electronics India"/>
    <s v="Dine-Out"/>
    <x v="1"/>
    <x v="1"/>
    <n v="8437"/>
    <n v="8437"/>
    <n v="0"/>
  </r>
  <r>
    <x v="0"/>
    <s v="CAN0334"/>
    <s v="Ankur Electricals"/>
    <s v="Dine-Out"/>
    <x v="3"/>
    <x v="6"/>
    <n v="6723.64"/>
    <n v="7823"/>
    <n v="1099.3599999999997"/>
  </r>
  <r>
    <x v="0"/>
    <s v="CVA2389"/>
    <s v="M/s Varunavi Electrical &amp; Hardware"/>
    <s v="Salon"/>
    <x v="2"/>
    <x v="6"/>
    <n v="7549.64"/>
    <n v="8550"/>
    <n v="1000.3599999999997"/>
  </r>
  <r>
    <x v="0"/>
    <s v="CRA0321"/>
    <s v="Rahul Cables Pvt. Ltd."/>
    <s v="Dine-Out"/>
    <x v="1"/>
    <x v="6"/>
    <n v="18231"/>
    <n v="18231"/>
    <n v="0"/>
  </r>
  <r>
    <x v="0"/>
    <s v="CJA0572"/>
    <s v="Jay Laxmi Electricals"/>
    <s v="Salon"/>
    <x v="0"/>
    <x v="6"/>
    <n v="8505"/>
    <n v="8955"/>
    <n v="450"/>
  </r>
  <r>
    <x v="0"/>
    <s v="CSH2926"/>
    <s v="Shree Wholesale Electricals"/>
    <s v="Dine-Out"/>
    <x v="2"/>
    <x v="7"/>
    <n v="3176"/>
    <n v="4676"/>
    <n v="1500"/>
  </r>
  <r>
    <x v="0"/>
    <s v="CKP0025"/>
    <s v="K.P Enterprises"/>
    <s v="Dine-Out"/>
    <x v="2"/>
    <x v="7"/>
    <n v="4292"/>
    <n v="6292"/>
    <n v="2000"/>
  </r>
  <r>
    <x v="0"/>
    <s v="CSH3021"/>
    <s v="Shanti Arya Industries"/>
    <s v="Dine-Out"/>
    <x v="0"/>
    <x v="0"/>
    <n v="5898"/>
    <n v="6498"/>
    <n v="600"/>
  </r>
  <r>
    <x v="0"/>
    <s v="CLT0013"/>
    <s v="L. T. Enterprise"/>
    <s v="Dine-Out"/>
    <x v="3"/>
    <x v="0"/>
    <n v="3163"/>
    <n v="4663"/>
    <n v="1500"/>
  </r>
  <r>
    <x v="0"/>
    <s v="CMA1427"/>
    <s v="Madhav Electric Corporation"/>
    <s v="Dine-Out"/>
    <x v="0"/>
    <x v="0"/>
    <n v="2136"/>
    <n v="3120"/>
    <n v="984"/>
  </r>
  <r>
    <x v="0"/>
    <s v="CAM2690"/>
    <s v="Amit Traders"/>
    <s v="Dine-Out"/>
    <x v="1"/>
    <x v="1"/>
    <n v="5524"/>
    <n v="6524"/>
    <n v="1000"/>
  </r>
  <r>
    <x v="0"/>
    <s v="CDE0826"/>
    <s v="Devi Electricals"/>
    <s v="Dine-Out"/>
    <x v="1"/>
    <x v="1"/>
    <n v="8042"/>
    <n v="8941"/>
    <n v="899"/>
  </r>
  <r>
    <x v="0"/>
    <s v="CRA1558"/>
    <s v="RAMRAJA SALES"/>
    <s v="Dine-Out"/>
    <x v="2"/>
    <x v="7"/>
    <n v="2149"/>
    <n v="3249"/>
    <n v="1100"/>
  </r>
  <r>
    <x v="0"/>
    <s v="CSG0015"/>
    <s v="S.Govindasamy And Sons"/>
    <s v="Dine-Out"/>
    <x v="1"/>
    <x v="2"/>
    <n v="10217"/>
    <n v="10217"/>
    <n v="0"/>
  </r>
  <r>
    <x v="0"/>
    <s v="CSM0106"/>
    <s v="SM Light House"/>
    <s v="Dine-Out"/>
    <x v="2"/>
    <x v="2"/>
    <n v="6998"/>
    <n v="7458"/>
    <n v="460"/>
  </r>
  <r>
    <x v="0"/>
    <s v="CBR0174"/>
    <s v="Bravura Enterprises"/>
    <s v="Dine-Out"/>
    <x v="2"/>
    <x v="2"/>
    <n v="7316"/>
    <n v="7816"/>
    <n v="500"/>
  </r>
  <r>
    <x v="0"/>
    <s v="CTU0082"/>
    <s v="Tulsi Electromech"/>
    <s v="Spa"/>
    <x v="0"/>
    <x v="0"/>
    <n v="9450"/>
    <n v="9750"/>
    <n v="300"/>
  </r>
  <r>
    <x v="0"/>
    <s v="CPE0346"/>
    <s v="Pershad Marketing Private Limited"/>
    <s v="Salon"/>
    <x v="0"/>
    <x v="0"/>
    <n v="10500"/>
    <n v="10500"/>
    <n v="0"/>
  </r>
  <r>
    <x v="0"/>
    <s v="CJA1446"/>
    <s v="Jadhav Electricals Private Limited"/>
    <s v="Spa"/>
    <x v="1"/>
    <x v="2"/>
    <n v="9082.5"/>
    <n v="9782"/>
    <n v="699.5"/>
  </r>
  <r>
    <x v="0"/>
    <s v="CKR0149"/>
    <s v="K. R. Distributors"/>
    <s v="Dine-Out"/>
    <x v="1"/>
    <x v="2"/>
    <n v="5660"/>
    <n v="6160"/>
    <n v="500"/>
  </r>
  <r>
    <x v="0"/>
    <s v="CKA0176"/>
    <s v="Kamlesh Electricals Store"/>
    <s v="Dine-Out"/>
    <x v="2"/>
    <x v="2"/>
    <n v="6370"/>
    <n v="6370"/>
    <n v="0"/>
  </r>
  <r>
    <x v="0"/>
    <s v="CKA0176"/>
    <s v="Kamlesh Electricals Store"/>
    <s v="Dine-Out"/>
    <x v="3"/>
    <x v="8"/>
    <n v="22294"/>
    <n v="22294"/>
    <n v="0"/>
  </r>
  <r>
    <x v="0"/>
    <s v="CAK0229"/>
    <s v="Akon India Sales Corporation"/>
    <s v="Dine-Out"/>
    <x v="1"/>
    <x v="2"/>
    <n v="5741"/>
    <n v="5741"/>
    <n v="0"/>
  </r>
  <r>
    <x v="0"/>
    <s v="CRI0298"/>
    <s v="Rivaan Electricals"/>
    <s v="Spa"/>
    <x v="1"/>
    <x v="6"/>
    <n v="7000"/>
    <n v="8743"/>
    <n v="1743"/>
  </r>
  <r>
    <x v="0"/>
    <s v="CMM0052"/>
    <s v="MM Lunkad Electricals"/>
    <s v="Spa"/>
    <x v="2"/>
    <x v="6"/>
    <n v="7896"/>
    <n v="8796"/>
    <n v="900"/>
  </r>
  <r>
    <x v="0"/>
    <s v="CHI0142"/>
    <s v="Hindustan Commercial Agency"/>
    <s v="Dine-Out"/>
    <x v="2"/>
    <x v="7"/>
    <n v="6503"/>
    <n v="7805"/>
    <n v="1302"/>
  </r>
  <r>
    <x v="0"/>
    <s v="CNA0004"/>
    <s v="Nand Kishore And Co."/>
    <s v="Dine-Out"/>
    <x v="1"/>
    <x v="2"/>
    <n v="5897.64"/>
    <n v="5897.64"/>
    <n v="0"/>
  </r>
  <r>
    <x v="0"/>
    <s v="CDH0215"/>
    <s v="Dhupar Brothers Trading Pvt Ltd"/>
    <s v="Spa"/>
    <x v="1"/>
    <x v="2"/>
    <n v="8100"/>
    <n v="9000"/>
    <n v="900"/>
  </r>
  <r>
    <x v="0"/>
    <s v="CTH0338"/>
    <s v="The Kable Point"/>
    <s v="Dine-Out"/>
    <x v="2"/>
    <x v="2"/>
    <n v="7528.4"/>
    <n v="8661"/>
    <n v="1132.6000000000004"/>
  </r>
  <r>
    <x v="0"/>
    <s v="CMI0365"/>
    <s v="Mishra Electricals"/>
    <s v="Dine-Out"/>
    <x v="3"/>
    <x v="8"/>
    <n v="7487"/>
    <n v="9158"/>
    <n v="1671"/>
  </r>
  <r>
    <x v="0"/>
    <s v="CSA2372"/>
    <s v="S.A Rather&amp; Sons"/>
    <s v="Dine-Out"/>
    <x v="3"/>
    <x v="8"/>
    <n v="9000"/>
    <n v="9500"/>
    <n v="500"/>
  </r>
  <r>
    <x v="0"/>
    <s v="CIN0047"/>
    <s v="India Supply Corpn"/>
    <s v="Spa"/>
    <x v="3"/>
    <x v="8"/>
    <n v="7000"/>
    <n v="8000"/>
    <n v="1000"/>
  </r>
  <r>
    <x v="0"/>
    <s v="CMA2433"/>
    <s v="Master Light House"/>
    <s v="Dine-Out"/>
    <x v="3"/>
    <x v="6"/>
    <n v="5188"/>
    <n v="6588"/>
    <n v="1400"/>
  </r>
  <r>
    <x v="0"/>
    <s v="CCI0108"/>
    <s v="City Electrical"/>
    <s v="Salon"/>
    <x v="2"/>
    <x v="0"/>
    <n v="10000"/>
    <n v="10000"/>
    <n v="0"/>
  </r>
  <r>
    <x v="0"/>
    <s v="CGO0501"/>
    <s v="Good will Electronics"/>
    <s v="Dine-Out"/>
    <x v="1"/>
    <x v="3"/>
    <n v="8989"/>
    <n v="9258"/>
    <n v="269"/>
  </r>
  <r>
    <x v="0"/>
    <s v="CMP0044"/>
    <s v="M P SALES CORPORATION"/>
    <s v="Spa"/>
    <x v="2"/>
    <x v="7"/>
    <n v="8024"/>
    <n v="9825"/>
    <n v="1801"/>
  </r>
  <r>
    <x v="0"/>
    <s v="CSA1815"/>
    <s v="Sagar Electricals"/>
    <s v="Dine-Out"/>
    <x v="3"/>
    <x v="8"/>
    <n v="6306"/>
    <n v="7670"/>
    <n v="1364"/>
  </r>
  <r>
    <x v="0"/>
    <s v="CMA2328"/>
    <s v="Makharia Machineries Private Limited"/>
    <s v="Spa"/>
    <x v="3"/>
    <x v="6"/>
    <n v="7900"/>
    <n v="9733"/>
    <n v="1833"/>
  </r>
  <r>
    <x v="0"/>
    <s v="COY0008"/>
    <s v="Oyster Technocon"/>
    <s v="Dine-Out"/>
    <x v="1"/>
    <x v="2"/>
    <n v="5535"/>
    <n v="5935"/>
    <n v="400"/>
  </r>
  <r>
    <x v="0"/>
    <s v="CHA8225"/>
    <s v="HARSHIL ENTERPRISE"/>
    <s v="Salon"/>
    <x v="0"/>
    <x v="0"/>
    <n v="10000"/>
    <n v="10000"/>
    <n v="0"/>
  </r>
  <r>
    <x v="0"/>
    <s v="CMA2616"/>
    <s v="Manibhadra Electricals Pvt Ltd"/>
    <s v="Salon"/>
    <x v="3"/>
    <x v="0"/>
    <n v="10000"/>
    <n v="10000"/>
    <n v="0"/>
  </r>
  <r>
    <x v="0"/>
    <s v="CGO0047"/>
    <s v="Goyal Electronics"/>
    <s v="Dine-Out"/>
    <x v="2"/>
    <x v="6"/>
    <n v="1092"/>
    <n v="2592"/>
    <n v="1500"/>
  </r>
  <r>
    <x v="0"/>
    <s v="CAR0613"/>
    <s v="A. R Enterprises"/>
    <s v="Salon"/>
    <x v="1"/>
    <x v="3"/>
    <n v="10778"/>
    <n v="10778"/>
    <n v="0"/>
  </r>
  <r>
    <x v="0"/>
    <s v="CTR0417"/>
    <s v="True Sales"/>
    <s v="Salon"/>
    <x v="2"/>
    <x v="0"/>
    <n v="9500"/>
    <n v="9800"/>
    <n v="300"/>
  </r>
  <r>
    <x v="0"/>
    <s v="CNE0031"/>
    <s v="New Modern Electricals and Electron"/>
    <s v="Dine-Out"/>
    <x v="3"/>
    <x v="6"/>
    <n v="2396"/>
    <n v="4196"/>
    <n v="1800"/>
  </r>
  <r>
    <x v="0"/>
    <s v="CBR0111"/>
    <s v="B R Electricals"/>
    <s v="Dine-Out"/>
    <x v="2"/>
    <x v="0"/>
    <n v="5888"/>
    <n v="5888"/>
    <n v="0"/>
  </r>
  <r>
    <x v="0"/>
    <s v="CRA2083"/>
    <s v="Raysteeds Energy Private Limited"/>
    <s v="Spa"/>
    <x v="3"/>
    <x v="0"/>
    <n v="6500"/>
    <n v="8644"/>
    <n v="2144"/>
  </r>
  <r>
    <x v="0"/>
    <s v="CSO0368"/>
    <s v="SoftLine Computers"/>
    <s v="Dine-Out"/>
    <x v="2"/>
    <x v="2"/>
    <n v="8968"/>
    <n v="8968"/>
    <n v="0"/>
  </r>
  <r>
    <x v="0"/>
    <s v="CBL0015"/>
    <s v="B N R Enterprises"/>
    <s v="Dine-Out"/>
    <x v="1"/>
    <x v="2"/>
    <n v="10000"/>
    <n v="10000"/>
    <n v="0"/>
  </r>
  <r>
    <x v="0"/>
    <s v="CTM0009"/>
    <s v="T M Distributors"/>
    <s v="Dine-Out"/>
    <x v="2"/>
    <x v="2"/>
    <n v="5426"/>
    <n v="5426"/>
    <n v="0"/>
  </r>
  <r>
    <x v="0"/>
    <s v="CVI1319"/>
    <s v="Vipul Traders Sanitary House"/>
    <s v="Dine-Out"/>
    <x v="3"/>
    <x v="6"/>
    <n v="6723.64"/>
    <n v="7423"/>
    <n v="699.35999999999967"/>
  </r>
  <r>
    <x v="0"/>
    <s v="CBU0082"/>
    <s v="Buildmax India"/>
    <s v="Spa"/>
    <x v="3"/>
    <x v="6"/>
    <n v="6798"/>
    <n v="8198"/>
    <n v="1400"/>
  </r>
  <r>
    <x v="0"/>
    <s v="CNA0553"/>
    <s v="Nandhiya Agencies"/>
    <s v="Dine-Out"/>
    <x v="0"/>
    <x v="6"/>
    <n v="5535"/>
    <n v="6835"/>
    <n v="1300"/>
  </r>
  <r>
    <x v="0"/>
    <s v="CGU2259"/>
    <s v="Gupta Pump"/>
    <s v="Dine-Out"/>
    <x v="2"/>
    <x v="6"/>
    <n v="7080"/>
    <n v="7080"/>
    <n v="0"/>
  </r>
  <r>
    <x v="0"/>
    <s v="CMA2851"/>
    <s v="Mahajan Sales Corp"/>
    <s v="Dine-Out"/>
    <x v="2"/>
    <x v="7"/>
    <n v="9776"/>
    <n v="9776"/>
    <n v="0"/>
  </r>
  <r>
    <x v="0"/>
    <s v="CMM0051"/>
    <s v="MM Lights"/>
    <s v="Dine-Out"/>
    <x v="0"/>
    <x v="0"/>
    <n v="1887.9"/>
    <n v="1887.9"/>
    <n v="0"/>
  </r>
  <r>
    <x v="0"/>
    <s v="CMP0001"/>
    <s v="M PATEL MART"/>
    <s v="Dine-Out"/>
    <x v="2"/>
    <x v="0"/>
    <n v="1886"/>
    <n v="3886"/>
    <n v="2000"/>
  </r>
  <r>
    <x v="0"/>
    <s v="CGA0763"/>
    <s v="Gayatri Enterprises"/>
    <s v="Dine-Out"/>
    <x v="3"/>
    <x v="6"/>
    <n v="8493.64"/>
    <n v="8493.64"/>
    <n v="0"/>
  </r>
  <r>
    <x v="0"/>
    <s v="CAS0510"/>
    <s v="Asha Electricals"/>
    <s v="Dine-Out"/>
    <x v="3"/>
    <x v="0"/>
    <n v="2703"/>
    <n v="3903"/>
    <n v="1200"/>
  </r>
  <r>
    <x v="0"/>
    <s v="CSA0295"/>
    <s v="Sangam App. And Electrical Ltd"/>
    <s v="Dine-Out"/>
    <x v="3"/>
    <x v="0"/>
    <n v="19831"/>
    <n v="21831"/>
    <n v="2000"/>
  </r>
  <r>
    <x v="0"/>
    <s v="CGU2357"/>
    <s v="Gujarat Electronics"/>
    <s v="Salon"/>
    <x v="0"/>
    <x v="6"/>
    <n v="9280"/>
    <n v="9680"/>
    <n v="400"/>
  </r>
  <r>
    <x v="0"/>
    <s v="CSE1150"/>
    <s v="Secure Electra Trade Links"/>
    <s v="Dine-Out"/>
    <x v="2"/>
    <x v="2"/>
    <n v="7358"/>
    <n v="7858"/>
    <n v="500"/>
  </r>
  <r>
    <x v="0"/>
    <s v="CCL0108"/>
    <s v="Classic Engineering Motions Private"/>
    <s v="Dine-Out"/>
    <x v="2"/>
    <x v="2"/>
    <n v="10000"/>
    <n v="10000"/>
    <n v="0"/>
  </r>
  <r>
    <x v="0"/>
    <s v="CMR0058"/>
    <s v="Mr Electric Traders"/>
    <s v="Dine-Out"/>
    <x v="3"/>
    <x v="8"/>
    <n v="10000"/>
    <n v="10000"/>
    <n v="0"/>
  </r>
  <r>
    <x v="0"/>
    <s v="CBR0159"/>
    <s v="Bright Electric"/>
    <s v="Dine-Out"/>
    <x v="3"/>
    <x v="6"/>
    <n v="2736"/>
    <n v="4872"/>
    <n v="2136"/>
  </r>
  <r>
    <x v="0"/>
    <s v="CTH0070"/>
    <s v="The Nutrone Electricals"/>
    <s v="Dine-Out"/>
    <x v="3"/>
    <x v="6"/>
    <n v="8697"/>
    <n v="10000"/>
    <n v="1303"/>
  </r>
  <r>
    <x v="0"/>
    <s v="CBR0065"/>
    <s v="British Engineering Co"/>
    <s v="Dine-Out"/>
    <x v="3"/>
    <x v="8"/>
    <n v="5981"/>
    <n v="7870"/>
    <n v="1889"/>
  </r>
  <r>
    <x v="0"/>
    <s v="CMU0312"/>
    <s v="Mukesh Electricals"/>
    <s v="Gym"/>
    <x v="1"/>
    <x v="0"/>
    <n v="17300"/>
    <n v="19300"/>
    <n v="2000"/>
  </r>
  <r>
    <x v="0"/>
    <s v="CMA3314"/>
    <s v="Manish And Sons"/>
    <s v="Dine-Out"/>
    <x v="2"/>
    <x v="6"/>
    <n v="5140"/>
    <n v="6340"/>
    <n v="1200"/>
  </r>
  <r>
    <x v="0"/>
    <s v="CVA0729"/>
    <s v="vashi Integrated Solution Ltd"/>
    <s v="Spa"/>
    <x v="3"/>
    <x v="8"/>
    <n v="7060"/>
    <n v="8360"/>
    <n v="1300"/>
  </r>
  <r>
    <x v="0"/>
    <s v="CPR0098"/>
    <s v="Pratham Electricals"/>
    <s v="Dine-Out"/>
    <x v="2"/>
    <x v="0"/>
    <n v="2245"/>
    <n v="4245"/>
    <n v="2000"/>
  </r>
  <r>
    <x v="0"/>
    <s v="CRA1043"/>
    <s v="Raju Electricals"/>
    <s v="Dine-Out"/>
    <x v="3"/>
    <x v="0"/>
    <n v="6582"/>
    <n v="7182"/>
    <n v="600"/>
  </r>
  <r>
    <x v="0"/>
    <s v="CSR0906"/>
    <s v="ri Ram Enterprises"/>
    <s v="Dine-Out"/>
    <x v="3"/>
    <x v="6"/>
    <n v="5340"/>
    <n v="5940"/>
    <n v="600"/>
  </r>
  <r>
    <x v="0"/>
    <s v="CGA0670"/>
    <s v="Ganesh  Electric Store"/>
    <s v="Salon"/>
    <x v="1"/>
    <x v="3"/>
    <n v="10000"/>
    <n v="10000"/>
    <n v="0"/>
  </r>
  <r>
    <x v="0"/>
    <s v="CSH3686"/>
    <s v="Shalimar Lights And Electricals"/>
    <s v="Salon"/>
    <x v="1"/>
    <x v="3"/>
    <n v="10000"/>
    <n v="10000"/>
    <n v="0"/>
  </r>
  <r>
    <x v="0"/>
    <s v="CMA2909"/>
    <s v="Mass Co"/>
    <s v="Spa"/>
    <x v="3"/>
    <x v="8"/>
    <n v="8190"/>
    <n v="9190"/>
    <n v="1000"/>
  </r>
  <r>
    <x v="0"/>
    <s v="CKR0154"/>
    <s v="Krishna Enterprises"/>
    <s v="Dine-Out"/>
    <x v="0"/>
    <x v="5"/>
    <n v="3000"/>
    <n v="3500"/>
    <n v="500"/>
  </r>
  <r>
    <x v="0"/>
    <s v="CAM0383"/>
    <s v="Amba Sales Corporation"/>
    <s v="Spa"/>
    <x v="1"/>
    <x v="3"/>
    <n v="8098"/>
    <n v="9098"/>
    <n v="1000"/>
  </r>
  <r>
    <x v="0"/>
    <s v="CJA1437"/>
    <s v="Jaspal Engennering Work"/>
    <s v="Dine-Out"/>
    <x v="2"/>
    <x v="7"/>
    <n v="4720"/>
    <n v="5120"/>
    <n v="400"/>
  </r>
  <r>
    <x v="0"/>
    <s v="CSH3589"/>
    <s v="Shraddha Electricals"/>
    <s v="Dine-Out"/>
    <x v="0"/>
    <x v="5"/>
    <n v="7077"/>
    <n v="7577"/>
    <n v="500"/>
  </r>
  <r>
    <x v="0"/>
    <s v="CME1136"/>
    <s v="METRO ELECTRICALS AND INDUSTRIAL AG"/>
    <s v="Spa"/>
    <x v="1"/>
    <x v="3"/>
    <n v="8000"/>
    <n v="9000"/>
    <n v="1000"/>
  </r>
  <r>
    <x v="0"/>
    <s v="CLA1097"/>
    <s v="LAKSHMI ELECTRICALS"/>
    <s v="Dine-Out"/>
    <x v="1"/>
    <x v="2"/>
    <n v="10679"/>
    <n v="17679"/>
    <n v="7000"/>
  </r>
  <r>
    <x v="0"/>
    <s v="CGO0336"/>
    <s v="Gokul Enterprises"/>
    <s v="Dine-Out"/>
    <x v="2"/>
    <x v="2"/>
    <n v="6134"/>
    <n v="8134"/>
    <n v="2000"/>
  </r>
  <r>
    <x v="0"/>
    <s v="CVI0542"/>
    <s v="Vishnuprem Electricals And Associates"/>
    <s v="Dine-Out"/>
    <x v="1"/>
    <x v="2"/>
    <n v="1518"/>
    <n v="2524"/>
    <n v="1006"/>
  </r>
  <r>
    <x v="0"/>
    <s v="CVI0873"/>
    <s v="Vindhyanchal Trade Link"/>
    <s v="Spa"/>
    <x v="2"/>
    <x v="7"/>
    <n v="8099"/>
    <n v="9099"/>
    <n v="1000"/>
  </r>
  <r>
    <x v="0"/>
    <s v="CBA2402"/>
    <s v="Bajaj Enterprises"/>
    <s v="Salon"/>
    <x v="0"/>
    <x v="6"/>
    <n v="10000"/>
    <n v="10000"/>
    <n v="0"/>
  </r>
  <r>
    <x v="0"/>
    <s v="CKH0151"/>
    <s v="Khanak System"/>
    <s v="Dine-Out"/>
    <x v="0"/>
    <x v="5"/>
    <n v="9436"/>
    <n v="9436"/>
    <n v="0"/>
  </r>
  <r>
    <x v="0"/>
    <s v="CTR0488"/>
    <s v="TRIO RENEWABLE"/>
    <s v="Spa"/>
    <x v="2"/>
    <x v="7"/>
    <n v="6163"/>
    <n v="9163"/>
    <n v="3000"/>
  </r>
  <r>
    <x v="0"/>
    <s v="CRA0427"/>
    <s v="Ramdeo Fans"/>
    <s v="Spa"/>
    <x v="3"/>
    <x v="8"/>
    <n v="15974"/>
    <n v="21974"/>
    <n v="6000"/>
  </r>
  <r>
    <x v="0"/>
    <s v="CSL0005"/>
    <s v="SLR Enterprises"/>
    <s v="Dine-Out"/>
    <x v="3"/>
    <x v="8"/>
    <n v="6364"/>
    <n v="10000"/>
    <n v="3636"/>
  </r>
  <r>
    <x v="0"/>
    <s v="CSI0492"/>
    <s v="Siva Krishna Enterprises"/>
    <s v="Dine-Out"/>
    <x v="1"/>
    <x v="6"/>
    <n v="6773"/>
    <n v="9442"/>
    <n v="2669"/>
  </r>
  <r>
    <x v="0"/>
    <s v="CSH3804"/>
    <s v="Shyam Ji Trading Company_x0009__x000a_"/>
    <s v="Salon"/>
    <x v="0"/>
    <x v="5"/>
    <n v="7380"/>
    <n v="9870"/>
    <n v="2490"/>
  </r>
  <r>
    <x v="0"/>
    <s v="CAV0003"/>
    <s v="AVINASH CABLES (I) PVT LT"/>
    <s v="Spa"/>
    <x v="1"/>
    <x v="3"/>
    <n v="9740"/>
    <n v="9740"/>
    <n v="0"/>
  </r>
  <r>
    <x v="0"/>
    <s v="CMA0641"/>
    <s v="Maithri Electric Co."/>
    <s v="Dine-Out"/>
    <x v="1"/>
    <x v="3"/>
    <n v="3847"/>
    <n v="7147"/>
    <n v="3300"/>
  </r>
  <r>
    <x v="0"/>
    <s v="CDE0132"/>
    <s v="Deep Electricals And Home Appliance"/>
    <s v="Salon"/>
    <x v="0"/>
    <x v="6"/>
    <n v="6450"/>
    <n v="9125"/>
    <n v="2675"/>
  </r>
  <r>
    <x v="0"/>
    <s v="CGN0013"/>
    <s v="GNA Motors Private Limited"/>
    <s v="Dine-Out"/>
    <x v="0"/>
    <x v="6"/>
    <n v="5898"/>
    <n v="5898"/>
    <n v="0"/>
  </r>
  <r>
    <x v="0"/>
    <s v="CZA0016"/>
    <s v="Zaveri Mehta And Company"/>
    <s v="Salon"/>
    <x v="3"/>
    <x v="0"/>
    <n v="19000"/>
    <n v="22000"/>
    <n v="3000"/>
  </r>
  <r>
    <x v="0"/>
    <s v="CVA0055"/>
    <s v="Vaibhav Lightronics"/>
    <s v="Spa"/>
    <x v="2"/>
    <x v="6"/>
    <n v="8339"/>
    <n v="9129"/>
    <n v="790"/>
  </r>
  <r>
    <x v="0"/>
    <s v="CFA0007"/>
    <s v="Fairdeal Electric Ware"/>
    <s v="Dine-Out"/>
    <x v="1"/>
    <x v="2"/>
    <n v="19057"/>
    <n v="21457"/>
    <n v="2400"/>
  </r>
  <r>
    <x v="0"/>
    <s v="CRC0013"/>
    <s v="RC Automation Services"/>
    <s v="Salon"/>
    <x v="1"/>
    <x v="3"/>
    <n v="7600"/>
    <n v="8500"/>
    <n v="900"/>
  </r>
  <r>
    <x v="0"/>
    <s v="CHY0025"/>
    <s v="Hygrid Solar Private Limited"/>
    <s v="Dine-Out"/>
    <x v="3"/>
    <x v="6"/>
    <n v="4481.6400000000003"/>
    <n v="4981"/>
    <n v="499.35999999999967"/>
  </r>
  <r>
    <x v="0"/>
    <s v="CSH1317"/>
    <s v="Shubham Traders"/>
    <s v="Salon"/>
    <x v="1"/>
    <x v="3"/>
    <n v="8000"/>
    <n v="8955"/>
    <n v="955"/>
  </r>
  <r>
    <x v="0"/>
    <s v="CBH0257"/>
    <s v="Bharat Vyapar"/>
    <s v="Dine-Out"/>
    <x v="1"/>
    <x v="2"/>
    <n v="8127"/>
    <n v="8727"/>
    <n v="600"/>
  </r>
  <r>
    <x v="0"/>
    <s v="CKU0112"/>
    <s v="Kumar Trading Company"/>
    <s v="Dine-Out"/>
    <x v="0"/>
    <x v="2"/>
    <n v="10000"/>
    <n v="10000"/>
    <n v="0"/>
  </r>
  <r>
    <x v="0"/>
    <s v="CSE0101"/>
    <s v="Seema Electricals"/>
    <s v="Dine-Out"/>
    <x v="2"/>
    <x v="2"/>
    <n v="6441"/>
    <n v="6841"/>
    <n v="400"/>
  </r>
  <r>
    <x v="0"/>
    <s v="CNE0301"/>
    <s v="Neminath Electricals"/>
    <s v="Dine-Out"/>
    <x v="1"/>
    <x v="2"/>
    <n v="6596.2"/>
    <n v="6596.2"/>
    <n v="0"/>
  </r>
  <r>
    <x v="0"/>
    <s v="CSH2074"/>
    <s v="Shivankar Electricals"/>
    <s v="Dine-Out"/>
    <x v="1"/>
    <x v="2"/>
    <n v="5843"/>
    <n v="5843"/>
    <n v="0"/>
  </r>
  <r>
    <x v="0"/>
    <s v="CVA2387"/>
    <s v="Vardhaman Electricals"/>
    <s v="Dine-Out"/>
    <x v="2"/>
    <x v="0"/>
    <n v="3643"/>
    <n v="4743"/>
    <n v="1100"/>
  </r>
  <r>
    <x v="0"/>
    <s v="CMK0002"/>
    <s v="M K Electricals"/>
    <s v="Dine-Out"/>
    <x v="3"/>
    <x v="8"/>
    <n v="13098"/>
    <n v="18098"/>
    <n v="5000"/>
  </r>
  <r>
    <x v="0"/>
    <s v="CFI0078"/>
    <s v="5 Star Agencies"/>
    <s v="Salon"/>
    <x v="1"/>
    <x v="3"/>
    <n v="9870"/>
    <n v="9870"/>
    <n v="0"/>
  </r>
  <r>
    <x v="0"/>
    <s v="CMA2600"/>
    <s v="Manali Computer House"/>
    <s v="Dine-Out"/>
    <x v="1"/>
    <x v="2"/>
    <n v="7928"/>
    <n v="7928"/>
    <n v="0"/>
  </r>
  <r>
    <x v="0"/>
    <s v="CSA0723"/>
    <s v="Sadhana Electric Store"/>
    <s v="Dine-Out"/>
    <x v="1"/>
    <x v="2"/>
    <n v="5540"/>
    <n v="8540"/>
    <n v="3000"/>
  </r>
  <r>
    <x v="0"/>
    <s v="CAD0390"/>
    <s v="Adhya Agency"/>
    <s v="Dine-Out"/>
    <x v="3"/>
    <x v="6"/>
    <n v="2236"/>
    <n v="4122"/>
    <n v="1886"/>
  </r>
  <r>
    <x v="0"/>
    <s v="CBM0018"/>
    <s v="B Mart "/>
    <s v="Dine-Out"/>
    <x v="2"/>
    <x v="6"/>
    <n v="7897"/>
    <n v="9197"/>
    <n v="1300"/>
  </r>
  <r>
    <x v="0"/>
    <s v="CSH0019"/>
    <s v="SHIV ELECTRIC AND TRADING COMPANY"/>
    <s v="Dine-Out"/>
    <x v="2"/>
    <x v="7"/>
    <n v="10000"/>
    <n v="10000"/>
    <n v="0"/>
  </r>
  <r>
    <x v="0"/>
    <s v="CPU0002"/>
    <s v="Purbanchal Hardware and Electricals"/>
    <s v="Dine-Out"/>
    <x v="1"/>
    <x v="3"/>
    <n v="5994"/>
    <n v="6994"/>
    <n v="1000"/>
  </r>
  <r>
    <x v="0"/>
    <s v="CRA1339"/>
    <s v="Raas Distributors"/>
    <s v="Dine-Out"/>
    <x v="0"/>
    <x v="5"/>
    <n v="4010"/>
    <n v="5410"/>
    <n v="1400"/>
  </r>
  <r>
    <x v="0"/>
    <s v="CGL0166"/>
    <s v="Globe Electrical"/>
    <s v="Dine-Out"/>
    <x v="2"/>
    <x v="7"/>
    <n v="8000"/>
    <n v="9000"/>
    <n v="1000"/>
  </r>
  <r>
    <x v="0"/>
    <s v="CYO0049"/>
    <s v="Youngster s Choice"/>
    <s v="Salon"/>
    <x v="0"/>
    <x v="5"/>
    <n v="21200"/>
    <n v="21200"/>
    <n v="0"/>
  </r>
  <r>
    <x v="0"/>
    <s v="CAN1106"/>
    <s v="Ank Solar Energy"/>
    <s v="Spa"/>
    <x v="0"/>
    <x v="0"/>
    <n v="4725"/>
    <n v="6925"/>
    <n v="2200"/>
  </r>
  <r>
    <x v="0"/>
    <s v="CJA1190"/>
    <s v="jagannath Electricals"/>
    <s v="Dine-Out"/>
    <x v="3"/>
    <x v="8"/>
    <n v="4832"/>
    <n v="6132"/>
    <n v="1300"/>
  </r>
  <r>
    <x v="0"/>
    <s v="CTA0470"/>
    <s v="Taj Iron"/>
    <s v="Dine-Out"/>
    <x v="3"/>
    <x v="6"/>
    <n v="12852"/>
    <n v="12852"/>
    <n v="0"/>
  </r>
  <r>
    <x v="0"/>
    <s v="CSH3605"/>
    <s v="Shivam Electricals"/>
    <s v="Dine-Out"/>
    <x v="1"/>
    <x v="2"/>
    <n v="8846"/>
    <n v="8846"/>
    <n v="0"/>
  </r>
  <r>
    <x v="0"/>
    <s v="CRA2063"/>
    <s v="Rachi Marketing"/>
    <s v="Dine-Out"/>
    <x v="3"/>
    <x v="8"/>
    <n v="3934.12"/>
    <n v="4434"/>
    <n v="499.88000000000011"/>
  </r>
  <r>
    <x v="0"/>
    <s v="CAK0009"/>
    <s v="Akash Cable Corporation"/>
    <s v="Salon"/>
    <x v="1"/>
    <x v="6"/>
    <n v="9600"/>
    <n v="9600"/>
    <n v="0"/>
  </r>
  <r>
    <x v="0"/>
    <s v="CPA0966"/>
    <s v="Pammi Enterprises"/>
    <s v="Dine-Out"/>
    <x v="3"/>
    <x v="0"/>
    <n v="8490"/>
    <n v="9290"/>
    <n v="800"/>
  </r>
  <r>
    <x v="0"/>
    <s v="CSU1387"/>
    <s v="Sushil Electricals"/>
    <s v="Spa"/>
    <x v="1"/>
    <x v="3"/>
    <n v="22113"/>
    <n v="22113"/>
    <n v="0"/>
  </r>
  <r>
    <x v="0"/>
    <s v="CSR5914"/>
    <s v="Sri Padma Enterprises"/>
    <s v="Dine-Out"/>
    <x v="2"/>
    <x v="6"/>
    <n v="2431"/>
    <n v="3431"/>
    <n v="1000"/>
  </r>
  <r>
    <x v="0"/>
    <s v="CAA0223"/>
    <s v="Aasha Techno Enterprises"/>
    <s v="Salon"/>
    <x v="3"/>
    <x v="0"/>
    <n v="10000"/>
    <n v="10000"/>
    <n v="0"/>
  </r>
  <r>
    <x v="0"/>
    <s v="CMA0338"/>
    <s v="Madaan Electric Store"/>
    <s v="Salon"/>
    <x v="1"/>
    <x v="3"/>
    <n v="7300"/>
    <n v="8760"/>
    <n v="1460"/>
  </r>
  <r>
    <x v="0"/>
    <s v="CSK0001"/>
    <s v="SK industrial Corporation"/>
    <s v="Spa"/>
    <x v="3"/>
    <x v="8"/>
    <n v="6884"/>
    <n v="7884"/>
    <n v="1000"/>
  </r>
  <r>
    <x v="0"/>
    <s v="CCM0024"/>
    <s v="C-MOS"/>
    <s v="Dine-Out"/>
    <x v="2"/>
    <x v="0"/>
    <n v="5198"/>
    <n v="8167"/>
    <n v="2969"/>
  </r>
  <r>
    <x v="0"/>
    <s v="CDC0007"/>
    <s v="DCA Marketing"/>
    <s v="Dine-Out"/>
    <x v="0"/>
    <x v="0"/>
    <n v="10832.4"/>
    <n v="14832"/>
    <n v="3999.6000000000004"/>
  </r>
  <r>
    <x v="0"/>
    <s v="CVI1274"/>
    <s v="Vikas Electric Agencies Pvt Ltd"/>
    <s v="Spa"/>
    <x v="1"/>
    <x v="3"/>
    <n v="9740"/>
    <n v="9740"/>
    <n v="0"/>
  </r>
  <r>
    <x v="0"/>
    <s v="CKU0002"/>
    <s v="Kumar Electric Corporation"/>
    <s v="Dine-Out"/>
    <x v="0"/>
    <x v="6"/>
    <n v="8815"/>
    <n v="10000"/>
    <n v="1185"/>
  </r>
  <r>
    <x v="0"/>
    <s v="CGA0506"/>
    <s v="Ganpati Traders"/>
    <s v="Dine-Out"/>
    <x v="0"/>
    <x v="5"/>
    <n v="2903"/>
    <n v="4005"/>
    <n v="1102"/>
  </r>
  <r>
    <x v="0"/>
    <s v="CHA0992"/>
    <s v="Hanuman Electrical Agency"/>
    <s v="Dine-Out"/>
    <x v="3"/>
    <x v="8"/>
    <n v="8358"/>
    <n v="9358"/>
    <n v="1000"/>
  </r>
  <r>
    <x v="0"/>
    <s v="CFR0037"/>
    <s v="FRIENDS ELECTRICALS"/>
    <s v="Dine-Out"/>
    <x v="0"/>
    <x v="6"/>
    <n v="8420"/>
    <n v="10000"/>
    <n v="1580"/>
  </r>
  <r>
    <x v="0"/>
    <s v="CSR0183"/>
    <s v="Shri Hanuman Electricals"/>
    <s v="Dine-Out"/>
    <x v="2"/>
    <x v="6"/>
    <n v="2925"/>
    <n v="4163"/>
    <n v="1238"/>
  </r>
  <r>
    <x v="0"/>
    <s v="CVA2413"/>
    <s v="VANSHIKA TRADERS"/>
    <s v="Dine-Out"/>
    <x v="1"/>
    <x v="6"/>
    <n v="1713"/>
    <n v="3713"/>
    <n v="2000"/>
  </r>
  <r>
    <x v="0"/>
    <s v="CBA2316"/>
    <s v="BALAJI AGENCY"/>
    <s v="Dine-Out"/>
    <x v="1"/>
    <x v="2"/>
    <n v="4720"/>
    <n v="4720"/>
    <n v="0"/>
  </r>
  <r>
    <x v="0"/>
    <s v="CKI0187"/>
    <s v="Kirit Engineering "/>
    <s v="Dine-Out"/>
    <x v="3"/>
    <x v="8"/>
    <n v="3738"/>
    <n v="4638"/>
    <n v="900"/>
  </r>
  <r>
    <x v="0"/>
    <s v="CAN0555"/>
    <s v="Ankit Marketing"/>
    <s v="Dine-Out"/>
    <x v="0"/>
    <x v="5"/>
    <n v="10620"/>
    <n v="10620"/>
    <n v="0"/>
  </r>
  <r>
    <x v="0"/>
    <s v="CSU1004"/>
    <s v="SURESH ELECTRIC BOARD WORKS LTD"/>
    <s v="Spa"/>
    <x v="2"/>
    <x v="7"/>
    <n v="13000"/>
    <n v="13000"/>
    <n v="0"/>
  </r>
  <r>
    <x v="0"/>
    <s v="CSH0136"/>
    <s v="Shakti Electric C"/>
    <s v="Spa"/>
    <x v="3"/>
    <x v="0"/>
    <n v="20000"/>
    <n v="21000"/>
    <n v="1000"/>
  </r>
  <r>
    <x v="0"/>
    <s v="CNA0104"/>
    <s v="Narmada Trading Corporation"/>
    <s v="Salon"/>
    <x v="3"/>
    <x v="0"/>
    <n v="9713"/>
    <n v="9715"/>
    <n v="2"/>
  </r>
  <r>
    <x v="0"/>
    <s v="CTI0066"/>
    <s v="Tirupati Enterprises"/>
    <s v="Salon"/>
    <x v="3"/>
    <x v="0"/>
    <n v="9500"/>
    <n v="10000"/>
    <n v="500"/>
  </r>
  <r>
    <x v="0"/>
    <s v="CSH1570"/>
    <s v="Shree Nath And Company"/>
    <s v="Gym"/>
    <x v="0"/>
    <x v="0"/>
    <n v="16000"/>
    <n v="17000"/>
    <n v="1000"/>
  </r>
  <r>
    <x v="0"/>
    <s v="CRO0286"/>
    <s v="Roaunak Agency"/>
    <s v="Salon"/>
    <x v="3"/>
    <x v="0"/>
    <n v="9500"/>
    <n v="10000"/>
    <n v="500"/>
  </r>
  <r>
    <x v="0"/>
    <s v="CAB0042"/>
    <s v="A B C Enterprise."/>
    <s v="Dine-Out"/>
    <x v="1"/>
    <x v="3"/>
    <n v="3904"/>
    <n v="4604"/>
    <n v="700"/>
  </r>
  <r>
    <x v="0"/>
    <s v="CRA2299"/>
    <s v="Rational Business Corporation"/>
    <s v="Dine-Out"/>
    <x v="3"/>
    <x v="8"/>
    <n v="10000"/>
    <n v="10000"/>
    <n v="0"/>
  </r>
  <r>
    <x v="0"/>
    <s v="CSH4343"/>
    <s v="M/S SHRI BADRINATH DISTRIBUTOR"/>
    <s v="Dine-Out"/>
    <x v="3"/>
    <x v="3"/>
    <n v="9746"/>
    <n v="9950"/>
    <n v="204"/>
  </r>
  <r>
    <x v="0"/>
    <s v="CRA0855"/>
    <s v="Raghunath Enterprises"/>
    <s v="Dine-Out"/>
    <x v="3"/>
    <x v="6"/>
    <n v="1355"/>
    <n v="2355"/>
    <n v="1000"/>
  </r>
  <r>
    <x v="0"/>
    <s v="CRA2275"/>
    <s v="M/s RAWAT ENTERPRISES"/>
    <s v="Dine-Out"/>
    <x v="3"/>
    <x v="3"/>
    <n v="6544"/>
    <n v="8400"/>
    <n v="1856"/>
  </r>
  <r>
    <x v="0"/>
    <s v="CKU0113"/>
    <s v="Kukreja Electricals"/>
    <s v="Salon"/>
    <x v="1"/>
    <x v="0"/>
    <n v="19500"/>
    <n v="20500"/>
    <n v="1000"/>
  </r>
  <r>
    <x v="0"/>
    <s v="CRA1330"/>
    <s v="Ram Motors"/>
    <s v="Dine-Out"/>
    <x v="0"/>
    <x v="6"/>
    <n v="7156.6"/>
    <n v="7156.6"/>
    <n v="0"/>
  </r>
  <r>
    <x v="0"/>
    <s v="CAR0715"/>
    <s v="Ar Associates"/>
    <s v="Salon"/>
    <x v="0"/>
    <x v="6"/>
    <n v="10000"/>
    <n v="10000"/>
    <n v="0"/>
  </r>
  <r>
    <x v="0"/>
    <s v="CRA1336"/>
    <s v="Rakesh Marketing Pvt. Ltd."/>
    <s v="Dine-Out"/>
    <x v="2"/>
    <x v="7"/>
    <n v="8732"/>
    <n v="9332"/>
    <n v="600"/>
  </r>
  <r>
    <x v="0"/>
    <s v="CMA3113"/>
    <s v="Matrix Green Enterprise Private Lim"/>
    <s v="Dine-Out"/>
    <x v="0"/>
    <x v="6"/>
    <n v="8850"/>
    <n v="8850"/>
    <n v="0"/>
  </r>
  <r>
    <x v="0"/>
    <s v="CKU0097"/>
    <s v="Kumaran Lighting Co"/>
    <s v="Dine-Out"/>
    <x v="1"/>
    <x v="3"/>
    <n v="7900"/>
    <n v="7900"/>
    <n v="0"/>
  </r>
  <r>
    <x v="0"/>
    <s v="CBH0171"/>
    <s v="Bharat Radio and Electric Co"/>
    <s v="Dine-Out"/>
    <x v="2"/>
    <x v="7"/>
    <n v="2607"/>
    <n v="3607"/>
    <n v="1000"/>
  </r>
  <r>
    <x v="0"/>
    <s v="CSU0140"/>
    <s v="Surya Electric stores"/>
    <s v="Dine-Out"/>
    <x v="0"/>
    <x v="0"/>
    <n v="7763"/>
    <n v="9864"/>
    <n v="2101"/>
  </r>
  <r>
    <x v="0"/>
    <s v="CTH0463"/>
    <s v="Thakur Electricals"/>
    <s v="Dine-Out"/>
    <x v="1"/>
    <x v="0"/>
    <n v="8024"/>
    <n v="8847"/>
    <n v="823"/>
  </r>
  <r>
    <x v="0"/>
    <s v="CBI0014"/>
    <s v="Bishwanath Electricals"/>
    <s v="Dine-Out"/>
    <x v="3"/>
    <x v="8"/>
    <n v="4295"/>
    <n v="4895"/>
    <n v="600"/>
  </r>
  <r>
    <x v="0"/>
    <s v="CMA2799"/>
    <s v="Manikanta Electricals"/>
    <s v="Dine-Out"/>
    <x v="3"/>
    <x v="8"/>
    <n v="2749"/>
    <n v="4147"/>
    <n v="1398"/>
  </r>
  <r>
    <x v="0"/>
    <s v="CUL0027"/>
    <s v="Ultron Power Systems"/>
    <s v="Salon"/>
    <x v="1"/>
    <x v="3"/>
    <n v="9765"/>
    <n v="9765"/>
    <n v="0"/>
  </r>
  <r>
    <x v="0"/>
    <s v="CJH0029"/>
    <s v="Jharkhand Electrical"/>
    <s v="Salon"/>
    <x v="3"/>
    <x v="6"/>
    <n v="10000"/>
    <n v="10000"/>
    <n v="0"/>
  </r>
  <r>
    <x v="0"/>
    <s v="CGI0041"/>
    <s v="Gitanjali Traders"/>
    <s v="Salon"/>
    <x v="3"/>
    <x v="6"/>
    <n v="10233"/>
    <n v="10233"/>
    <n v="0"/>
  </r>
  <r>
    <x v="0"/>
    <s v="CEL0179"/>
    <s v="Elmec"/>
    <s v="Dine-Out"/>
    <x v="1"/>
    <x v="2"/>
    <n v="4956"/>
    <n v="4956"/>
    <n v="0"/>
  </r>
  <r>
    <x v="0"/>
    <s v="CFA0108"/>
    <s v="Falcon Agencies"/>
    <s v="Dine-Out"/>
    <x v="1"/>
    <x v="2"/>
    <n v="4954"/>
    <n v="5454"/>
    <n v="500"/>
  </r>
  <r>
    <x v="0"/>
    <s v="CAM0467"/>
    <s v="Amrit Electricals"/>
    <s v="Spa"/>
    <x v="1"/>
    <x v="2"/>
    <n v="6166"/>
    <n v="8666"/>
    <n v="2500"/>
  </r>
  <r>
    <x v="0"/>
    <s v="CBR0075"/>
    <s v="Brite Enterprises"/>
    <s v="Dine-Out"/>
    <x v="2"/>
    <x v="2"/>
    <n v="6302"/>
    <n v="8401"/>
    <n v="2099"/>
  </r>
  <r>
    <x v="0"/>
    <s v="CSU1244"/>
    <s v="Surindera Motor &amp; Mill Store"/>
    <s v="Dine-Out"/>
    <x v="1"/>
    <x v="2"/>
    <n v="5898"/>
    <n v="5898"/>
    <n v="0"/>
  </r>
  <r>
    <x v="0"/>
    <s v="CJY0092"/>
    <s v="Jyothi Enterprises"/>
    <s v="Dine-Out"/>
    <x v="2"/>
    <x v="7"/>
    <n v="4799"/>
    <n v="6122"/>
    <n v="1323"/>
  </r>
  <r>
    <x v="0"/>
    <s v="CAB0139"/>
    <s v="ABHA ENTERPRISES"/>
    <s v="Dine-Out"/>
    <x v="0"/>
    <x v="0"/>
    <n v="13747"/>
    <n v="13747"/>
    <n v="0"/>
  </r>
  <r>
    <x v="0"/>
    <s v="CGA0342"/>
    <s v="GAURAV TRADERS"/>
    <s v="Dine-Out"/>
    <x v="0"/>
    <x v="0"/>
    <n v="13747"/>
    <n v="13747"/>
    <n v="0"/>
  </r>
  <r>
    <x v="0"/>
    <s v="CAA0220"/>
    <s v="Aadvik Enterprise"/>
    <s v="Dine-Out"/>
    <x v="0"/>
    <x v="0"/>
    <n v="0"/>
    <n v="0"/>
    <n v="0"/>
  </r>
  <r>
    <x v="0"/>
    <s v="CDK0001"/>
    <s v="D K Enterprises"/>
    <s v="Spa"/>
    <x v="3"/>
    <x v="8"/>
    <n v="8278"/>
    <n v="9543"/>
    <n v="1265"/>
  </r>
  <r>
    <x v="0"/>
    <s v="CSH2035"/>
    <s v="Shree Ganesh Electric"/>
    <s v="Dine-Out"/>
    <x v="2"/>
    <x v="7"/>
    <n v="9027"/>
    <n v="9425"/>
    <n v="398"/>
  </r>
  <r>
    <x v="0"/>
    <s v="CMA0933"/>
    <s v="Mahajan Cement Store"/>
    <s v="Dine-Out"/>
    <x v="2"/>
    <x v="7"/>
    <n v="10000"/>
    <n v="10000"/>
    <n v="0"/>
  </r>
  <r>
    <x v="0"/>
    <s v="CRE2391"/>
    <s v="Renuka Sales Corporation"/>
    <s v="Dine-Out"/>
    <x v="2"/>
    <x v="7"/>
    <n v="10000"/>
    <n v="10000"/>
    <n v="0"/>
  </r>
  <r>
    <x v="0"/>
    <s v="CVI0545"/>
    <s v="Vinay Electricals"/>
    <s v="Dine-Out"/>
    <x v="3"/>
    <x v="8"/>
    <n v="8496"/>
    <n v="8496"/>
    <n v="0"/>
  </r>
  <r>
    <x v="0"/>
    <s v="CSK0501"/>
    <s v="SKYCELL DISTRIBUTION PRIVATE LIMITE"/>
    <s v="Salon"/>
    <x v="0"/>
    <x v="6"/>
    <n v="9450"/>
    <n v="9750"/>
    <n v="300"/>
  </r>
  <r>
    <x v="0"/>
    <s v="CSI2274"/>
    <s v="Siddhi Vinayak Distributors"/>
    <s v="Dine-Out"/>
    <x v="2"/>
    <x v="7"/>
    <n v="4481"/>
    <n v="4981"/>
    <n v="500"/>
  </r>
  <r>
    <x v="0"/>
    <s v="CCB0012"/>
    <s v="Cbl Enterprises"/>
    <s v="Spa"/>
    <x v="2"/>
    <x v="7"/>
    <n v="7319"/>
    <n v="9119"/>
    <n v="1800"/>
  </r>
  <r>
    <x v="0"/>
    <s v="CRS0021"/>
    <s v="Rsd Power Lines"/>
    <s v="Spa"/>
    <x v="0"/>
    <x v="0"/>
    <n v="7350"/>
    <n v="8211"/>
    <n v="861"/>
  </r>
  <r>
    <x v="0"/>
    <s v="CUK0001"/>
    <s v="U K Agencies and Electricals"/>
    <s v="Spa"/>
    <x v="2"/>
    <x v="0"/>
    <n v="7339"/>
    <n v="9036"/>
    <n v="1697"/>
  </r>
  <r>
    <x v="0"/>
    <s v="CNE0804"/>
    <s v="New Light House"/>
    <s v="Dine-Out"/>
    <x v="3"/>
    <x v="8"/>
    <n v="20768"/>
    <n v="20768"/>
    <n v="0"/>
  </r>
  <r>
    <x v="0"/>
    <s v="CIM0007"/>
    <s v="Imperial Shah Store"/>
    <s v="Dine-Out"/>
    <x v="0"/>
    <x v="0"/>
    <n v="11328"/>
    <n v="11328"/>
    <n v="0"/>
  </r>
  <r>
    <x v="0"/>
    <s v="CDS0015"/>
    <s v="D. S. Enterprises"/>
    <s v="Dine-Out"/>
    <x v="0"/>
    <x v="0"/>
    <n v="6426"/>
    <n v="7126"/>
    <n v="700"/>
  </r>
  <r>
    <x v="0"/>
    <s v="CKI0109"/>
    <s v="Kirti Marketing"/>
    <s v="Spa"/>
    <x v="1"/>
    <x v="0"/>
    <n v="8540"/>
    <n v="9140"/>
    <n v="600"/>
  </r>
  <r>
    <x v="0"/>
    <s v="CKR0152"/>
    <s v="Krishna Electrical"/>
    <s v="Dine-Out"/>
    <x v="2"/>
    <x v="0"/>
    <n v="2909"/>
    <n v="4606"/>
    <n v="1697"/>
  </r>
  <r>
    <x v="0"/>
    <s v="CGU2366"/>
    <s v="Gulati Trading Co"/>
    <s v="Dine-Out"/>
    <x v="0"/>
    <x v="0"/>
    <n v="4148"/>
    <n v="5174"/>
    <n v="1026"/>
  </r>
  <r>
    <x v="0"/>
    <s v="CJK0045"/>
    <s v="J K Electricals"/>
    <s v="Dine-Out"/>
    <x v="1"/>
    <x v="3"/>
    <n v="2808"/>
    <n v="3808"/>
    <n v="1000"/>
  </r>
  <r>
    <x v="0"/>
    <s v="CHA8132"/>
    <s v="Har Krishan Lighting"/>
    <s v="Dine-Out"/>
    <x v="0"/>
    <x v="3"/>
    <n v="2522"/>
    <n v="2866"/>
    <n v="344"/>
  </r>
  <r>
    <x v="0"/>
    <s v="CQU0026"/>
    <s v="Quality Agency "/>
    <s v="Dine-Out"/>
    <x v="3"/>
    <x v="8"/>
    <n v="7830"/>
    <n v="9430"/>
    <n v="1600"/>
  </r>
  <r>
    <x v="0"/>
    <s v="CPR0811"/>
    <s v="Prakash Cable House"/>
    <s v="Salon"/>
    <x v="2"/>
    <x v="7"/>
    <n v="9950"/>
    <n v="9950"/>
    <n v="0"/>
  </r>
  <r>
    <x v="0"/>
    <s v="CMA2597"/>
    <s v="Samal_Maa Tabhamani Trading"/>
    <s v="Salon"/>
    <x v="3"/>
    <x v="8"/>
    <n v="10000"/>
    <n v="10000"/>
    <n v="0"/>
  </r>
  <r>
    <x v="0"/>
    <s v="CKH0236"/>
    <s v="Khurana Agencies"/>
    <s v="Dine-Out"/>
    <x v="0"/>
    <x v="0"/>
    <n v="6619.8"/>
    <n v="7727"/>
    <n v="1107.1999999999998"/>
  </r>
  <r>
    <x v="0"/>
    <s v="CVI1258"/>
    <s v="Vibgyor"/>
    <s v="Spa"/>
    <x v="0"/>
    <x v="3"/>
    <n v="12285"/>
    <n v="12285"/>
    <n v="0"/>
  </r>
  <r>
    <x v="0"/>
    <s v="CSA1348"/>
    <s v="Saar Agencies"/>
    <s v="Dine-Out"/>
    <x v="3"/>
    <x v="3"/>
    <n v="5546"/>
    <n v="5546"/>
    <n v="0"/>
  </r>
  <r>
    <x v="0"/>
    <s v="CAM0613"/>
    <s v="Amit Trading Company"/>
    <s v="Dine-Out"/>
    <x v="3"/>
    <x v="8"/>
    <n v="9169"/>
    <n v="9969"/>
    <n v="800"/>
  </r>
  <r>
    <x v="0"/>
    <s v="CRA0639"/>
    <s v="Raj Traders"/>
    <s v="Dine-Out"/>
    <x v="3"/>
    <x v="8"/>
    <n v="17818"/>
    <n v="19818"/>
    <n v="2000"/>
  </r>
  <r>
    <x v="0"/>
    <s v="CJA0611"/>
    <s v="Jagdamba Electricals"/>
    <s v="Dine-Out"/>
    <x v="4"/>
    <x v="0"/>
    <n v="20296"/>
    <n v="21596"/>
    <n v="1300"/>
  </r>
  <r>
    <x v="0"/>
    <s v="CEL0635"/>
    <s v="Elkart Private Limited"/>
    <s v="Dine-Out"/>
    <x v="2"/>
    <x v="7"/>
    <n v="7080"/>
    <n v="7480"/>
    <n v="400"/>
  </r>
  <r>
    <x v="0"/>
    <s v="CAT0063"/>
    <s v="A to z POWER SOLUTIONS"/>
    <s v="Dine-Out"/>
    <x v="2"/>
    <x v="7"/>
    <n v="7549"/>
    <n v="7549"/>
    <n v="0"/>
  </r>
  <r>
    <x v="0"/>
    <s v="CNE1141"/>
    <s v="New Anand Electrical"/>
    <s v="Dine-Out"/>
    <x v="0"/>
    <x v="5"/>
    <n v="4516"/>
    <n v="4916"/>
    <n v="400"/>
  </r>
  <r>
    <x v="0"/>
    <s v="CJY0055"/>
    <s v="Jyoti Electricals"/>
    <s v="Photoshoot"/>
    <x v="1"/>
    <x v="3"/>
    <n v="20000"/>
    <n v="21500"/>
    <n v="1500"/>
  </r>
  <r>
    <x v="1"/>
    <s v="CAM0375"/>
    <s v="Ambica Electricals"/>
    <s v="Spa"/>
    <x v="1"/>
    <x v="3"/>
    <n v="10000"/>
    <n v="10000"/>
    <n v="0"/>
  </r>
  <r>
    <x v="1"/>
    <s v="CBR0195"/>
    <s v="Branz Hexa India Private Limited"/>
    <s v="Salon"/>
    <x v="1"/>
    <x v="0"/>
    <n v="8600"/>
    <n v="9600"/>
    <n v="1000"/>
  </r>
  <r>
    <x v="1"/>
    <s v="CRA1613"/>
    <s v="Rakhi Traders"/>
    <s v="Dine-Out"/>
    <x v="3"/>
    <x v="8"/>
    <n v="4076"/>
    <n v="6776"/>
    <n v="2700"/>
  </r>
  <r>
    <x v="1"/>
    <s v="CSA2472"/>
    <s v="SAFFRON SOLAR SYSTEMS"/>
    <s v="Dine-Out"/>
    <x v="2"/>
    <x v="0"/>
    <n v="2223.9"/>
    <n v="4223"/>
    <n v="1999.1"/>
  </r>
  <r>
    <x v="1"/>
    <s v="CJJ0024"/>
    <s v="J J Traders"/>
    <s v="Dine-Out"/>
    <x v="2"/>
    <x v="7"/>
    <n v="8491.25"/>
    <n v="9491"/>
    <n v="999.75"/>
  </r>
  <r>
    <x v="1"/>
    <s v="CAD0630"/>
    <s v="Adithi Business Solutions"/>
    <s v="Dine-Out"/>
    <x v="2"/>
    <x v="2"/>
    <n v="9665"/>
    <n v="9665"/>
    <n v="0"/>
  </r>
  <r>
    <x v="1"/>
    <s v="CHI0083"/>
    <s v="Hindustan Electric Corporation"/>
    <s v="Dine-Out"/>
    <x v="0"/>
    <x v="0"/>
    <n v="5154"/>
    <n v="5154"/>
    <n v="0"/>
  </r>
  <r>
    <x v="1"/>
    <s v="CNE1037"/>
    <s v="Neeraj Traders"/>
    <s v="Dine-Out"/>
    <x v="2"/>
    <x v="0"/>
    <n v="3938"/>
    <n v="5938"/>
    <n v="2000"/>
  </r>
  <r>
    <x v="1"/>
    <s v="CRA0677"/>
    <s v="Radiant Hardware"/>
    <s v="Salon"/>
    <x v="1"/>
    <x v="0"/>
    <n v="8350"/>
    <n v="9350"/>
    <n v="1000"/>
  </r>
  <r>
    <x v="1"/>
    <s v="CUN0042"/>
    <s v="Universal Electricals"/>
    <s v="Spa"/>
    <x v="2"/>
    <x v="0"/>
    <n v="8280"/>
    <n v="9485"/>
    <n v="1205"/>
  </r>
  <r>
    <x v="1"/>
    <s v="CMM0025"/>
    <s v="M.M Traders"/>
    <s v="Dine-Out"/>
    <x v="2"/>
    <x v="2"/>
    <n v="5754"/>
    <n v="7754"/>
    <n v="2000"/>
  </r>
  <r>
    <x v="1"/>
    <s v="CLI0300"/>
    <s v="Live Wire Tech Services Llp"/>
    <s v="Dine-Out"/>
    <x v="2"/>
    <x v="2"/>
    <n v="8641"/>
    <n v="10000"/>
    <n v="1359"/>
  </r>
  <r>
    <x v="1"/>
    <s v="CKR0436 "/>
    <s v="Krish Enterprisess"/>
    <s v="Spa"/>
    <x v="0"/>
    <x v="6"/>
    <n v="7000"/>
    <n v="8000"/>
    <n v="1000"/>
  </r>
  <r>
    <x v="1"/>
    <s v="CJI0245"/>
    <s v="JIBIN ELECTRICALS &amp; HOME APPLIANCES"/>
    <s v="Dine-Out"/>
    <x v="2"/>
    <x v="6"/>
    <n v="4336.5"/>
    <n v="6336"/>
    <n v="1999.5"/>
  </r>
  <r>
    <x v="1"/>
    <s v="CEM0125"/>
    <s v="EMAC AUTOMATION SOLUTIONS INDIA PRI"/>
    <s v="Dine-Out"/>
    <x v="2"/>
    <x v="0"/>
    <n v="6088"/>
    <n v="8088"/>
    <n v="2000"/>
  </r>
  <r>
    <x v="1"/>
    <s v="CSH3891"/>
    <s v="Shree Ganesh Traders"/>
    <s v="Dine-Out"/>
    <x v="3"/>
    <x v="8"/>
    <n v="4314"/>
    <n v="7714"/>
    <n v="3400"/>
  </r>
  <r>
    <x v="1"/>
    <s v="CSH0701"/>
    <s v="Shivam Electricals"/>
    <s v="Dine-Out"/>
    <x v="1"/>
    <x v="6"/>
    <n v="4580.59"/>
    <n v="5580"/>
    <n v="999.40999999999985"/>
  </r>
  <r>
    <x v="1"/>
    <s v="CSU0821"/>
    <s v="Success Enterprises"/>
    <s v="Dine-Out"/>
    <x v="2"/>
    <x v="6"/>
    <n v="9894"/>
    <n v="9894"/>
    <n v="0"/>
  </r>
  <r>
    <x v="1"/>
    <s v="CPI0176"/>
    <s v="Pipeco"/>
    <s v="Dine-Out"/>
    <x v="3"/>
    <x v="8"/>
    <n v="12803"/>
    <n v="10000"/>
    <n v="-2803"/>
  </r>
  <r>
    <x v="1"/>
    <s v="CSP0007"/>
    <s v="S P Electrical Industries"/>
    <s v="Salon"/>
    <x v="3"/>
    <x v="6"/>
    <n v="10000"/>
    <n v="10000"/>
    <n v="0"/>
  </r>
  <r>
    <x v="1"/>
    <s v="CEL0179"/>
    <s v="Elmec"/>
    <s v="Dine-Out"/>
    <x v="1"/>
    <x v="3"/>
    <n v="17000"/>
    <n v="17000"/>
    <n v="0"/>
  </r>
  <r>
    <x v="1"/>
    <s v="CNE0588"/>
    <s v="New Kable Point"/>
    <s v="Dine-Out"/>
    <x v="2"/>
    <x v="7"/>
    <n v="3301"/>
    <n v="5801"/>
    <n v="2500"/>
  </r>
  <r>
    <x v="1"/>
    <s v="CPA0760"/>
    <s v="Patna Machinery Stores"/>
    <s v="Dine-Out"/>
    <x v="2"/>
    <x v="7"/>
    <n v="2350"/>
    <n v="4350"/>
    <n v="2000"/>
  </r>
  <r>
    <x v="1"/>
    <s v="CIM0048"/>
    <s v="Impex Distribution Llp"/>
    <s v="Dine-Out"/>
    <x v="2"/>
    <x v="0"/>
    <n v="12314"/>
    <n v="12314"/>
    <n v="0"/>
  </r>
  <r>
    <x v="1"/>
    <s v="CLI0035"/>
    <s v="Light Centre"/>
    <s v="Salon"/>
    <x v="3"/>
    <x v="0"/>
    <n v="9200"/>
    <n v="9950"/>
    <n v="750"/>
  </r>
  <r>
    <x v="1"/>
    <s v="CGA0584"/>
    <s v="Gandhi Electric Stores"/>
    <s v="Dine-Out"/>
    <x v="1"/>
    <x v="2"/>
    <n v="9827"/>
    <n v="9827"/>
    <n v="0"/>
  </r>
  <r>
    <x v="1"/>
    <s v="CNA1282"/>
    <s v="NANKIA ELECTRICALS"/>
    <s v="Dine-Out"/>
    <x v="3"/>
    <x v="8"/>
    <n v="9504"/>
    <n v="9504"/>
    <n v="0"/>
  </r>
  <r>
    <x v="1"/>
    <s v="CKO0212"/>
    <s v="KOHLI TRADERS"/>
    <s v="Dine-Out"/>
    <x v="3"/>
    <x v="8"/>
    <n v="3820"/>
    <n v="4820"/>
    <n v="1000"/>
  </r>
  <r>
    <x v="1"/>
    <s v="CBH0019"/>
    <s v="Bhutani Electric Store"/>
    <s v="Salon"/>
    <x v="1"/>
    <x v="3"/>
    <n v="6100"/>
    <n v="8755"/>
    <n v="2655"/>
  </r>
  <r>
    <x v="1"/>
    <s v="CGA0837"/>
    <s v="GAYATRI SALES AND SERVICE PRIVATE L"/>
    <s v="Salon"/>
    <x v="1"/>
    <x v="3"/>
    <n v="6600"/>
    <n v="9675"/>
    <n v="3075"/>
  </r>
  <r>
    <x v="1"/>
    <s v="CBH1045"/>
    <s v="Bhagwati Integrated Solutions Pvt L"/>
    <s v="Salon"/>
    <x v="1"/>
    <x v="3"/>
    <n v="8800"/>
    <n v="9500"/>
    <n v="700"/>
  </r>
  <r>
    <x v="1"/>
    <s v="CES0095"/>
    <s v="Eskay Agencies"/>
    <s v="Dine-Out"/>
    <x v="1"/>
    <x v="3"/>
    <n v="2950"/>
    <n v="5950"/>
    <n v="3000"/>
  </r>
  <r>
    <x v="1"/>
    <s v="CNA1208"/>
    <s v="Naina Infotech"/>
    <s v="Dine-Out"/>
    <x v="1"/>
    <x v="3"/>
    <n v="2981"/>
    <n v="4981"/>
    <n v="2000"/>
  </r>
  <r>
    <x v="1"/>
    <s v="CJA0292"/>
    <s v="Jain Trading Company"/>
    <s v="Dine-Out"/>
    <x v="1"/>
    <x v="3"/>
    <n v="7502"/>
    <n v="8502"/>
    <n v="1000"/>
  </r>
  <r>
    <x v="1"/>
    <s v="CIM0007"/>
    <s v="Imperial Shah Store"/>
    <s v="Dine-Out"/>
    <x v="0"/>
    <x v="0"/>
    <n v="10620"/>
    <n v="10620"/>
    <n v="0"/>
  </r>
  <r>
    <x v="1"/>
    <s v="CTH0482 "/>
    <s v="Thirupathy Electricals Sanitaryware"/>
    <s v="Dine-Out"/>
    <x v="0"/>
    <x v="0"/>
    <n v="3791"/>
    <n v="4891"/>
    <n v="1100"/>
  </r>
  <r>
    <x v="1"/>
    <s v="CVE0497"/>
    <s v="Venu Electrical Center"/>
    <s v="Dine-Out"/>
    <x v="2"/>
    <x v="0"/>
    <n v="3420"/>
    <n v="4120"/>
    <n v="700"/>
  </r>
  <r>
    <x v="1"/>
    <s v="CCH0485"/>
    <s v="Chandana Appliances"/>
    <s v="Spa"/>
    <x v="0"/>
    <x v="5"/>
    <n v="8140"/>
    <n v="9140"/>
    <n v="1000"/>
  </r>
  <r>
    <x v="1"/>
    <s v="CRA0822"/>
    <s v="Rameshwaram Electricals"/>
    <s v="Salon"/>
    <x v="3"/>
    <x v="6"/>
    <n v="7905"/>
    <n v="9125"/>
    <n v="1220"/>
  </r>
  <r>
    <x v="1"/>
    <s v="CMA3026"/>
    <s v="Marissa Connect"/>
    <s v="Dine-Out"/>
    <x v="2"/>
    <x v="7"/>
    <n v="7429.28"/>
    <n v="8429"/>
    <n v="999.72000000000025"/>
  </r>
  <r>
    <x v="1"/>
    <s v="CKI0001"/>
    <s v="Kiran Electrical"/>
    <s v="Dine-Out"/>
    <x v="0"/>
    <x v="5"/>
    <n v="4120"/>
    <n v="5120"/>
    <n v="1000"/>
  </r>
  <r>
    <x v="1"/>
    <s v="CSR0840"/>
    <s v="Sri Nagneswari Industries"/>
    <s v="Dine-Out"/>
    <x v="0"/>
    <x v="5"/>
    <n v="8462"/>
    <n v="9581"/>
    <n v="1119"/>
  </r>
  <r>
    <x v="1"/>
    <s v="CJA1462"/>
    <s v="Jay Ambey Associate"/>
    <s v="Dine-Out"/>
    <x v="2"/>
    <x v="0"/>
    <n v="4248"/>
    <n v="5248"/>
    <n v="1000"/>
  </r>
  <r>
    <x v="1"/>
    <s v="CMA1694"/>
    <s v="Manichanda Marketing"/>
    <s v="Salon"/>
    <x v="3"/>
    <x v="0"/>
    <n v="10000"/>
    <n v="10000"/>
    <n v="0"/>
  </r>
  <r>
    <x v="1"/>
    <s v="COM0121"/>
    <s v="Omkar Electricals"/>
    <s v="Dine-Out"/>
    <x v="0"/>
    <x v="6"/>
    <n v="3222"/>
    <n v="4222"/>
    <n v="1000"/>
  </r>
  <r>
    <x v="1"/>
    <s v="CDI1094"/>
    <s v="Diya Communications"/>
    <s v="Dine-Out"/>
    <x v="2"/>
    <x v="6"/>
    <n v="6840"/>
    <n v="8840"/>
    <n v="2000"/>
  </r>
  <r>
    <x v="1"/>
    <s v="CVA0782"/>
    <s v="Varkey &amp; Sons Communication"/>
    <s v="Dine-Out"/>
    <x v="2"/>
    <x v="0"/>
    <n v="1610"/>
    <n v="3610"/>
    <n v="2000"/>
  </r>
  <r>
    <x v="1"/>
    <s v="CGA0289"/>
    <s v="Ganpati Enterprises"/>
    <s v="Dine-Out"/>
    <x v="2"/>
    <x v="0"/>
    <n v="8025"/>
    <n v="9025"/>
    <n v="1000"/>
  </r>
  <r>
    <x v="1"/>
    <s v="CGE0033 "/>
    <s v="Geeta Stores"/>
    <s v="Salon"/>
    <x v="0"/>
    <x v="0"/>
    <n v="10000"/>
    <n v="10000"/>
    <n v="0"/>
  </r>
  <r>
    <x v="1"/>
    <s v="CKH0189"/>
    <s v="Khushi Electronics And Home Applian"/>
    <s v="Dine-Out"/>
    <x v="2"/>
    <x v="6"/>
    <n v="7491"/>
    <n v="10000"/>
    <n v="2509"/>
  </r>
  <r>
    <x v="1"/>
    <s v="CJS0074"/>
    <s v="Js Electromate"/>
    <s v="Dine-Out"/>
    <x v="1"/>
    <x v="2"/>
    <n v="4718"/>
    <n v="5718"/>
    <n v="1000"/>
  </r>
  <r>
    <x v="1"/>
    <s v="CRA0861"/>
    <s v="Ratwan Light House "/>
    <s v="Salon"/>
    <x v="1"/>
    <x v="6"/>
    <n v="8050"/>
    <n v="9050"/>
    <n v="1000"/>
  </r>
  <r>
    <x v="1"/>
    <s v="CLE0060"/>
    <s v="ELECTRO TRADERS"/>
    <s v="Dine-Out"/>
    <x v="0"/>
    <x v="6"/>
    <n v="7076"/>
    <n v="8776"/>
    <n v="1700"/>
  </r>
  <r>
    <x v="1"/>
    <s v="CSP0869"/>
    <s v="SPARK ELECTRICALS"/>
    <s v="Spa"/>
    <x v="0"/>
    <x v="2"/>
    <n v="3000"/>
    <n v="5000"/>
    <n v="2000"/>
  </r>
  <r>
    <x v="1"/>
    <s v="CCI0091"/>
    <s v="City Lights"/>
    <s v="Dine-Out"/>
    <x v="0"/>
    <x v="5"/>
    <n v="17700"/>
    <n v="21700"/>
    <n v="4000"/>
  </r>
  <r>
    <x v="1"/>
    <s v="CSS6055"/>
    <s v="S.s. Enterprises"/>
    <s v="Dine-Out"/>
    <x v="0"/>
    <x v="5"/>
    <n v="6816"/>
    <n v="8816"/>
    <n v="2000"/>
  </r>
  <r>
    <x v="1"/>
    <s v="CSH3959"/>
    <s v="Shreeji Electricals"/>
    <s v="Dine-Out"/>
    <x v="0"/>
    <x v="5"/>
    <n v="3537"/>
    <n v="5537"/>
    <n v="2000"/>
  </r>
  <r>
    <x v="1"/>
    <s v="CDE0720"/>
    <s v="Deepam Electricals"/>
    <s v="Gym"/>
    <x v="1"/>
    <x v="0"/>
    <n v="21750"/>
    <n v="21750"/>
    <n v="0"/>
  </r>
  <r>
    <x v="1"/>
    <s v="CPR1088"/>
    <s v="Prakash Enterprises "/>
    <s v="Salon"/>
    <x v="3"/>
    <x v="0"/>
    <n v="10000"/>
    <n v="10000"/>
    <n v="0"/>
  </r>
  <r>
    <x v="1"/>
    <s v="CME0012"/>
    <s v="Mercury Agencies"/>
    <s v="Dine-Out"/>
    <x v="1"/>
    <x v="2"/>
    <n v="4213"/>
    <n v="5913"/>
    <n v="1700"/>
  </r>
  <r>
    <x v="1"/>
    <s v="CAG0220"/>
    <s v="Aggarwal Electrical Store"/>
    <s v="Salon"/>
    <x v="3"/>
    <x v="6"/>
    <n v="9345"/>
    <n v="9765"/>
    <n v="420"/>
  </r>
  <r>
    <x v="1"/>
    <s v="CAC0158"/>
    <s v="Ace Marketing"/>
    <s v="Dine-Out"/>
    <x v="2"/>
    <x v="2"/>
    <n v="5192"/>
    <n v="5192"/>
    <n v="0"/>
  </r>
  <r>
    <x v="1"/>
    <s v="CGE0252"/>
    <s v="Genisys Engineers And Contractors"/>
    <s v="Dine-Out"/>
    <x v="2"/>
    <x v="2"/>
    <n v="10000"/>
    <n v="10000"/>
    <n v="0"/>
  </r>
  <r>
    <x v="1"/>
    <s v="CVE0223"/>
    <s v="Venus Marketing"/>
    <s v="Dine-Out"/>
    <x v="0"/>
    <x v="2"/>
    <n v="4196"/>
    <n v="5196"/>
    <n v="1000"/>
  </r>
  <r>
    <x v="1"/>
    <s v="CAM2769"/>
    <s v="A M S ELECTRICALS"/>
    <s v="Dine-Out"/>
    <x v="1"/>
    <x v="2"/>
    <n v="12744"/>
    <n v="12744"/>
    <n v="0"/>
  </r>
  <r>
    <x v="1"/>
    <s v="CNE1200"/>
    <s v="New Umiya Electric Company"/>
    <s v="Dine-Out"/>
    <x v="1"/>
    <x v="2"/>
    <n v="5745"/>
    <n v="7619"/>
    <n v="1874"/>
  </r>
  <r>
    <x v="1"/>
    <s v="CSR5849"/>
    <s v="Sri Shiava Agencies- Galaxy-Khammam"/>
    <s v="Dine-Out"/>
    <x v="3"/>
    <x v="8"/>
    <n v="6743"/>
    <n v="8743"/>
    <n v="2000"/>
  </r>
  <r>
    <x v="1"/>
    <s v="CMV0022"/>
    <s v="Mv Raj Sales Private Limited"/>
    <s v="Dine-Out"/>
    <x v="0"/>
    <x v="5"/>
    <n v="14035"/>
    <n v="14035"/>
    <n v="0"/>
  </r>
  <r>
    <x v="1"/>
    <s v="Cga0487"/>
    <s v="G And G Agencies"/>
    <s v="Dine-Out"/>
    <x v="3"/>
    <x v="8"/>
    <n v="2304"/>
    <n v="4304"/>
    <n v="2000"/>
  </r>
  <r>
    <x v="1"/>
    <s v="CSR1011"/>
    <s v="Sree Krishna Associates"/>
    <s v="Dine-Out"/>
    <x v="3"/>
    <x v="8"/>
    <n v="5266"/>
    <n v="7266"/>
    <n v="2000"/>
  </r>
  <r>
    <x v="1"/>
    <s v="CRS0032"/>
    <s v="R.S. Electricals"/>
    <s v="Dine-Out"/>
    <x v="3"/>
    <x v="8"/>
    <n v="9364"/>
    <n v="10000"/>
    <n v="636"/>
  </r>
  <r>
    <x v="1"/>
    <s v="CSR0299"/>
    <s v="Sri Krishna Electricals"/>
    <s v="Spa"/>
    <x v="3"/>
    <x v="8"/>
    <n v="13028.7"/>
    <n v="13029"/>
    <n v="0.2999999999992724"/>
  </r>
  <r>
    <x v="1"/>
    <s v="CME0919"/>
    <s v="Medistar Agencies"/>
    <s v="Dine-Out"/>
    <x v="3"/>
    <x v="8"/>
    <n v="7080"/>
    <n v="8199"/>
    <n v="1119"/>
  </r>
  <r>
    <x v="1"/>
    <s v="CAM0050"/>
    <s v="Ambe Electrical And Hardware Stores"/>
    <s v="Dine-Out"/>
    <x v="3"/>
    <x v="8"/>
    <n v="4843"/>
    <n v="7192"/>
    <n v="2349"/>
  </r>
  <r>
    <x v="1"/>
    <s v="CSH0022"/>
    <s v="Shiv Electric Works"/>
    <s v="Dine-Out"/>
    <x v="2"/>
    <x v="7"/>
    <n v="7164"/>
    <n v="8765"/>
    <n v="1601"/>
  </r>
  <r>
    <x v="1"/>
    <s v="CUT0099"/>
    <s v="Utkarsh Enterprises"/>
    <s v="Spa"/>
    <x v="2"/>
    <x v="0"/>
    <n v="6720"/>
    <n v="8720"/>
    <n v="2000"/>
  </r>
  <r>
    <x v="1"/>
    <s v="CSE1006"/>
    <s v="Sethi Electricals"/>
    <s v="Dine-Out"/>
    <x v="3"/>
    <x v="0"/>
    <n v="7522"/>
    <n v="9122"/>
    <n v="1600"/>
  </r>
  <r>
    <x v="1"/>
    <s v="CSK0101"/>
    <s v="S.K. Electric"/>
    <s v="Dine-Out"/>
    <x v="2"/>
    <x v="0"/>
    <n v="9500"/>
    <n v="9500"/>
    <n v="0"/>
  </r>
  <r>
    <x v="1"/>
    <s v="CUK0016"/>
    <s v="UK ENTERPRISES"/>
    <s v="Dine-Out"/>
    <x v="3"/>
    <x v="0"/>
    <n v="3207"/>
    <n v="4207"/>
    <n v="1000"/>
  </r>
  <r>
    <x v="1"/>
    <s v="CHI0139"/>
    <s v="Hi Light Enteprises"/>
    <s v="Dine-Out"/>
    <x v="2"/>
    <x v="7"/>
    <n v="6075"/>
    <n v="8075"/>
    <n v="2000"/>
  </r>
  <r>
    <x v="1"/>
    <s v="CGS0050"/>
    <s v="G S Traders"/>
    <s v="Dine-Out"/>
    <x v="2"/>
    <x v="6"/>
    <n v="4090"/>
    <n v="6090"/>
    <n v="2000"/>
  </r>
  <r>
    <x v="1"/>
    <s v="CKR0043"/>
    <s v="Krishna Electric And General Store"/>
    <s v="Dine-Out"/>
    <x v="3"/>
    <x v="8"/>
    <n v="2811"/>
    <n v="4811"/>
    <n v="2000"/>
  </r>
  <r>
    <x v="1"/>
    <s v="CMA0357"/>
    <s v="Mamta Sales Corporation"/>
    <s v="Spa"/>
    <x v="0"/>
    <x v="5"/>
    <n v="8505"/>
    <n v="9505"/>
    <n v="1000"/>
  </r>
  <r>
    <x v="1"/>
    <s v="CGO0033"/>
    <s v="Govind Electric Co."/>
    <s v="Spa"/>
    <x v="3"/>
    <x v="8"/>
    <n v="20000"/>
    <n v="22000"/>
    <n v="2000"/>
  </r>
  <r>
    <x v="1"/>
    <s v="CHI0096"/>
    <s v="Hira Electric Company"/>
    <s v="Dine-Out"/>
    <x v="0"/>
    <x v="5"/>
    <n v="9381"/>
    <n v="9881"/>
    <n v="500"/>
  </r>
  <r>
    <x v="1"/>
    <s v="CVA0738"/>
    <s v="Vaibhav electric inc"/>
    <s v="Spa"/>
    <x v="0"/>
    <x v="5"/>
    <n v="16380"/>
    <n v="13000"/>
    <n v="-3380"/>
  </r>
  <r>
    <x v="1"/>
    <s v="CME1158"/>
    <s v="Mentor Water Experts Private Limited "/>
    <s v="Dine-Out"/>
    <x v="3"/>
    <x v="8"/>
    <n v="9346"/>
    <n v="10000"/>
    <n v="654"/>
  </r>
  <r>
    <x v="1"/>
    <s v="CMA1579"/>
    <s v="Mayur Electric Company"/>
    <s v="Salon"/>
    <x v="3"/>
    <x v="8"/>
    <n v="10000"/>
    <n v="10000"/>
    <n v="0"/>
  </r>
  <r>
    <x v="1"/>
    <s v="CDA0363"/>
    <s v="DASHMESH ELECTRICAL"/>
    <s v="Dine-Out"/>
    <x v="1"/>
    <x v="3"/>
    <n v="4394"/>
    <n v="6394"/>
    <n v="2000"/>
  </r>
  <r>
    <x v="1"/>
    <s v="CAV0150"/>
    <s v="AVR Electricials &amp; Snantary"/>
    <s v="Dine-Out"/>
    <x v="1"/>
    <x v="3"/>
    <n v="3430"/>
    <n v="5430"/>
    <n v="2000"/>
  </r>
  <r>
    <x v="1"/>
    <s v="CSA0664"/>
    <s v="Sai Teja Electricals"/>
    <s v="Dine-Out"/>
    <x v="1"/>
    <x v="3"/>
    <n v="2441"/>
    <n v="4441"/>
    <n v="2000"/>
  </r>
  <r>
    <x v="1"/>
    <s v="CDH0040"/>
    <s v="Darshan Electricals"/>
    <s v="Dine-Out"/>
    <x v="3"/>
    <x v="8"/>
    <n v="7021"/>
    <n v="9021"/>
    <n v="2000"/>
  </r>
  <r>
    <x v="1"/>
    <s v="CSA0177"/>
    <s v="Samu Electricals"/>
    <s v="Dine-Out"/>
    <x v="1"/>
    <x v="3"/>
    <n v="4000"/>
    <n v="6000"/>
    <n v="2000"/>
  </r>
  <r>
    <x v="1"/>
    <s v="CGA0621"/>
    <s v="Ganesh Electricals And Hardares"/>
    <s v="Dine-Out"/>
    <x v="1"/>
    <x v="3"/>
    <n v="4720"/>
    <n v="6720"/>
    <n v="2000"/>
  </r>
  <r>
    <x v="1"/>
    <s v="CWH0031"/>
    <s v="WHITE HOUSE MARKETING"/>
    <s v="Dine-Out"/>
    <x v="1"/>
    <x v="3"/>
    <n v="4720"/>
    <n v="6720"/>
    <n v="2000"/>
  </r>
  <r>
    <x v="1"/>
    <s v="CRA0001"/>
    <s v="Radio Electric Emporium"/>
    <s v="Dine-Out"/>
    <x v="2"/>
    <x v="7"/>
    <n v="7073"/>
    <n v="9073"/>
    <n v="2000"/>
  </r>
  <r>
    <x v="1"/>
    <s v="CKH0054"/>
    <s v="Khalsa electric Co"/>
    <s v="Dine-Out"/>
    <x v="2"/>
    <x v="7"/>
    <n v="6828"/>
    <n v="7828"/>
    <n v="1000"/>
  </r>
  <r>
    <x v="1"/>
    <s v="CGO0580"/>
    <s v="Gopal Enterprises"/>
    <s v="Dine-Out"/>
    <x v="2"/>
    <x v="7"/>
    <n v="2741"/>
    <n v="4841"/>
    <n v="2100"/>
  </r>
  <r>
    <x v="1"/>
    <s v="CAL1169"/>
    <s v="Alsafa Trading Company "/>
    <s v="Dine-Out"/>
    <x v="3"/>
    <x v="8"/>
    <n v="4696"/>
    <n v="10000"/>
    <n v="5304"/>
  </r>
  <r>
    <x v="1"/>
    <s v="CVE0722"/>
    <s v="VERMA ELECTRIC STORE"/>
    <s v="Dine-Out"/>
    <x v="1"/>
    <x v="0"/>
    <n v="9499"/>
    <n v="9499"/>
    <n v="0"/>
  </r>
  <r>
    <x v="1"/>
    <s v="CRS0107"/>
    <s v="RS Battery"/>
    <s v="Spa"/>
    <x v="1"/>
    <x v="3"/>
    <n v="7000"/>
    <n v="8999"/>
    <n v="1999"/>
  </r>
  <r>
    <x v="1"/>
    <s v="CSH2836"/>
    <s v="Sharma Communication "/>
    <s v="Dine-Out"/>
    <x v="1"/>
    <x v="3"/>
    <n v="2110.5"/>
    <n v="4110"/>
    <n v="1999.5"/>
  </r>
  <r>
    <x v="1"/>
    <s v="CIL0020"/>
    <s v="Illumina Controls"/>
    <s v="Dine-Out"/>
    <x v="1"/>
    <x v="2"/>
    <n v="8125"/>
    <n v="9125"/>
    <n v="1000"/>
  </r>
  <r>
    <x v="1"/>
    <s v="CAK0164"/>
    <s v="Akshar Sales Corporation"/>
    <s v="Dine-Out"/>
    <x v="1"/>
    <x v="2"/>
    <n v="4717.6400000000003"/>
    <n v="5917"/>
    <n v="1199.3599999999997"/>
  </r>
  <r>
    <x v="1"/>
    <s v="CAD0553"/>
    <s v="Adhithyan Solar Power Solutions"/>
    <s v="Dine-Out"/>
    <x v="2"/>
    <x v="6"/>
    <n v="7847"/>
    <n v="9147"/>
    <n v="1300"/>
  </r>
  <r>
    <x v="1"/>
    <s v="CMK0027"/>
    <s v="MK DISTRIBUTOR GALAXY"/>
    <s v="Dine-Out"/>
    <x v="3"/>
    <x v="0"/>
    <n v="1480"/>
    <n v="2780"/>
    <n v="1300"/>
  </r>
  <r>
    <x v="1"/>
    <s v="CKV0016"/>
    <s v="K V R Enterprises"/>
    <s v="Dine-Out"/>
    <x v="3"/>
    <x v="8"/>
    <n v="9397"/>
    <n v="10000"/>
    <n v="603"/>
  </r>
  <r>
    <x v="1"/>
    <s v="CNE0226"/>
    <s v="New Bright Electrcals"/>
    <s v="Dine-Out"/>
    <x v="2"/>
    <x v="6"/>
    <n v="6545.46"/>
    <n v="8947"/>
    <n v="2401.54"/>
  </r>
  <r>
    <x v="1"/>
    <s v="CTE0394"/>
    <s v="TERRA LIVE LUXURIOUSLY LLP"/>
    <s v="Salon"/>
    <x v="1"/>
    <x v="6"/>
    <n v="9165"/>
    <n v="9665"/>
    <n v="500"/>
  </r>
  <r>
    <x v="1"/>
    <s v="CSA0928"/>
    <s v="Safiya Build Mart"/>
    <s v="Salon"/>
    <x v="1"/>
    <x v="6"/>
    <n v="10000"/>
    <n v="10000"/>
    <n v="0"/>
  </r>
  <r>
    <x v="1"/>
    <s v="CVO0053"/>
    <s v="Vohra Electricals"/>
    <s v="Dine-Out"/>
    <x v="3"/>
    <x v="8"/>
    <n v="9898"/>
    <n v="9898"/>
    <n v="0"/>
  </r>
  <r>
    <x v="1"/>
    <s v="CMI0201"/>
    <s v="Mittal Electricales"/>
    <s v="Dine-Out"/>
    <x v="3"/>
    <x v="8"/>
    <n v="10000"/>
    <n v="10000"/>
    <n v="0"/>
  </r>
  <r>
    <x v="1"/>
    <s v="CSR0587"/>
    <s v="Sri Raam Marketing"/>
    <s v="Dine-Out"/>
    <x v="0"/>
    <x v="5"/>
    <n v="4729"/>
    <n v="6729"/>
    <n v="2000"/>
  </r>
  <r>
    <x v="1"/>
    <s v="CAS0367"/>
    <s v="Ashish Sales"/>
    <s v="Dine-Out"/>
    <x v="1"/>
    <x v="3"/>
    <n v="1255"/>
    <n v="3255"/>
    <n v="2000"/>
  </r>
  <r>
    <x v="1"/>
    <s v="CRA1969"/>
    <s v="Rajeev Electricals"/>
    <s v="Dine-Out"/>
    <x v="3"/>
    <x v="8"/>
    <n v="9086"/>
    <n v="9886"/>
    <n v="800"/>
  </r>
  <r>
    <x v="1"/>
    <s v="CPA0273"/>
    <s v="Pawar Electrical Store"/>
    <s v="Dine-Out"/>
    <x v="1"/>
    <x v="6"/>
    <n v="3000"/>
    <n v="4000"/>
    <n v="1000"/>
  </r>
  <r>
    <x v="1"/>
    <s v="CRE1194"/>
    <s v="Renergy Systems India Private Limited"/>
    <s v="Dine-Out"/>
    <x v="2"/>
    <x v="7"/>
    <n v="8017.2"/>
    <n v="9017"/>
    <n v="999.80000000000018"/>
  </r>
  <r>
    <x v="1"/>
    <s v="CKU0095"/>
    <s v="Kumar Electric Store"/>
    <s v="Salon"/>
    <x v="3"/>
    <x v="0"/>
    <n v="9765"/>
    <n v="9765"/>
    <n v="0"/>
  </r>
  <r>
    <x v="1"/>
    <s v="CSU1660"/>
    <s v="SUMI AGENCIES"/>
    <s v="Dine-Out"/>
    <x v="2"/>
    <x v="0"/>
    <n v="8492.4599999999991"/>
    <n v="9492"/>
    <n v="999.54000000000087"/>
  </r>
  <r>
    <x v="1"/>
    <s v="CBI0361"/>
    <s v="BILAL SUPER SHINE"/>
    <s v="Dine-Out"/>
    <x v="3"/>
    <x v="8"/>
    <n v="9503"/>
    <n v="9503"/>
    <n v="0"/>
  </r>
  <r>
    <x v="1"/>
    <s v="Csm0075"/>
    <s v="S. M. Trading Company"/>
    <s v="Dine-Out"/>
    <x v="1"/>
    <x v="3"/>
    <n v="2584"/>
    <n v="4284"/>
    <n v="1700"/>
  </r>
  <r>
    <x v="1"/>
    <s v="CAS0716"/>
    <s v="Assam Supply Syndicate"/>
    <s v="Dine-Out"/>
    <x v="1"/>
    <x v="3"/>
    <n v="5805"/>
    <n v="6805"/>
    <n v="1000"/>
  </r>
  <r>
    <x v="1"/>
    <s v="CJY0074"/>
    <s v="Jyoti Bijli Ghar"/>
    <s v="Dine-Out"/>
    <x v="2"/>
    <x v="2"/>
    <n v="4809"/>
    <n v="6809"/>
    <n v="2000"/>
  </r>
  <r>
    <x v="1"/>
    <s v="CPA0759"/>
    <s v="Parayil Agencies"/>
    <s v="Spa"/>
    <x v="3"/>
    <x v="8"/>
    <n v="5600"/>
    <n v="8600"/>
    <n v="3000"/>
  </r>
  <r>
    <x v="1"/>
    <s v="CTI0223"/>
    <s v="Tiwari Machinery Tools"/>
    <s v="Dine-Out"/>
    <x v="3"/>
    <x v="8"/>
    <n v="953"/>
    <n v="1953"/>
    <n v="1000"/>
  </r>
  <r>
    <x v="1"/>
    <s v="CEL0311"/>
    <s v="Electric Ghar"/>
    <s v="Dine-Out"/>
    <x v="3"/>
    <x v="8"/>
    <n v="8260"/>
    <n v="9260"/>
    <n v="1000"/>
  </r>
  <r>
    <x v="1"/>
    <s v="CCO0139"/>
    <s v="Coverage Agencies"/>
    <s v="Dine-Out"/>
    <x v="3"/>
    <x v="8"/>
    <n v="10225"/>
    <n v="10225"/>
    <n v="0"/>
  </r>
  <r>
    <x v="1"/>
    <s v="CKA1098"/>
    <s v="Kanha Enterprises"/>
    <s v="Dine-Out"/>
    <x v="3"/>
    <x v="8"/>
    <n v="5107"/>
    <n v="6107"/>
    <n v="1000"/>
  </r>
  <r>
    <x v="1"/>
    <s v="CSH3125"/>
    <s v="Shree Gajanan Enterprise"/>
    <s v="Dine-Out"/>
    <x v="0"/>
    <x v="2"/>
    <n v="3494"/>
    <n v="4894"/>
    <n v="1400"/>
  </r>
  <r>
    <x v="1"/>
    <s v="CMA2410"/>
    <s v="Mansoor Iron Works"/>
    <s v="Dine-Out"/>
    <x v="2"/>
    <x v="7"/>
    <n v="4225"/>
    <n v="6224"/>
    <n v="1999"/>
  </r>
  <r>
    <x v="1"/>
    <s v="CSW0109"/>
    <s v="SWASTIK ENTERPRISES"/>
    <s v="Dine-Out"/>
    <x v="3"/>
    <x v="8"/>
    <n v="1859"/>
    <n v="2859"/>
    <n v="1000"/>
  </r>
  <r>
    <x v="1"/>
    <s v="CSR0213"/>
    <s v="Sree Ganesh Enterprises"/>
    <s v="Dine-Out"/>
    <x v="0"/>
    <x v="5"/>
    <n v="7670"/>
    <n v="8670"/>
    <n v="1000"/>
  </r>
  <r>
    <x v="1"/>
    <s v="CSR0846"/>
    <s v="Laxmi Ganesh Distributors"/>
    <s v="Dine-Out"/>
    <x v="0"/>
    <x v="5"/>
    <n v="11999.99"/>
    <n v="12000"/>
    <n v="1.0000000000218279E-2"/>
  </r>
  <r>
    <x v="1"/>
    <s v="CPO0525/CPO0151"/>
    <s v="Pooja Electricals"/>
    <s v="Dine-Out"/>
    <x v="3"/>
    <x v="8"/>
    <n v="2850"/>
    <n v="4850"/>
    <n v="2000"/>
  </r>
  <r>
    <x v="1"/>
    <s v="CKU0341"/>
    <s v="Kumaran Home Decors"/>
    <s v="Dine-Out"/>
    <x v="1"/>
    <x v="0"/>
    <n v="7080"/>
    <n v="8080"/>
    <n v="1000"/>
  </r>
  <r>
    <x v="1"/>
    <s v="CPA0919"/>
    <s v="Pandian Plastic Traders"/>
    <s v="Dine-Out"/>
    <x v="0"/>
    <x v="5"/>
    <n v="6602"/>
    <n v="7602"/>
    <n v="1000"/>
  </r>
  <r>
    <x v="1"/>
    <s v="CAN1196"/>
    <s v="ANNAI MARKETING"/>
    <s v="Dine-Out"/>
    <x v="0"/>
    <x v="5"/>
    <n v="7688"/>
    <n v="9688"/>
    <n v="2000"/>
  </r>
  <r>
    <x v="1"/>
    <s v="CUN0498"/>
    <s v="Unity Engineers"/>
    <s v="Dine-Out"/>
    <x v="3"/>
    <x v="8"/>
    <n v="5619"/>
    <n v="7619"/>
    <n v="2000"/>
  </r>
  <r>
    <x v="1"/>
    <s v="CJA1010"/>
    <s v="Jay Hind Electricals"/>
    <s v="Dine-Out"/>
    <x v="3"/>
    <x v="8"/>
    <n v="9554"/>
    <n v="9554"/>
    <n v="0"/>
  </r>
  <r>
    <x v="1"/>
    <s v="CDU0079"/>
    <s v="Durga Agencis "/>
    <s v="Dine-Out"/>
    <x v="1"/>
    <x v="6"/>
    <n v="1141"/>
    <n v="3141"/>
    <n v="2000"/>
  </r>
  <r>
    <x v="1"/>
    <s v="CIN0161"/>
    <s v="INDUSTRIAL SUPPLIERS ENGINEERS"/>
    <s v="Dine-Out"/>
    <x v="1"/>
    <x v="6"/>
    <n v="1896"/>
    <n v="3896"/>
    <n v="2000"/>
  </r>
  <r>
    <x v="1"/>
    <s v="Cma0013"/>
    <s v="Mahaveer Electricals"/>
    <s v="Spa"/>
    <x v="3"/>
    <x v="0"/>
    <n v="8000"/>
    <n v="9250"/>
    <n v="1250"/>
  </r>
  <r>
    <x v="1"/>
    <s v="CRA2177"/>
    <s v="RAJPUROHIT ELECTRICALS"/>
    <s v="Dine-Out"/>
    <x v="1"/>
    <x v="0"/>
    <n v="8429"/>
    <n v="9429"/>
    <n v="1000"/>
  </r>
  <r>
    <x v="1"/>
    <s v="CBE0056 "/>
    <s v="Best Marketing"/>
    <s v="Dine-Out"/>
    <x v="0"/>
    <x v="5"/>
    <n v="8271"/>
    <n v="9271"/>
    <n v="1000"/>
  </r>
  <r>
    <x v="2"/>
    <s v="CSH3232"/>
    <s v="Shreedeep"/>
    <s v="Dine-Out"/>
    <x v="1"/>
    <x v="2"/>
    <n v="18538"/>
    <n v="21538"/>
    <n v="3000"/>
  </r>
  <r>
    <x v="2"/>
    <s v="CAN0331"/>
    <s v="Anand Electrical"/>
    <s v="Dine-Out"/>
    <x v="2"/>
    <x v="0"/>
    <n v="16697"/>
    <n v="21697"/>
    <n v="5000"/>
  </r>
  <r>
    <x v="2"/>
    <s v="CAS0547"/>
    <s v="Ashish Electricals Works"/>
    <s v="Dine-Out"/>
    <x v="2"/>
    <x v="0"/>
    <n v="18172"/>
    <n v="21172"/>
    <n v="3000"/>
  </r>
  <r>
    <x v="2"/>
    <s v="CMA0191"/>
    <s v="Mahavira Electric Co."/>
    <s v="Gym"/>
    <x v="1"/>
    <x v="0"/>
    <n v="18000"/>
    <n v="20500"/>
    <n v="2500"/>
  </r>
  <r>
    <x v="2"/>
    <s v="CSR1295"/>
    <s v="Sri Diamond Hardware And Electricals"/>
    <s v="Spa"/>
    <x v="1"/>
    <x v="6"/>
    <n v="27331"/>
    <n v="22000"/>
    <n v="-5331"/>
  </r>
  <r>
    <x v="2"/>
    <s v="CBA2569"/>
    <s v="Basha Home Needs"/>
    <s v="Dine-Out"/>
    <x v="1"/>
    <x v="3"/>
    <n v="2590"/>
    <n v="4590"/>
    <n v="2000"/>
  </r>
  <r>
    <x v="2"/>
    <s v="CSA2377"/>
    <s v="SAMPTEL ENERGY PRIVATE LIMITED"/>
    <s v="Spa"/>
    <x v="1"/>
    <x v="6"/>
    <n v="5000"/>
    <n v="8000"/>
    <n v="3000"/>
  </r>
  <r>
    <x v="2"/>
    <s v="CSI0495"/>
    <s v="Singaniya Enterprises"/>
    <s v="Gym"/>
    <x v="1"/>
    <x v="0"/>
    <n v="21000"/>
    <n v="21500"/>
    <n v="500"/>
  </r>
  <r>
    <x v="2"/>
    <s v="CAG0244"/>
    <s v="Agarwal Enterprises"/>
    <s v="Dine-Out"/>
    <x v="1"/>
    <x v="2"/>
    <n v="13557"/>
    <n v="19557"/>
    <n v="6000"/>
  </r>
  <r>
    <x v="2"/>
    <s v="CAL0007"/>
    <s v="Allied Trade Links"/>
    <s v="Dine-Out"/>
    <x v="1"/>
    <x v="3"/>
    <n v="14513.59"/>
    <n v="18513.59"/>
    <n v="4000"/>
  </r>
  <r>
    <x v="2"/>
    <s v="Csa0009"/>
    <s v="Sai Marketing"/>
    <s v="Gym"/>
    <x v="3"/>
    <x v="8"/>
    <n v="20180"/>
    <n v="21180"/>
    <n v="1000"/>
  </r>
  <r>
    <x v="2"/>
    <s v="CSU0131"/>
    <s v="Supreme Electro Controls"/>
    <s v="Dine-Out"/>
    <x v="0"/>
    <x v="5"/>
    <n v="9293"/>
    <n v="9893"/>
    <n v="600"/>
  </r>
  <r>
    <x v="2"/>
    <s v="CJA0307"/>
    <s v="Jay Enterprise-Ahd"/>
    <s v="Dine-Out"/>
    <x v="1"/>
    <x v="2"/>
    <n v="16826.8"/>
    <n v="20826.8"/>
    <n v="4000"/>
  </r>
  <r>
    <x v="2"/>
    <s v="CKA0144"/>
    <s v="Kaylight And Electrical Goods Pvt. Ltd."/>
    <s v="Gym"/>
    <x v="0"/>
    <x v="0"/>
    <n v="20690"/>
    <n v="21690"/>
    <n v="1000"/>
  </r>
  <r>
    <x v="2"/>
    <s v="Cas0125"/>
    <s v="Asian Electricals"/>
    <s v="Gym"/>
    <x v="3"/>
    <x v="0"/>
    <n v="20000"/>
    <n v="21500"/>
    <n v="1500"/>
  </r>
  <r>
    <x v="2"/>
    <s v="CRA0705"/>
    <s v="Raj and Sons"/>
    <s v="Dine-Out"/>
    <x v="0"/>
    <x v="2"/>
    <n v="9896"/>
    <n v="12896"/>
    <n v="3000"/>
  </r>
  <r>
    <x v="2"/>
    <s v="CBN0009"/>
    <s v="B N Electricals"/>
    <s v="Dine-Out"/>
    <x v="1"/>
    <x v="0"/>
    <n v="9969.82"/>
    <n v="14969.82"/>
    <n v="5000"/>
  </r>
  <r>
    <x v="2"/>
    <s v="CSA1112"/>
    <s v="Sangam"/>
    <s v="Dine-Out"/>
    <x v="2"/>
    <x v="0"/>
    <n v="6153.82"/>
    <n v="11153.82"/>
    <n v="5000"/>
  </r>
  <r>
    <x v="2"/>
    <s v="CSA0318"/>
    <s v="Sanzari"/>
    <s v="Dine-Out"/>
    <x v="1"/>
    <x v="3"/>
    <n v="15925"/>
    <n v="21925"/>
    <n v="6000"/>
  </r>
  <r>
    <x v="2"/>
    <s v="CBH0563"/>
    <s v="Bharat Electricals"/>
    <s v="Dine-Out"/>
    <x v="2"/>
    <x v="7"/>
    <n v="8496"/>
    <n v="11496"/>
    <n v="3000"/>
  </r>
  <r>
    <x v="2"/>
    <s v="CMA2782"/>
    <s v="Maa Annapurna Agency"/>
    <s v="Dine-Out"/>
    <x v="2"/>
    <x v="7"/>
    <n v="11360"/>
    <n v="15360"/>
    <n v="4000"/>
  </r>
  <r>
    <x v="2"/>
    <s v="CDI1192"/>
    <s v="Divya Retail India Pvt. Ltd."/>
    <s v="Dine-Out"/>
    <x v="1"/>
    <x v="2"/>
    <n v="7312"/>
    <n v="8312"/>
    <n v="1000"/>
  </r>
  <r>
    <x v="2"/>
    <s v="CSH0909"/>
    <s v="Shiva Electricals"/>
    <s v="Kids Activity"/>
    <x v="0"/>
    <x v="0"/>
    <n v="9200"/>
    <n v="9900"/>
    <n v="700"/>
  </r>
  <r>
    <x v="2"/>
    <s v="CGA0376"/>
    <s v="Gaurav Electrovision"/>
    <s v="Mammography"/>
    <x v="2"/>
    <x v="0"/>
    <n v="16400"/>
    <n v="18400"/>
    <n v="2000"/>
  </r>
  <r>
    <x v="2"/>
    <s v="CVI0042"/>
    <s v="Viney Electricals"/>
    <s v="Gym"/>
    <x v="0"/>
    <x v="0"/>
    <n v="20690"/>
    <n v="21690"/>
    <n v="1000"/>
  </r>
  <r>
    <x v="2"/>
    <s v="CKA1012"/>
    <s v="Kansal Electric"/>
    <s v="Dine-Out"/>
    <x v="3"/>
    <x v="8"/>
    <n v="19232"/>
    <n v="22000"/>
    <n v="2768"/>
  </r>
  <r>
    <x v="2"/>
    <s v="CRB0020"/>
    <s v="R.B. Electrical"/>
    <s v="Dine-Out"/>
    <x v="0"/>
    <x v="5"/>
    <n v="7188.5599999999995"/>
    <n v="12884.56"/>
    <n v="5696"/>
  </r>
  <r>
    <x v="2"/>
    <s v="Cse0097"/>
    <s v="See India Electricals"/>
    <s v="Salon"/>
    <x v="3"/>
    <x v="8"/>
    <n v="21000"/>
    <n v="22000"/>
    <n v="1000"/>
  </r>
  <r>
    <x v="2"/>
    <s v="CJS0097"/>
    <s v="JSM Group"/>
    <s v="Dine-Out"/>
    <x v="1"/>
    <x v="3"/>
    <n v="6223"/>
    <n v="8223"/>
    <n v="2000"/>
  </r>
  <r>
    <x v="2"/>
    <s v="CSR0093"/>
    <s v="Sri Ganesh Electricals"/>
    <s v="Spa"/>
    <x v="1"/>
    <x v="3"/>
    <n v="18665"/>
    <n v="21665"/>
    <n v="3000"/>
  </r>
  <r>
    <x v="2"/>
    <s v="CSR0467"/>
    <s v="Sree Manikka Vinayagar Agencies"/>
    <s v="Salon"/>
    <x v="1"/>
    <x v="3"/>
    <n v="16478"/>
    <n v="20478"/>
    <n v="4000"/>
  </r>
  <r>
    <x v="2"/>
    <s v="CPR0769"/>
    <s v="Prabhu Appliances"/>
    <s v="Salon"/>
    <x v="1"/>
    <x v="3"/>
    <n v="16175"/>
    <n v="20175"/>
    <n v="4000"/>
  </r>
  <r>
    <x v="2"/>
    <s v="COM0162"/>
    <s v="Om Prakash Agarwal"/>
    <s v="Salon"/>
    <x v="0"/>
    <x v="5"/>
    <n v="20000"/>
    <n v="21500"/>
    <n v="1500"/>
  </r>
  <r>
    <x v="2"/>
    <s v="CSH2479"/>
    <s v="Shagun Enterprises"/>
    <s v="Salon"/>
    <x v="1"/>
    <x v="6"/>
    <n v="10000"/>
    <n v="10000"/>
    <n v="0"/>
  </r>
  <r>
    <x v="2"/>
    <s v="CUM0045"/>
    <s v="Umiya Electricals"/>
    <s v="Dine-Out"/>
    <x v="0"/>
    <x v="6"/>
    <n v="9436"/>
    <n v="9936"/>
    <n v="500"/>
  </r>
  <r>
    <x v="2"/>
    <s v="CBH0345"/>
    <s v="Bharathi Electricals"/>
    <s v="Dine-Out"/>
    <x v="2"/>
    <x v="7"/>
    <n v="21000"/>
    <n v="21750"/>
    <n v="750"/>
  </r>
  <r>
    <x v="2"/>
    <s v="CSU1041"/>
    <s v="Sunovative Private Limited"/>
    <s v="Dine-Out"/>
    <x v="2"/>
    <x v="7"/>
    <n v="7080"/>
    <n v="9080"/>
    <n v="2000"/>
  </r>
  <r>
    <x v="2"/>
    <s v="CAG0205"/>
    <s v="Agari Enterprises"/>
    <s v="Dine-Out"/>
    <x v="1"/>
    <x v="3"/>
    <n v="6319"/>
    <n v="12319"/>
    <n v="6000"/>
  </r>
  <r>
    <x v="2"/>
    <s v="CSA1347"/>
    <s v="Satish Kumar Madan Lal"/>
    <s v="Dine-Out"/>
    <x v="0"/>
    <x v="2"/>
    <n v="2179"/>
    <n v="4358"/>
    <n v="2179"/>
  </r>
  <r>
    <x v="2"/>
    <s v="CGA0223"/>
    <s v="Garima Electric Company"/>
    <s v="Dine-Out"/>
    <x v="1"/>
    <x v="2"/>
    <n v="7206"/>
    <n v="10000"/>
    <n v="2794"/>
  </r>
  <r>
    <x v="2"/>
    <s v="CMA1098"/>
    <s v="Maruti Electricals"/>
    <s v="Dine-Out"/>
    <x v="1"/>
    <x v="2"/>
    <n v="17273"/>
    <n v="22000"/>
    <n v="4727"/>
  </r>
  <r>
    <x v="2"/>
    <s v="CMS0073"/>
    <s v="M.S. Trade Link"/>
    <s v="Dine-Out"/>
    <x v="3"/>
    <x v="8"/>
    <n v="9440"/>
    <n v="9660"/>
    <n v="220"/>
  </r>
  <r>
    <x v="2"/>
    <s v="CDI0156"/>
    <s v="Dinesh Electricals"/>
    <s v="Dine-Out"/>
    <x v="3"/>
    <x v="8"/>
    <n v="10000"/>
    <n v="10000"/>
    <n v="0"/>
  </r>
  <r>
    <x v="2"/>
    <s v="CMA0451"/>
    <s v="Magan Traders"/>
    <s v="Dine-Out"/>
    <x v="0"/>
    <x v="6"/>
    <n v="20907"/>
    <n v="21907"/>
    <n v="1000"/>
  </r>
  <r>
    <x v="2"/>
    <s v="CHI0200"/>
    <s v="Hi Tech Marketing"/>
    <s v="Dine-Out"/>
    <x v="2"/>
    <x v="6"/>
    <n v="10119"/>
    <n v="16119"/>
    <n v="6000"/>
  </r>
  <r>
    <x v="2"/>
    <s v="CHI0159"/>
    <s v="Hi Choice Electricals"/>
    <s v="Dine-Out"/>
    <x v="0"/>
    <x v="5"/>
    <n v="9421"/>
    <n v="11421"/>
    <n v="2000"/>
  </r>
  <r>
    <x v="2"/>
    <s v="CKA0797"/>
    <s v="Kishore Kumar"/>
    <s v="Dine-Out"/>
    <x v="3"/>
    <x v="8"/>
    <n v="18754"/>
    <n v="21650"/>
    <n v="2896"/>
  </r>
  <r>
    <x v="2"/>
    <s v="CPA0348"/>
    <s v="Pankaj Electricals "/>
    <s v="Dine-Out"/>
    <x v="3"/>
    <x v="8"/>
    <n v="20591"/>
    <n v="21591"/>
    <n v="1000"/>
  </r>
  <r>
    <x v="2"/>
    <s v="CSA1324"/>
    <s v="Sansar Udyog Pvt Ltd"/>
    <s v="Dine-Out"/>
    <x v="3"/>
    <x v="8"/>
    <n v="9471"/>
    <n v="9471"/>
    <n v="0"/>
  </r>
  <r>
    <x v="2"/>
    <s v="CSI0174"/>
    <s v="Sidharth Electric Corporation"/>
    <s v="Dine-Out"/>
    <x v="3"/>
    <x v="8"/>
    <n v="8274"/>
    <n v="8974"/>
    <n v="700"/>
  </r>
  <r>
    <x v="2"/>
    <s v="CST5996"/>
    <s v="Star Enterprises"/>
    <s v="Dine-Out"/>
    <x v="3"/>
    <x v="8"/>
    <n v="5689"/>
    <n v="10000"/>
    <n v="4311"/>
  </r>
  <r>
    <x v="2"/>
    <s v="CPE0401"/>
    <s v="Perfect Builders Store Ltd."/>
    <s v="Dine-Out"/>
    <x v="2"/>
    <x v="0"/>
    <n v="5664"/>
    <n v="12664"/>
    <n v="7000"/>
  </r>
  <r>
    <x v="2"/>
    <s v="CGL0050"/>
    <s v="Gleam Electric And Power Company"/>
    <s v="Dine-Out"/>
    <x v="2"/>
    <x v="0"/>
    <n v="6984"/>
    <n v="8984"/>
    <n v="2000"/>
  </r>
  <r>
    <x v="2"/>
    <s v="CAJ0055"/>
    <s v="Ajmera Trading Company"/>
    <s v="Dine-Out"/>
    <x v="2"/>
    <x v="0"/>
    <n v="6547"/>
    <n v="8547"/>
    <n v="2000"/>
  </r>
  <r>
    <x v="2"/>
    <s v="CMA0976"/>
    <s v="Manish Electricals (India)"/>
    <s v="Dine-Out"/>
    <x v="2"/>
    <x v="7"/>
    <n v="8992"/>
    <n v="9568"/>
    <n v="576"/>
  </r>
  <r>
    <x v="2"/>
    <s v="CPR0624"/>
    <s v="Praveen Electricals"/>
    <s v="Dine-Out"/>
    <x v="2"/>
    <x v="7"/>
    <n v="22921"/>
    <n v="22000"/>
    <n v="-921"/>
  </r>
  <r>
    <x v="2"/>
    <s v="CAV0298"/>
    <s v="AVS ELECTRICAL AND SWITCHGEARS PRIV"/>
    <s v="Spa"/>
    <x v="1"/>
    <x v="3"/>
    <n v="9825"/>
    <n v="9825"/>
    <n v="0"/>
  </r>
  <r>
    <x v="2"/>
    <s v="CMU0469"/>
    <s v="Murli Electricals"/>
    <s v="Salon"/>
    <x v="1"/>
    <x v="3"/>
    <n v="16000"/>
    <n v="18000"/>
    <n v="2000"/>
  </r>
  <r>
    <x v="2"/>
    <s v="CGA0871"/>
    <s v="GARG ELECTRIC"/>
    <s v="Dine-Out"/>
    <x v="3"/>
    <x v="8"/>
    <n v="8020"/>
    <n v="9020"/>
    <n v="1000"/>
  </r>
  <r>
    <x v="2"/>
    <s v="CKI0070"/>
    <s v="Kishan Enterprises"/>
    <s v="Spa"/>
    <x v="3"/>
    <x v="8"/>
    <n v="9450"/>
    <n v="9450"/>
    <n v="0"/>
  </r>
  <r>
    <x v="2"/>
    <s v="CSA0879"/>
    <s v="Samay Marketing"/>
    <s v="Dine-Out"/>
    <x v="3"/>
    <x v="8"/>
    <n v="18447.18"/>
    <n v="20447.18"/>
    <n v="2000"/>
  </r>
  <r>
    <x v="2"/>
    <s v="CAN0116"/>
    <s v="ANKIT ELECTRICALS"/>
    <s v="Spa"/>
    <x v="3"/>
    <x v="8"/>
    <n v="7350"/>
    <n v="9350"/>
    <n v="2000"/>
  </r>
  <r>
    <x v="2"/>
    <s v="CNI0536"/>
    <s v="Niranjan Agencies"/>
    <s v="Salon"/>
    <x v="0"/>
    <x v="6"/>
    <n v="6038"/>
    <n v="8038"/>
    <n v="2000"/>
  </r>
  <r>
    <x v="2"/>
    <s v="CSA0118"/>
    <s v="Savar Enterprises"/>
    <s v="Dine-Out"/>
    <x v="3"/>
    <x v="8"/>
    <n v="20000"/>
    <n v="22000"/>
    <n v="2000"/>
  </r>
  <r>
    <x v="2"/>
    <s v="CRA2255"/>
    <s v="RAMA REFLECTION INDIA PRIVATE LIMIT"/>
    <s v="Dine-Out"/>
    <x v="2"/>
    <x v="6"/>
    <n v="3422.24"/>
    <n v="5422.24"/>
    <n v="2000"/>
  </r>
  <r>
    <x v="2"/>
    <s v="CSH0890"/>
    <s v="Sharad Electricals"/>
    <s v="Gym"/>
    <x v="1"/>
    <x v="3"/>
    <n v="10000"/>
    <n v="10000"/>
    <n v="0"/>
  </r>
  <r>
    <x v="2"/>
    <s v="CHA0958"/>
    <s v="Hari Om Lighting"/>
    <s v="Gym"/>
    <x v="3"/>
    <x v="8"/>
    <n v="20000"/>
    <n v="21845"/>
    <n v="1845"/>
  </r>
  <r>
    <x v="2"/>
    <s v="CGR0177"/>
    <s v="Gracias Electrics"/>
    <s v="Gym"/>
    <x v="1"/>
    <x v="0"/>
    <n v="10000"/>
    <n v="10000"/>
    <n v="0"/>
  </r>
  <r>
    <x v="2"/>
    <s v="CSH0184"/>
    <s v="Shubham Agencies"/>
    <s v="Dine-Out"/>
    <x v="0"/>
    <x v="6"/>
    <n v="11436"/>
    <n v="14436"/>
    <n v="3000"/>
  </r>
  <r>
    <x v="2"/>
    <s v="CCH0480"/>
    <s v="Chopra Industrial Corporation"/>
    <s v="Dine-Out"/>
    <x v="2"/>
    <x v="7"/>
    <n v="22000"/>
    <n v="22000"/>
    <n v="0"/>
  </r>
  <r>
    <x v="2"/>
    <s v="CKI0206"/>
    <s v="Kineto India Private Limited"/>
    <s v="Dine-Out"/>
    <x v="2"/>
    <x v="7"/>
    <n v="11328"/>
    <n v="13328"/>
    <n v="2000"/>
  </r>
  <r>
    <x v="2"/>
    <s v="CRO0137"/>
    <s v="Rohan Madan Electric Company"/>
    <s v="Dine-Out"/>
    <x v="1"/>
    <x v="3"/>
    <n v="10721"/>
    <n v="14721"/>
    <n v="4000"/>
  </r>
  <r>
    <x v="2"/>
    <s v="CSA1685"/>
    <s v="SARK Engineers"/>
    <s v="Salon"/>
    <x v="1"/>
    <x v="3"/>
    <n v="10000"/>
    <n v="10000"/>
    <n v="0"/>
  </r>
  <r>
    <x v="2"/>
    <s v="CKU0279"/>
    <s v="Kunnal electronics"/>
    <s v="Dine-Out"/>
    <x v="0"/>
    <x v="2"/>
    <n v="9062"/>
    <n v="9862"/>
    <n v="800"/>
  </r>
  <r>
    <x v="2"/>
    <s v="CAN1172"/>
    <s v="ANIKA CORPORATION"/>
    <s v="Kids Activity"/>
    <x v="1"/>
    <x v="0"/>
    <n v="7499"/>
    <n v="8499"/>
    <n v="1000"/>
  </r>
  <r>
    <x v="2"/>
    <s v="CAM2735"/>
    <s v="AMBBA JYOTI ELECTRICALS"/>
    <s v="Dine-Out"/>
    <x v="0"/>
    <x v="6"/>
    <n v="10615"/>
    <n v="10615"/>
    <n v="0"/>
  </r>
  <r>
    <x v="2"/>
    <s v="CCH0604"/>
    <s v="Chordia Electricals"/>
    <s v="Dine-Out"/>
    <x v="2"/>
    <x v="7"/>
    <n v="3460"/>
    <n v="5847"/>
    <n v="2387"/>
  </r>
  <r>
    <x v="2"/>
    <s v="CSO0528"/>
    <s v="SOURAV ELECTRICALS"/>
    <s v="Dine-Out"/>
    <x v="2"/>
    <x v="7"/>
    <n v="11800"/>
    <n v="14800"/>
    <n v="3000"/>
  </r>
  <r>
    <x v="2"/>
    <s v="CHI0214"/>
    <s v="Hiramani Enterprises"/>
    <s v="Gym"/>
    <x v="1"/>
    <x v="3"/>
    <n v="10000"/>
    <n v="10000"/>
    <n v="0"/>
  </r>
  <r>
    <x v="2"/>
    <s v="CBI0004"/>
    <s v="Bihar Electric Stores"/>
    <s v="Dine-Out"/>
    <x v="2"/>
    <x v="7"/>
    <n v="13276"/>
    <n v="16276"/>
    <n v="3000"/>
  </r>
  <r>
    <x v="2"/>
    <s v="CNA0527"/>
    <s v="Narayan Enterprises"/>
    <s v="Dine-Out"/>
    <x v="3"/>
    <x v="8"/>
    <n v="7073"/>
    <n v="8073"/>
    <n v="1000"/>
  </r>
  <r>
    <x v="2"/>
    <s v="CBA2388"/>
    <s v="BALAJI LIGHTS"/>
    <s v="Dine-Out"/>
    <x v="3"/>
    <x v="8"/>
    <n v="4969"/>
    <n v="6968"/>
    <n v="1999"/>
  </r>
  <r>
    <x v="2"/>
    <s v="CMA2885"/>
    <s v="Maa Sharda Agency"/>
    <s v="Kids Summer Classes (Online)"/>
    <x v="1"/>
    <x v="0"/>
    <n v="9350"/>
    <n v="10000"/>
    <n v="650"/>
  </r>
  <r>
    <x v="2"/>
    <s v="cmi0333"/>
    <s v="Mir Electric industries"/>
    <s v="Salon"/>
    <x v="0"/>
    <x v="0"/>
    <n v="7650"/>
    <n v="9650"/>
    <n v="2000"/>
  </r>
  <r>
    <x v="2"/>
    <s v="Cgo0540"/>
    <s v="Goyal Traders"/>
    <s v="Yoga"/>
    <x v="3"/>
    <x v="0"/>
    <n v="21000"/>
    <n v="22000"/>
    <n v="1000"/>
  </r>
  <r>
    <x v="2"/>
    <s v="CMD0023"/>
    <s v="M D Enterprises"/>
    <s v="Gym"/>
    <x v="3"/>
    <x v="8"/>
    <n v="9500"/>
    <n v="10000"/>
    <n v="500"/>
  </r>
  <r>
    <x v="2"/>
    <s v="CSH2026"/>
    <s v="Shri Pita Maruti Electrical Stores"/>
    <s v="Dine-Out"/>
    <x v="1"/>
    <x v="2"/>
    <n v="16284"/>
    <n v="21284"/>
    <n v="5000"/>
  </r>
  <r>
    <x v="2"/>
    <s v="CBP0003"/>
    <s v="B.P.Engineers and Electronics Pvt Ltd"/>
    <s v="Dine-Out"/>
    <x v="3"/>
    <x v="8"/>
    <n v="21584"/>
    <n v="21884"/>
    <n v="300"/>
  </r>
  <r>
    <x v="2"/>
    <s v="CIN2030"/>
    <s v="Industrial Controls"/>
    <s v="Dine-Out"/>
    <x v="2"/>
    <x v="7"/>
    <n v="20027"/>
    <n v="14027"/>
    <n v="-6000"/>
  </r>
  <r>
    <x v="2"/>
    <s v="CAD0672"/>
    <s v="Adrika Enterprise"/>
    <s v="Dine-Out"/>
    <x v="1"/>
    <x v="2"/>
    <n v="6816"/>
    <n v="8816"/>
    <n v="2000"/>
  </r>
  <r>
    <x v="2"/>
    <s v="CPR0899"/>
    <s v="Premier Sales Corporation"/>
    <s v="Dine-Out"/>
    <x v="1"/>
    <x v="2"/>
    <n v="4544"/>
    <n v="7544"/>
    <n v="3000"/>
  </r>
  <r>
    <x v="2"/>
    <s v="CJJ0011"/>
    <s v="J.J. Electricals"/>
    <s v="Dine-Out"/>
    <x v="1"/>
    <x v="2"/>
    <n v="12957"/>
    <n v="16447"/>
    <n v="3490"/>
  </r>
  <r>
    <x v="2"/>
    <s v="CBA0890"/>
    <s v="Baldev Electric Co"/>
    <s v="Gym"/>
    <x v="3"/>
    <x v="0"/>
    <n v="10000"/>
    <n v="10000"/>
    <n v="0"/>
  </r>
  <r>
    <x v="2"/>
    <s v="CBK0015"/>
    <s v="B K Hardware Store"/>
    <s v="Gym"/>
    <x v="0"/>
    <x v="0"/>
    <n v="14500"/>
    <n v="16500"/>
    <n v="2000"/>
  </r>
  <r>
    <x v="2"/>
    <s v="CCA0082"/>
    <s v="Capital Fancy Light"/>
    <s v="Dine-Out"/>
    <x v="0"/>
    <x v="6"/>
    <n v="9794"/>
    <n v="13794"/>
    <n v="4000"/>
  </r>
  <r>
    <x v="2"/>
    <s v="CGU2242"/>
    <s v="Gupta Electrical Works"/>
    <s v="Dine-Out"/>
    <x v="0"/>
    <x v="6"/>
    <n v="8518.1299999999992"/>
    <n v="12518"/>
    <n v="3999.8700000000008"/>
  </r>
  <r>
    <x v="2"/>
    <s v="CSP0811"/>
    <s v="Sparkle"/>
    <s v="Yoga"/>
    <x v="1"/>
    <x v="0"/>
    <n v="8550"/>
    <n v="9550"/>
    <n v="1000"/>
  </r>
  <r>
    <x v="2"/>
    <s v="CRU0185"/>
    <s v="RUDRA TRADERS"/>
    <s v="Spa"/>
    <x v="3"/>
    <x v="8"/>
    <n v="10288"/>
    <n v="10288"/>
    <n v="0"/>
  </r>
  <r>
    <x v="2"/>
    <s v="CAJ0126"/>
    <s v="Ajanta Music and Electricals"/>
    <s v="Salon"/>
    <x v="1"/>
    <x v="6"/>
    <n v="7350"/>
    <n v="9350"/>
    <n v="2000"/>
  </r>
  <r>
    <x v="2"/>
    <s v="CNA0595"/>
    <s v="NARAYAN AGENCY ( LIGHT KING)"/>
    <s v="Dine-Out"/>
    <x v="3"/>
    <x v="8"/>
    <n v="20000"/>
    <n v="22000"/>
    <n v="2000"/>
  </r>
  <r>
    <x v="2"/>
    <s v="CBA0753"/>
    <s v="Balaji Electric"/>
    <s v="Dine-Out"/>
    <x v="3"/>
    <x v="8"/>
    <n v="14550"/>
    <n v="16550"/>
    <n v="2000"/>
  </r>
  <r>
    <x v="2"/>
    <s v="CAL0069"/>
    <s v="Alam Electricals"/>
    <s v="Kids Activity"/>
    <x v="3"/>
    <x v="8"/>
    <n v="20000"/>
    <n v="21800"/>
    <n v="1800"/>
  </r>
  <r>
    <x v="2"/>
    <s v="CNE0851"/>
    <s v="New Maa Durga Electricals"/>
    <s v="Spa"/>
    <x v="3"/>
    <x v="8"/>
    <n v="8190"/>
    <n v="9190"/>
    <n v="1000"/>
  </r>
  <r>
    <x v="2"/>
    <s v="CSU0086"/>
    <s v="Subudhi Electrical Stores"/>
    <s v="Dine-Out"/>
    <x v="3"/>
    <x v="8"/>
    <n v="8968"/>
    <n v="9968"/>
    <n v="1000"/>
  </r>
  <r>
    <x v="2"/>
    <s v="CMM0051"/>
    <s v="M.M.LIGHTS"/>
    <s v="Dine-Out"/>
    <x v="3"/>
    <x v="8"/>
    <n v="4791"/>
    <n v="7791"/>
    <n v="3000"/>
  </r>
  <r>
    <x v="2"/>
    <s v="CBE0024"/>
    <s v="Bengal Engineering Industries"/>
    <s v="Spa"/>
    <x v="3"/>
    <x v="8"/>
    <n v="17850"/>
    <n v="21850"/>
    <n v="4000"/>
  </r>
  <r>
    <x v="2"/>
    <s v="CRB0005"/>
    <s v="R.B.Chandak and Sons"/>
    <s v="Dine-Out"/>
    <x v="0"/>
    <x v="6"/>
    <n v="20149"/>
    <n v="22000"/>
    <n v="1851"/>
  </r>
  <r>
    <x v="2"/>
    <s v="CSH0925"/>
    <s v="Shyam Electricals"/>
    <s v="Kids Activity"/>
    <x v="3"/>
    <x v="8"/>
    <n v="20000"/>
    <n v="22000"/>
    <n v="2000"/>
  </r>
  <r>
    <x v="2"/>
    <s v="Cik0001"/>
    <s v="Hajra Mehmood "/>
    <s v="Dine-Out"/>
    <x v="3"/>
    <x v="8"/>
    <n v="20195.7"/>
    <n v="22000"/>
    <n v="1804.2999999999993"/>
  </r>
  <r>
    <x v="2"/>
    <s v="CMK0063"/>
    <s v="M.K. Traders"/>
    <s v="Dine-Out"/>
    <x v="3"/>
    <x v="8"/>
    <n v="10000"/>
    <n v="10000"/>
    <n v="0"/>
  </r>
  <r>
    <x v="2"/>
    <s v="CGU0027"/>
    <s v="Gupta Traders"/>
    <s v="Gym"/>
    <x v="3"/>
    <x v="8"/>
    <n v="20000"/>
    <n v="21500"/>
    <n v="1500"/>
  </r>
  <r>
    <x v="2"/>
    <s v="CAS0387"/>
    <s v="ASIAN ASSOCIATES"/>
    <s v="Dine-Out"/>
    <x v="3"/>
    <x v="8"/>
    <n v="8845"/>
    <n v="9945"/>
    <n v="1100"/>
  </r>
  <r>
    <x v="2"/>
    <s v="CSA1326"/>
    <s v="Sagar Engineering"/>
    <s v="Dine-Out"/>
    <x v="3"/>
    <x v="8"/>
    <n v="9691"/>
    <n v="9691"/>
    <n v="0"/>
  </r>
  <r>
    <x v="2"/>
    <s v="CGA0285"/>
    <s v="Ganpati Enterprises"/>
    <s v="Dine-Out"/>
    <x v="2"/>
    <x v="0"/>
    <n v="8138.46"/>
    <n v="9138.4599999999991"/>
    <n v="999.99999999999909"/>
  </r>
  <r>
    <x v="2"/>
    <s v="CLA1102"/>
    <s v="Ladda Infratech Pvt. Ltd. (Ganav Retail)"/>
    <s v="Gym"/>
    <x v="1"/>
    <x v="0"/>
    <n v="20650"/>
    <n v="21650"/>
    <n v="1000"/>
  </r>
  <r>
    <x v="2"/>
    <s v="CSH4267"/>
    <s v=" Sharma Brothers"/>
    <s v="Salon"/>
    <x v="3"/>
    <x v="0"/>
    <n v="9240"/>
    <n v="9840"/>
    <n v="600"/>
  </r>
  <r>
    <x v="2"/>
    <s v="CAM2620"/>
    <s v="Amit Traders"/>
    <s v="Dine-Out"/>
    <x v="3"/>
    <x v="8"/>
    <n v="18006"/>
    <n v="21989"/>
    <n v="3983"/>
  </r>
  <r>
    <x v="2"/>
    <s v="CAG0283"/>
    <s v="Agarwal Electricals"/>
    <s v="Yoga"/>
    <x v="3"/>
    <x v="0"/>
    <n v="17100"/>
    <n v="19100"/>
    <n v="2000"/>
  </r>
  <r>
    <x v="2"/>
    <s v="CRK0436"/>
    <s v="Rk Agrawal And Sons"/>
    <s v="Salon"/>
    <x v="3"/>
    <x v="0"/>
    <n v="10000"/>
    <n v="10000"/>
    <n v="0"/>
  </r>
  <r>
    <x v="2"/>
    <s v="CLO0102"/>
    <s v="lone Electric Store"/>
    <s v="Salon"/>
    <x v="0"/>
    <x v="5"/>
    <n v="10000"/>
    <n v="10000"/>
    <n v="0"/>
  </r>
  <r>
    <x v="2"/>
    <s v="CSH0187"/>
    <s v="Shree Nursing Sahay Mudungopal(Cal)"/>
    <s v="Spa"/>
    <x v="1"/>
    <x v="3"/>
    <n v="8925"/>
    <n v="9925"/>
    <n v="1000"/>
  </r>
  <r>
    <x v="2"/>
    <s v="CAD0502"/>
    <s v="Adil Electronics"/>
    <s v="Salon"/>
    <x v="0"/>
    <x v="5"/>
    <n v="8550"/>
    <n v="9550"/>
    <n v="1000"/>
  </r>
  <r>
    <x v="2"/>
    <s v="CSR6404"/>
    <s v="SRI HARI TRADERS"/>
    <s v="Dine-Out"/>
    <x v="1"/>
    <x v="2"/>
    <n v="3040"/>
    <n v="5040"/>
    <n v="2000"/>
  </r>
  <r>
    <x v="2"/>
    <s v="CGA0236"/>
    <s v="Gaurav Enterprises"/>
    <s v="Yoga"/>
    <x v="1"/>
    <x v="3"/>
    <n v="21598"/>
    <n v="21598"/>
    <n v="0"/>
  </r>
  <r>
    <x v="2"/>
    <s v="CAL0196"/>
    <s v="Alfa Marketing"/>
    <s v="Concert"/>
    <x v="0"/>
    <x v="0"/>
    <n v="10821.69"/>
    <n v="10821.69"/>
    <n v="0"/>
  </r>
  <r>
    <x v="2"/>
    <s v="CJM0066"/>
    <s v="Jmg Buildcon Llp"/>
    <s v="Kids Summer Classes (Online)"/>
    <x v="0"/>
    <x v="0"/>
    <n v="19250"/>
    <n v="21750"/>
    <n v="2500"/>
  </r>
  <r>
    <x v="2"/>
    <s v="CMO0422"/>
    <s v="Mohindra Enterprises"/>
    <s v="Dine-Out"/>
    <x v="2"/>
    <x v="7"/>
    <n v="9086"/>
    <n v="9086"/>
    <n v="0"/>
  </r>
  <r>
    <x v="2"/>
    <s v="CHI0030"/>
    <s v="Hind Electric and Trading Co."/>
    <s v="Gym"/>
    <x v="2"/>
    <x v="0"/>
    <n v="21000"/>
    <n v="21500"/>
    <n v="500"/>
  </r>
  <r>
    <x v="2"/>
    <s v="CBA0872"/>
    <s v="Bajrang And Company"/>
    <s v="Gym"/>
    <x v="2"/>
    <x v="0"/>
    <n v="17000"/>
    <n v="18500"/>
    <n v="1500"/>
  </r>
  <r>
    <x v="2"/>
    <s v="CKI0061"/>
    <s v="Kirtikumar Electric Corporation"/>
    <s v="Spa"/>
    <x v="2"/>
    <x v="7"/>
    <n v="22050"/>
    <n v="22000"/>
    <n v="-50"/>
  </r>
  <r>
    <x v="2"/>
    <s v="CMM0005"/>
    <s v="M M Sales Agencies"/>
    <s v="Dine-Out"/>
    <x v="2"/>
    <x v="7"/>
    <n v="10000"/>
    <n v="10000"/>
    <n v="0"/>
  </r>
  <r>
    <x v="2"/>
    <s v="CMM0024"/>
    <s v="M.M. Electricals"/>
    <s v="Dine-Out"/>
    <x v="2"/>
    <x v="7"/>
    <n v="7528"/>
    <n v="12528"/>
    <n v="5000"/>
  </r>
  <r>
    <x v="2"/>
    <s v="CRA0963"/>
    <s v="Radhika Cables And Switchgear"/>
    <s v="Dine-Out"/>
    <x v="2"/>
    <x v="7"/>
    <n v="16219"/>
    <n v="20219"/>
    <n v="4000"/>
  </r>
  <r>
    <x v="2"/>
    <s v="CTR0413"/>
    <s v="Transformers And Equipments Industr"/>
    <s v="Dine-Out"/>
    <x v="2"/>
    <x v="7"/>
    <n v="12267"/>
    <n v="12267"/>
    <n v="0"/>
  </r>
  <r>
    <x v="2"/>
    <s v="CUR0033"/>
    <s v="Urban Electricals"/>
    <s v="Dine-Out"/>
    <x v="2"/>
    <x v="7"/>
    <n v="9676"/>
    <n v="9676"/>
    <n v="0"/>
  </r>
  <r>
    <x v="2"/>
    <s v="CNE0218"/>
    <s v="New Garg Electricals"/>
    <s v="Dine-Out"/>
    <x v="2"/>
    <x v="7"/>
    <n v="12832"/>
    <n v="12832"/>
    <n v="0"/>
  </r>
  <r>
    <x v="2"/>
    <s v="CNE0599"/>
    <s v="New Kashmir Iron Store"/>
    <s v="Dine-Out"/>
    <x v="0"/>
    <x v="5"/>
    <n v="11328"/>
    <n v="11328"/>
    <n v="0"/>
  </r>
  <r>
    <x v="3"/>
    <s v="CAB0152"/>
    <s v="A B Electricals"/>
    <s v="Dine Out"/>
    <x v="0"/>
    <x v="5"/>
    <n v="6372"/>
    <n v="8372"/>
    <n v="2000"/>
  </r>
  <r>
    <x v="3"/>
    <s v="CAD0658"/>
    <s v="Adarsh Associates"/>
    <s v="Gym"/>
    <x v="0"/>
    <x v="9"/>
    <n v="10000"/>
    <n v="10000"/>
    <n v="0"/>
  </r>
  <r>
    <x v="3"/>
    <s v="CAG0027"/>
    <s v="AGRASAIN ELECTRIC CO"/>
    <s v="Dine-Out"/>
    <x v="1"/>
    <x v="3"/>
    <n v="8963.2800000000007"/>
    <n v="9963"/>
    <n v="999.71999999999935"/>
  </r>
  <r>
    <x v="3"/>
    <s v="CAG0209"/>
    <s v="Agnihotri Electricals "/>
    <s v="Kids Summer Classes (Online)"/>
    <x v="0"/>
    <x v="0"/>
    <n v="9350"/>
    <n v="9550"/>
    <n v="200"/>
  </r>
  <r>
    <x v="3"/>
    <s v="CAG0337"/>
    <s v="Aggarwal Electric &amp; Machinery Store"/>
    <s v="Dine-Out"/>
    <x v="0"/>
    <x v="5"/>
    <n v="15045"/>
    <n v="15045"/>
    <n v="0"/>
  </r>
  <r>
    <x v="3"/>
    <s v="CAM0276"/>
    <s v="Ammini  Traders"/>
    <s v="Gym"/>
    <x v="3"/>
    <x v="8"/>
    <n v="10000"/>
    <n v="10000"/>
    <n v="0"/>
  </r>
  <r>
    <x v="3"/>
    <s v="CAM0371"/>
    <s v="Ambika Electric Stores"/>
    <s v="Dine-Out"/>
    <x v="1"/>
    <x v="3"/>
    <n v="6605.55"/>
    <n v="8700"/>
    <n v="2094.4499999999998"/>
  </r>
  <r>
    <x v="3"/>
    <s v="CAN0276"/>
    <s v="ANURADHA ELECTRICALS"/>
    <s v="Dine-Out"/>
    <x v="3"/>
    <x v="8"/>
    <n v="8354"/>
    <n v="9354"/>
    <n v="1000"/>
  </r>
  <r>
    <x v="3"/>
    <s v="CAN1077"/>
    <s v="Anil Agencies"/>
    <s v="Dine-Out"/>
    <x v="0"/>
    <x v="5"/>
    <n v="5664"/>
    <n v="9000"/>
    <n v="3336"/>
  </r>
  <r>
    <x v="3"/>
    <s v="CAN1231"/>
    <s v="ANMOL ENTERPRISES"/>
    <s v="Salon"/>
    <x v="3"/>
    <x v="0"/>
    <n v="10000"/>
    <n v="10000"/>
    <n v="0"/>
  </r>
  <r>
    <x v="3"/>
    <s v="CAR0155"/>
    <s v="Arihant Enterprises-Surat"/>
    <s v="Spa"/>
    <x v="1"/>
    <x v="3"/>
    <n v="9450"/>
    <n v="9450"/>
    <n v="0"/>
  </r>
  <r>
    <x v="3"/>
    <s v="CAR0564"/>
    <s v="Armaan Distributors"/>
    <s v="Dine-Out"/>
    <x v="0"/>
    <x v="5"/>
    <n v="3780"/>
    <n v="6500"/>
    <n v="2720"/>
  </r>
  <r>
    <x v="3"/>
    <s v="CAR0600"/>
    <s v="Arora Electric Works"/>
    <s v="Dine-Out"/>
    <x v="1"/>
    <x v="3"/>
    <n v="7311.28"/>
    <n v="9600"/>
    <n v="2288.7200000000003"/>
  </r>
  <r>
    <x v="3"/>
    <s v="CAR0904"/>
    <s v="Arvind Industries"/>
    <s v="Dine-Out"/>
    <x v="3"/>
    <x v="8"/>
    <n v="8138"/>
    <n v="10000"/>
    <n v="1862"/>
  </r>
  <r>
    <x v="3"/>
    <s v="CAS0708"/>
    <s v="Asian Electricals"/>
    <s v="Dine-Out"/>
    <x v="1"/>
    <x v="3"/>
    <n v="9078"/>
    <n v="9500"/>
    <n v="422"/>
  </r>
  <r>
    <x v="3"/>
    <s v="CAU0090"/>
    <s v="AUTO DISTRIBUTORS"/>
    <s v="Dine-Out"/>
    <x v="3"/>
    <x v="8"/>
    <n v="2106"/>
    <n v="9000"/>
    <n v="6894"/>
  </r>
  <r>
    <x v="3"/>
    <s v="CAV0145"/>
    <s v="Avtaar Electric Hub Private Limited"/>
    <s v="Dine-Out"/>
    <x v="1"/>
    <x v="3"/>
    <n v="9435"/>
    <n v="9435"/>
    <n v="0"/>
  </r>
  <r>
    <x v="3"/>
    <s v="CAY0012"/>
    <s v="Ayya Trading"/>
    <s v="Dine-Out"/>
    <x v="2"/>
    <x v="7"/>
    <n v="6722"/>
    <n v="9600"/>
    <n v="2878"/>
  </r>
  <r>
    <x v="3"/>
    <s v="CBA0253"/>
    <s v="Bajaj Cables"/>
    <s v="Gym"/>
    <x v="3"/>
    <x v="8"/>
    <n v="9000"/>
    <n v="9860"/>
    <n v="860"/>
  </r>
  <r>
    <x v="3"/>
    <s v="CBC0007"/>
    <s v="B C Appliances"/>
    <s v="Spa"/>
    <x v="1"/>
    <x v="3"/>
    <n v="8100"/>
    <n v="9400"/>
    <n v="1300"/>
  </r>
  <r>
    <x v="3"/>
    <s v="CBH0192"/>
    <s v="Bhaia Electronics And Electricals"/>
    <s v="Spa"/>
    <x v="3"/>
    <x v="8"/>
    <n v="10229"/>
    <n v="10000"/>
    <n v="-229"/>
  </r>
  <r>
    <x v="3"/>
    <s v="CCH0353"/>
    <s v="Chandan Associates"/>
    <s v="Gym"/>
    <x v="1"/>
    <x v="9"/>
    <n v="10000"/>
    <n v="10000"/>
    <n v="0"/>
  </r>
  <r>
    <x v="3"/>
    <s v="CCH1021"/>
    <s v="Chopra Sales Corporation"/>
    <s v="Dine-Out"/>
    <x v="3"/>
    <x v="8"/>
    <n v="9963"/>
    <n v="9963"/>
    <n v="0"/>
  </r>
  <r>
    <x v="3"/>
    <s v="CCI0082"/>
    <s v="City Trade Links"/>
    <s v="Dine-Out"/>
    <x v="0"/>
    <x v="5"/>
    <n v="8117"/>
    <n v="9800"/>
    <n v="1683"/>
  </r>
  <r>
    <x v="3"/>
    <s v="CDA0101"/>
    <s v="Damani Vidyut Kendra Kharghar"/>
    <s v="Dine-Out"/>
    <x v="1"/>
    <x v="3"/>
    <n v="5192"/>
    <n v="6600"/>
    <n v="1408"/>
  </r>
  <r>
    <x v="3"/>
    <s v="CDA0368"/>
    <s v="Datti Vidut"/>
    <s v="Dine-Out"/>
    <x v="0"/>
    <x v="5"/>
    <n v="7938"/>
    <n v="8800"/>
    <n v="862"/>
  </r>
  <r>
    <x v="3"/>
    <s v="CDE0157"/>
    <s v="Delight Electric Co."/>
    <s v="Dine-Out"/>
    <x v="0"/>
    <x v="5"/>
    <n v="15983"/>
    <n v="19600"/>
    <n v="3617"/>
  </r>
  <r>
    <x v="3"/>
    <s v="CDE0169"/>
    <s v="DEEPAK ELECTRICALS"/>
    <s v="Gym"/>
    <x v="0"/>
    <x v="9"/>
    <n v="10000"/>
    <n v="10000"/>
    <n v="0"/>
  </r>
  <r>
    <x v="3"/>
    <s v="CDE0751"/>
    <s v="Deccan Associates"/>
    <s v="Dine-Out"/>
    <x v="0"/>
    <x v="5"/>
    <n v="2906"/>
    <n v="4400"/>
    <n v="1494"/>
  </r>
  <r>
    <x v="3"/>
    <s v="CDH0002"/>
    <s v="Dhruva Electricals"/>
    <s v="Dine-Out"/>
    <x v="0"/>
    <x v="5"/>
    <n v="5223"/>
    <n v="9000"/>
    <n v="3777"/>
  </r>
  <r>
    <x v="3"/>
    <s v="CDI1263"/>
    <s v="DIVINE TECHNO"/>
    <s v="Dine-Out"/>
    <x v="1"/>
    <x v="3"/>
    <n v="5070"/>
    <n v="9400"/>
    <n v="4330"/>
  </r>
  <r>
    <x v="3"/>
    <s v="CDU0046"/>
    <s v="Durga Electricals"/>
    <s v="Dine-Out"/>
    <x v="0"/>
    <x v="5"/>
    <n v="6370"/>
    <n v="8000"/>
    <n v="1630"/>
  </r>
  <r>
    <x v="3"/>
    <s v="CDU0080"/>
    <s v="Durga Emporium"/>
    <s v="Dine-Out"/>
    <x v="3"/>
    <x v="8"/>
    <n v="6000"/>
    <n v="8400"/>
    <n v="2400"/>
  </r>
  <r>
    <x v="3"/>
    <s v="CEX0177"/>
    <s v="Excel Electro Empire"/>
    <s v="Dine-Out"/>
    <x v="2"/>
    <x v="7"/>
    <n v="5299"/>
    <n v="7600"/>
    <n v="2301"/>
  </r>
  <r>
    <x v="3"/>
    <s v="CEZ0004"/>
    <s v="Ezzy Electricals"/>
    <s v="Dine-Out"/>
    <x v="1"/>
    <x v="3"/>
    <n v="3343"/>
    <n v="6800"/>
    <n v="3457"/>
  </r>
  <r>
    <x v="3"/>
    <s v="CFI0013"/>
    <s v="Fine Enterprises"/>
    <s v="Dine-Out"/>
    <x v="3"/>
    <x v="8"/>
    <n v="12372"/>
    <n v="12522"/>
    <n v="150"/>
  </r>
  <r>
    <x v="3"/>
    <s v="CGA0006"/>
    <s v="Garodia Enterprises"/>
    <s v="Dine Out"/>
    <x v="0"/>
    <x v="5"/>
    <n v="8059"/>
    <n v="8800"/>
    <n v="741"/>
  </r>
  <r>
    <x v="3"/>
    <s v="CGA0241"/>
    <s v="Garg Electricals"/>
    <s v="Spa"/>
    <x v="1"/>
    <x v="3"/>
    <n v="9450"/>
    <n v="9450"/>
    <n v="0"/>
  </r>
  <r>
    <x v="3"/>
    <s v="CGA0307"/>
    <s v="Garg Electrical (India)"/>
    <s v="Dine-Out"/>
    <x v="0"/>
    <x v="5"/>
    <n v="10774"/>
    <n v="10000"/>
    <n v="-774"/>
  </r>
  <r>
    <x v="3"/>
    <s v="CGM0030"/>
    <s v="Gms Tradelink Private Limited"/>
    <s v="Spa"/>
    <x v="0"/>
    <x v="5"/>
    <n v="8925"/>
    <n v="9400"/>
    <n v="475"/>
  </r>
  <r>
    <x v="3"/>
    <s v="CGO0221"/>
    <s v="Goodwill electricals"/>
    <s v="Dine-Out"/>
    <x v="0"/>
    <x v="5"/>
    <n v="7006"/>
    <n v="8200"/>
    <n v="1194"/>
  </r>
  <r>
    <x v="3"/>
    <s v="CGO0385"/>
    <s v="Goyal Traders"/>
    <s v="Spa"/>
    <x v="3"/>
    <x v="8"/>
    <n v="9637.5600000000013"/>
    <n v="9637.56"/>
    <n v="0"/>
  </r>
  <r>
    <x v="3"/>
    <s v="CGO0401"/>
    <s v="Goel Home Appliances"/>
    <s v="Dine-Out"/>
    <x v="3"/>
    <x v="8"/>
    <n v="6628"/>
    <n v="8600"/>
    <n v="1972"/>
  </r>
  <r>
    <x v="3"/>
    <s v="CGS0074"/>
    <s v="GS ENTERPRISES"/>
    <s v="Spa"/>
    <x v="1"/>
    <x v="3"/>
    <n v="8100"/>
    <n v="9600"/>
    <n v="1500"/>
  </r>
  <r>
    <x v="3"/>
    <s v="CGU0249"/>
    <s v="Good Luck Electric Stores"/>
    <s v="Dine-Out"/>
    <x v="1"/>
    <x v="3"/>
    <n v="8142"/>
    <n v="9800"/>
    <n v="1658"/>
  </r>
  <r>
    <x v="3"/>
    <s v="CHA1401"/>
    <s v="Hanuman Agencies"/>
    <s v="Dine-Out"/>
    <x v="3"/>
    <x v="8"/>
    <n v="7926"/>
    <n v="8800"/>
    <n v="874"/>
  </r>
  <r>
    <x v="3"/>
    <s v="CHA8198"/>
    <s v="Hari Enterprises"/>
    <s v="Dine-Out"/>
    <x v="3"/>
    <x v="8"/>
    <n v="5000"/>
    <n v="8000"/>
    <n v="3000"/>
  </r>
  <r>
    <x v="3"/>
    <s v="CHV0008"/>
    <s v="H Vision Electrotrade"/>
    <s v="Dine-Out"/>
    <x v="1"/>
    <x v="3"/>
    <n v="4717.6400000000003"/>
    <n v="6717.64"/>
    <n v="2000"/>
  </r>
  <r>
    <x v="3"/>
    <s v="CID0023"/>
    <s v="Ideal Home Appliances"/>
    <s v="Dine-Out"/>
    <x v="3"/>
    <x v="8"/>
    <n v="10737"/>
    <n v="10000"/>
    <n v="-737"/>
  </r>
  <r>
    <x v="3"/>
    <s v="CIN2146"/>
    <s v="Indresh And Sons"/>
    <s v="Dine-Out"/>
    <x v="3"/>
    <x v="8"/>
    <n v="7924"/>
    <n v="9824"/>
    <n v="1900"/>
  </r>
  <r>
    <x v="3"/>
    <s v="CIN2284"/>
    <s v="Indian Trading Company"/>
    <s v="Dine-Out"/>
    <x v="2"/>
    <x v="7"/>
    <n v="10937"/>
    <n v="10000"/>
    <n v="-937"/>
  </r>
  <r>
    <x v="3"/>
    <s v="CIS0044"/>
    <s v="ISHWAR ELECTRICALS"/>
    <s v="Dine-Out"/>
    <x v="1"/>
    <x v="3"/>
    <n v="4284"/>
    <n v="7284"/>
    <n v="3000"/>
  </r>
  <r>
    <x v="3"/>
    <s v="CIS0052"/>
    <s v="Ishwar Electric Works"/>
    <s v="Dine-Out"/>
    <x v="1"/>
    <x v="3"/>
    <n v="3954"/>
    <n v="6954"/>
    <n v="3000"/>
  </r>
  <r>
    <x v="3"/>
    <s v="CJA0579"/>
    <s v="Jai Brothers"/>
    <s v="Dine-Out"/>
    <x v="2"/>
    <x v="7"/>
    <n v="3953"/>
    <n v="6200"/>
    <n v="2247"/>
  </r>
  <r>
    <x v="3"/>
    <s v="CJA1052"/>
    <s v="Janvi Trading Co"/>
    <s v="Dine-Out"/>
    <x v="2"/>
    <x v="7"/>
    <n v="9202"/>
    <n v="9602"/>
    <n v="400"/>
  </r>
  <r>
    <x v="3"/>
    <s v="CJA1624"/>
    <s v="JAI MATA ELECTRONICS"/>
    <s v="Dine-Out"/>
    <x v="1"/>
    <x v="3"/>
    <n v="5483.46"/>
    <n v="8483.4599999999991"/>
    <n v="2999.9999999999991"/>
  </r>
  <r>
    <x v="3"/>
    <s v="CJB0029"/>
    <s v="Jbm"/>
    <s v="Spa"/>
    <x v="3"/>
    <x v="8"/>
    <n v="8505"/>
    <n v="9505"/>
    <n v="1000"/>
  </r>
  <r>
    <x v="3"/>
    <s v="CJI0133"/>
    <s v="Jindal Electric and Hardware"/>
    <s v="Dine-Out"/>
    <x v="0"/>
    <x v="5"/>
    <n v="5900"/>
    <n v="8500"/>
    <n v="2600"/>
  </r>
  <r>
    <x v="3"/>
    <s v="CJI0201"/>
    <s v="Jindal &amp; Co"/>
    <s v="Salon"/>
    <x v="0"/>
    <x v="0"/>
    <n v="10000"/>
    <n v="10000"/>
    <n v="0"/>
  </r>
  <r>
    <x v="3"/>
    <s v="CJO0127"/>
    <s v="JOULE ENTERPRISE"/>
    <s v="Photoshoot"/>
    <x v="1"/>
    <x v="0"/>
    <n v="9500"/>
    <n v="9800"/>
    <n v="300"/>
  </r>
  <r>
    <x v="3"/>
    <s v="CJS0057"/>
    <s v="J.S. Solartech India Private Limite"/>
    <s v="Concert"/>
    <x v="0"/>
    <x v="0"/>
    <n v="10821.688"/>
    <n v="10000"/>
    <n v="-821.6880000000001"/>
  </r>
  <r>
    <x v="3"/>
    <s v="CJY0010"/>
    <s v="Jyoti Radio and Electricals"/>
    <s v="Dine-Out"/>
    <x v="1"/>
    <x v="3"/>
    <n v="9719.7000000000007"/>
    <n v="10000"/>
    <n v="280.29999999999927"/>
  </r>
  <r>
    <x v="3"/>
    <s v="CKA0650"/>
    <s v="Kailash Electricals "/>
    <s v="Gym"/>
    <x v="3"/>
    <x v="8"/>
    <n v="10000"/>
    <n v="10000"/>
    <n v="0"/>
  </r>
  <r>
    <x v="3"/>
    <s v="CKA0745"/>
    <s v="Kapoor Electricals"/>
    <s v="Dine-Out"/>
    <x v="0"/>
    <x v="5"/>
    <n v="8020"/>
    <n v="9520"/>
    <n v="1500"/>
  </r>
  <r>
    <x v="3"/>
    <s v="CKA0782"/>
    <s v="Kapoor Lites"/>
    <s v="Dine-Out"/>
    <x v="0"/>
    <x v="5"/>
    <n v="8020"/>
    <n v="9520"/>
    <n v="1500"/>
  </r>
  <r>
    <x v="3"/>
    <s v="CKA0783"/>
    <s v="Kaushal Electricals"/>
    <s v="Dine-Out"/>
    <x v="0"/>
    <x v="5"/>
    <n v="13090"/>
    <n v="14090"/>
    <n v="1000"/>
  </r>
  <r>
    <x v="3"/>
    <s v="CKE0314"/>
    <s v="KESAR ENTERPRISES"/>
    <s v="Dine-Out"/>
    <x v="1"/>
    <x v="3"/>
    <n v="6136"/>
    <n v="8136"/>
    <n v="2000"/>
  </r>
  <r>
    <x v="3"/>
    <s v="CKI0086"/>
    <s v="Kiran Cables And Electricals"/>
    <s v="Spa"/>
    <x v="0"/>
    <x v="5"/>
    <n v="7200"/>
    <n v="8200"/>
    <n v="1000"/>
  </r>
  <r>
    <x v="3"/>
    <s v="CKO0157"/>
    <s v="Kospi Tradlink"/>
    <s v="Dine-Out"/>
    <x v="0"/>
    <x v="5"/>
    <n v="10851"/>
    <n v="10000"/>
    <n v="-851"/>
  </r>
  <r>
    <x v="3"/>
    <s v="CKR0551"/>
    <s v="KRISHNAM ELECTRO MART"/>
    <s v="Dine-Out"/>
    <x v="0"/>
    <x v="5"/>
    <n v="3085"/>
    <n v="7200"/>
    <n v="4115"/>
  </r>
  <r>
    <x v="3"/>
    <s v="CLA0835"/>
    <s v="Lakshmi Priya Trader"/>
    <s v="Dine-Out"/>
    <x v="3"/>
    <x v="8"/>
    <n v="7075"/>
    <n v="9600"/>
    <n v="2525"/>
  </r>
  <r>
    <x v="3"/>
    <s v="CLI0344"/>
    <s v="Light Emporium Pvt Ltd."/>
    <s v="Dine-Out"/>
    <x v="2"/>
    <x v="7"/>
    <n v="12213"/>
    <n v="20213"/>
    <n v="8000"/>
  </r>
  <r>
    <x v="3"/>
    <s v="CLN0004"/>
    <s v="LNBERA&amp; CO."/>
    <s v="Dine-Out"/>
    <x v="3"/>
    <x v="8"/>
    <n v="8847"/>
    <n v="9847"/>
    <n v="1000"/>
  </r>
  <r>
    <x v="3"/>
    <s v="CMA0649"/>
    <s v="Manish Enterprises"/>
    <s v="Dine-Out"/>
    <x v="1"/>
    <x v="3"/>
    <n v="7906"/>
    <n v="9906"/>
    <n v="2000"/>
  </r>
  <r>
    <x v="3"/>
    <s v="CMA0786"/>
    <s v="Madhukar Electricals co"/>
    <s v="Dine-Out"/>
    <x v="3"/>
    <x v="8"/>
    <n v="4210"/>
    <n v="8210"/>
    <n v="4000"/>
  </r>
  <r>
    <x v="3"/>
    <s v="CMA1353"/>
    <s v="Madavana Electronics And Home Appli"/>
    <s v="Mammography"/>
    <x v="3"/>
    <x v="0"/>
    <n v="8200"/>
    <n v="9200"/>
    <n v="1000"/>
  </r>
  <r>
    <x v="3"/>
    <s v="CMA1563"/>
    <s v="Mahalaxmi Marketing"/>
    <s v="Spa"/>
    <x v="3"/>
    <x v="8"/>
    <n v="9450"/>
    <n v="9450"/>
    <n v="0"/>
  </r>
  <r>
    <x v="3"/>
    <s v="CMA1582"/>
    <s v="Maa Ganga Enterprises"/>
    <s v="Dine-Out"/>
    <x v="0"/>
    <x v="7"/>
    <n v="4720"/>
    <n v="10000"/>
    <n v="5280"/>
  </r>
  <r>
    <x v="3"/>
    <s v="CMA2507"/>
    <s v="Maa Sachchiyay Enterprises"/>
    <s v="Dine Out"/>
    <x v="0"/>
    <x v="5"/>
    <n v="9558"/>
    <n v="9558"/>
    <n v="0"/>
  </r>
  <r>
    <x v="3"/>
    <s v="CMA2662"/>
    <s v="Madhvi Enterprise"/>
    <s v="Dine-Out"/>
    <x v="1"/>
    <x v="3"/>
    <n v="5664"/>
    <n v="8664"/>
    <n v="3000"/>
  </r>
  <r>
    <x v="3"/>
    <s v="CME0135"/>
    <s v="Mehul Agencies"/>
    <s v="Dine-Out"/>
    <x v="1"/>
    <x v="3"/>
    <n v="8541"/>
    <n v="9541"/>
    <n v="1000"/>
  </r>
  <r>
    <x v="3"/>
    <s v="CME1107"/>
    <s v="Metro E Marttt"/>
    <s v="Dine-Out"/>
    <x v="1"/>
    <x v="3"/>
    <n v="8956"/>
    <n v="9956"/>
    <n v="1000"/>
  </r>
  <r>
    <x v="3"/>
    <s v="CMI0083"/>
    <s v="Mittal Machinary Store"/>
    <s v="Dine-Out"/>
    <x v="1"/>
    <x v="3"/>
    <n v="7168.5"/>
    <n v="9168"/>
    <n v="1999.5"/>
  </r>
  <r>
    <x v="3"/>
    <s v="CMI0310"/>
    <s v="Milan Solar"/>
    <s v="Dine-Out"/>
    <x v="3"/>
    <x v="8"/>
    <n v="9794"/>
    <n v="9794"/>
    <n v="0"/>
  </r>
  <r>
    <x v="3"/>
    <s v="CMI0408"/>
    <s v="Midukky Enterprises"/>
    <s v="Dine-Out"/>
    <x v="3"/>
    <x v="8"/>
    <n v="4699"/>
    <n v="6780"/>
    <n v="2081"/>
  </r>
  <r>
    <x v="3"/>
    <s v="CMO0129"/>
    <s v="Mohta Enterprises"/>
    <s v="Gym"/>
    <x v="3"/>
    <x v="8"/>
    <n v="10000"/>
    <n v="10000"/>
    <n v="0"/>
  </r>
  <r>
    <x v="3"/>
    <s v="CMO0360"/>
    <s v="Monika Enterprises"/>
    <s v="Dine-Out"/>
    <x v="0"/>
    <x v="5"/>
    <n v="5192"/>
    <n v="7192"/>
    <n v="2000"/>
  </r>
  <r>
    <x v="3"/>
    <s v="CMO0430"/>
    <s v="Motabhai Electronics"/>
    <s v="Dine-Out"/>
    <x v="1"/>
    <x v="3"/>
    <n v="11794.1"/>
    <n v="11794.1"/>
    <n v="0"/>
  </r>
  <r>
    <x v="3"/>
    <s v="CMO0550"/>
    <s v="Mohan Marketing"/>
    <s v="Spa"/>
    <x v="3"/>
    <x v="8"/>
    <n v="7289"/>
    <n v="8289"/>
    <n v="1000"/>
  </r>
  <r>
    <x v="3"/>
    <s v="CMS0156"/>
    <s v="M S Kargil Trading Company"/>
    <s v="Dine-Out"/>
    <x v="3"/>
    <x v="8"/>
    <n v="10000"/>
    <n v="10000"/>
    <n v="0"/>
  </r>
  <r>
    <x v="3"/>
    <s v="CMU0367"/>
    <s v="Mukesh Marketing"/>
    <s v="Gym"/>
    <x v="1"/>
    <x v="3"/>
    <n v="10000"/>
    <n v="10000"/>
    <n v="0"/>
  </r>
  <r>
    <x v="3"/>
    <s v="CMU0481"/>
    <s v="Multan Traders"/>
    <s v="Kids Day Out"/>
    <x v="0"/>
    <x v="0"/>
    <n v="7434"/>
    <n v="9434"/>
    <n v="2000"/>
  </r>
  <r>
    <x v="3"/>
    <s v="CNA0247"/>
    <s v="Namrata Electricals"/>
    <s v="Dine-Out"/>
    <x v="3"/>
    <x v="8"/>
    <n v="7842"/>
    <n v="9842"/>
    <n v="2000"/>
  </r>
  <r>
    <x v="3"/>
    <s v="CNA0956"/>
    <s v="Nand Ganesh Enterprises"/>
    <s v="Gym"/>
    <x v="0"/>
    <x v="0"/>
    <n v="10000"/>
    <n v="10000"/>
    <n v="0"/>
  </r>
  <r>
    <x v="3"/>
    <s v="CNA0995"/>
    <s v="National Trading Company"/>
    <s v="Dine-Out"/>
    <x v="1"/>
    <x v="3"/>
    <n v="10083.69"/>
    <n v="10000"/>
    <n v="-83.690000000000509"/>
  </r>
  <r>
    <x v="3"/>
    <s v="CNA1291"/>
    <s v="NAYAL IMPEX"/>
    <s v="Dine-Out"/>
    <x v="1"/>
    <x v="3"/>
    <n v="5602"/>
    <n v="7602"/>
    <n v="2000"/>
  </r>
  <r>
    <x v="3"/>
    <s v="CNE0183"/>
    <s v="New Umiya Electric Company"/>
    <s v="Gym"/>
    <x v="0"/>
    <x v="0"/>
    <n v="10000"/>
    <n v="10000"/>
    <n v="0"/>
  </r>
  <r>
    <x v="3"/>
    <s v="CNE0765"/>
    <s v="Nelloor Home Shoppe"/>
    <s v="Dine-Out"/>
    <x v="3"/>
    <x v="8"/>
    <n v="9663"/>
    <n v="9663"/>
    <n v="0"/>
  </r>
  <r>
    <x v="3"/>
    <s v="CNE1279"/>
    <s v="NEW TECH SOLAR"/>
    <s v="Dine-Out"/>
    <x v="0"/>
    <x v="5"/>
    <n v="2589"/>
    <n v="4589"/>
    <n v="2000"/>
  </r>
  <r>
    <x v="3"/>
    <s v="CNI0488"/>
    <s v="Nivash Engeniring "/>
    <s v="Dine-Out"/>
    <x v="0"/>
    <x v="5"/>
    <n v="6195"/>
    <n v="9195"/>
    <n v="3000"/>
  </r>
  <r>
    <x v="3"/>
    <s v="CNI0562"/>
    <s v="Nilkanth Engineering"/>
    <s v="Spa"/>
    <x v="1"/>
    <x v="3"/>
    <n v="9870"/>
    <n v="9870"/>
    <n v="0"/>
  </r>
  <r>
    <x v="3"/>
    <s v="COM0481"/>
    <s v="Omicron Marketing"/>
    <s v="Dine-Out"/>
    <x v="1"/>
    <x v="3"/>
    <n v="5184.46"/>
    <n v="7184"/>
    <n v="1999.54"/>
  </r>
  <r>
    <x v="3"/>
    <s v="CPA0280"/>
    <s v="Pandey Electricals"/>
    <s v="Dine-Out"/>
    <x v="2"/>
    <x v="7"/>
    <n v="3970"/>
    <n v="8000"/>
    <n v="4030"/>
  </r>
  <r>
    <x v="3"/>
    <s v="CPA0292"/>
    <s v="Paragon Electricals Pvt.Ltd."/>
    <s v="Dine-Out"/>
    <x v="1"/>
    <x v="3"/>
    <n v="5546"/>
    <n v="7546"/>
    <n v="2000"/>
  </r>
  <r>
    <x v="3"/>
    <s v="CPA0456"/>
    <s v="Paras Enterprises"/>
    <s v="Dine-Out"/>
    <x v="1"/>
    <x v="3"/>
    <n v="7316"/>
    <n v="8316"/>
    <n v="1000"/>
  </r>
  <r>
    <x v="3"/>
    <s v="CPA0702"/>
    <s v="Parvati Enterprises"/>
    <s v="Gym"/>
    <x v="2"/>
    <x v="7"/>
    <n v="19000"/>
    <n v="21000"/>
    <n v="2000"/>
  </r>
  <r>
    <x v="3"/>
    <s v="CPA0931"/>
    <s v="Padmashree House"/>
    <s v="Dine-Out"/>
    <x v="3"/>
    <x v="8"/>
    <n v="9086"/>
    <n v="9186"/>
    <n v="100"/>
  </r>
  <r>
    <x v="3"/>
    <s v="CPA0965"/>
    <s v="Parth Electric And Home Appliancies"/>
    <s v="Spa"/>
    <x v="1"/>
    <x v="3"/>
    <n v="7800"/>
    <n v="9800"/>
    <n v="2000"/>
  </r>
  <r>
    <x v="3"/>
    <s v="CPG0018"/>
    <s v="Pg Electricals And Pipes"/>
    <s v="Dine-Out"/>
    <x v="2"/>
    <x v="7"/>
    <n v="1239"/>
    <n v="3239"/>
    <n v="2000"/>
  </r>
  <r>
    <x v="3"/>
    <s v="CPP0010"/>
    <s v="P.P. Elektro Power"/>
    <s v="Dine-Out"/>
    <x v="3"/>
    <x v="8"/>
    <n v="9088"/>
    <n v="9088"/>
    <n v="0"/>
  </r>
  <r>
    <x v="3"/>
    <s v="CPR0185"/>
    <s v="Premier Electricals"/>
    <s v="Dine-Out"/>
    <x v="0"/>
    <x v="5"/>
    <n v="9622"/>
    <n v="9622"/>
    <n v="0"/>
  </r>
  <r>
    <x v="3"/>
    <s v="CPR1722"/>
    <s v="PROXSUN"/>
    <s v="Spa"/>
    <x v="2"/>
    <x v="7"/>
    <n v="3720"/>
    <n v="6400"/>
    <n v="2680"/>
  </r>
  <r>
    <x v="3"/>
    <s v="CPS0003"/>
    <s v="P.S. Vaidyanath And Sons"/>
    <s v="Dine-Out"/>
    <x v="2"/>
    <x v="7"/>
    <n v="2537"/>
    <n v="4860"/>
    <n v="2323"/>
  </r>
  <r>
    <x v="3"/>
    <s v="CPU0093"/>
    <s v="PURUSHOTTAM DAS DHORIBHAI AND CO"/>
    <s v="Dine-Out"/>
    <x v="3"/>
    <x v="8"/>
    <n v="9711"/>
    <n v="9711"/>
    <n v="0"/>
  </r>
  <r>
    <x v="3"/>
    <s v="CRA0703"/>
    <s v="Rajendra Trading Company"/>
    <s v="Spa"/>
    <x v="3"/>
    <x v="8"/>
    <n v="7371"/>
    <n v="8600"/>
    <n v="1229"/>
  </r>
  <r>
    <x v="3"/>
    <s v="CRA0812"/>
    <s v="Rajeshree Ventures"/>
    <s v="Spa"/>
    <x v="3"/>
    <x v="8"/>
    <n v="9000"/>
    <n v="10000"/>
    <n v="1000"/>
  </r>
  <r>
    <x v="3"/>
    <s v="CRA1867"/>
    <s v="Ramakrishna electricals "/>
    <s v="Dine-Out"/>
    <x v="3"/>
    <x v="8"/>
    <n v="2900"/>
    <n v="4800"/>
    <n v="1900"/>
  </r>
  <r>
    <x v="3"/>
    <s v="CRA2232"/>
    <s v="Rass Heavy Electricals Private"/>
    <s v="Dine-Out"/>
    <x v="3"/>
    <x v="8"/>
    <n v="9617"/>
    <n v="9617"/>
    <n v="0"/>
  </r>
  <r>
    <x v="3"/>
    <s v="CRA2307"/>
    <s v="RAGHAV RENEWABLE ENERGY INDUSTRIES"/>
    <s v="Dine-Out"/>
    <x v="0"/>
    <x v="5"/>
    <n v="9336"/>
    <n v="9336"/>
    <n v="0"/>
  </r>
  <r>
    <x v="3"/>
    <s v="CRA2335"/>
    <s v="RAHI SOLAR SOLUTION PRIVATE LIMITED"/>
    <s v="Spa"/>
    <x v="1"/>
    <x v="3"/>
    <n v="8100"/>
    <n v="9200"/>
    <n v="1100"/>
  </r>
  <r>
    <x v="3"/>
    <s v="CSA0468"/>
    <s v="Sandeep Cables"/>
    <s v="Salon"/>
    <x v="3"/>
    <x v="0"/>
    <n v="10500"/>
    <n v="10000"/>
    <n v="-500"/>
  </r>
  <r>
    <x v="3"/>
    <s v="CSA1084"/>
    <s v="Satguru Agencies"/>
    <s v="Dine-Out"/>
    <x v="2"/>
    <x v="7"/>
    <n v="5983"/>
    <n v="7983"/>
    <n v="2000"/>
  </r>
  <r>
    <x v="3"/>
    <s v="CSA2426"/>
    <s v="Samkit Corporations"/>
    <s v="Salon"/>
    <x v="2"/>
    <x v="7"/>
    <n v="9000"/>
    <n v="10000"/>
    <n v="1000"/>
  </r>
  <r>
    <x v="3"/>
    <s v="CSH0779"/>
    <s v="Shree Traders"/>
    <s v="Dine-Out"/>
    <x v="3"/>
    <x v="8"/>
    <n v="8603"/>
    <n v="10000"/>
    <n v="1397"/>
  </r>
  <r>
    <x v="3"/>
    <s v="CSH1527"/>
    <s v="Shri Salasar Digital Private Limite"/>
    <s v="Mammography"/>
    <x v="1"/>
    <x v="0"/>
    <n v="8926"/>
    <n v="9926"/>
    <n v="1000"/>
  </r>
  <r>
    <x v="3"/>
    <s v="CSH1813"/>
    <s v="SHREENATH AND AGRAWAL ENT"/>
    <s v="Dine-Out"/>
    <x v="0"/>
    <x v="0"/>
    <n v="5434"/>
    <n v="9434"/>
    <n v="4000"/>
  </r>
  <r>
    <x v="3"/>
    <s v="CSH1881"/>
    <s v="Shree Krushna Electrics"/>
    <s v="Dine-Out"/>
    <x v="1"/>
    <x v="3"/>
    <n v="3147"/>
    <n v="6000"/>
    <n v="2853"/>
  </r>
  <r>
    <x v="3"/>
    <s v="CSH2344"/>
    <s v="Shri Rama &amp; Company "/>
    <s v="Spa"/>
    <x v="0"/>
    <x v="9"/>
    <n v="13795.11"/>
    <n v="13795.11"/>
    <n v="0"/>
  </r>
  <r>
    <x v="3"/>
    <s v="CSH3108"/>
    <s v="Shree Ji Sales"/>
    <s v="Dine-Out"/>
    <x v="0"/>
    <x v="5"/>
    <n v="10000"/>
    <n v="10000"/>
    <n v="0"/>
  </r>
  <r>
    <x v="3"/>
    <s v="CSH3873"/>
    <s v="Shalabh India Ltd"/>
    <s v="Gym"/>
    <x v="1"/>
    <x v="9"/>
    <n v="7500"/>
    <n v="9500"/>
    <n v="2000"/>
  </r>
  <r>
    <x v="3"/>
    <s v="CSH4366"/>
    <s v="SHREE SHYAM DISTRIBUTORS"/>
    <s v="Salon"/>
    <x v="3"/>
    <x v="0"/>
    <n v="10500"/>
    <n v="10000"/>
    <n v="-500"/>
  </r>
  <r>
    <x v="3"/>
    <s v="CSO0436"/>
    <s v="Solar India"/>
    <s v="Gym"/>
    <x v="0"/>
    <x v="0"/>
    <n v="10000"/>
    <n v="10000"/>
    <n v="0"/>
  </r>
  <r>
    <x v="3"/>
    <s v="CSO0534"/>
    <s v="SOLARIOUS ENERGIES PVT LTD"/>
    <s v="Dine-Out"/>
    <x v="2"/>
    <x v="7"/>
    <n v="5660.46"/>
    <n v="6600"/>
    <n v="939.54"/>
  </r>
  <r>
    <x v="3"/>
    <s v="CSO0540"/>
    <s v="SOLAR SHOPPEE"/>
    <s v="Dine-Out"/>
    <x v="3"/>
    <x v="8"/>
    <n v="10080"/>
    <n v="10000"/>
    <n v="-80"/>
  </r>
  <r>
    <x v="3"/>
    <s v="CSO0556"/>
    <s v="SOURI TRADING CO"/>
    <s v="Dine-Out"/>
    <x v="3"/>
    <x v="8"/>
    <n v="8496"/>
    <n v="9496"/>
    <n v="1000"/>
  </r>
  <r>
    <x v="3"/>
    <s v="CSR0896"/>
    <s v="Sri Lakshmi Electrical &amp; Hardware"/>
    <s v="Gym"/>
    <x v="0"/>
    <x v="0"/>
    <n v="13650"/>
    <n v="13500"/>
    <n v="-150"/>
  </r>
  <r>
    <x v="3"/>
    <s v="CSR0897"/>
    <s v="Rajyalakshmi Marketing"/>
    <s v="Gym"/>
    <x v="0"/>
    <x v="9"/>
    <n v="9790"/>
    <n v="9790"/>
    <n v="0"/>
  </r>
  <r>
    <x v="3"/>
    <s v="CSR1227"/>
    <s v="Sreejith Traders"/>
    <s v="Dine-Out"/>
    <x v="3"/>
    <x v="8"/>
    <n v="10232"/>
    <n v="10000"/>
    <n v="-232"/>
  </r>
  <r>
    <x v="3"/>
    <s v="CSR6494"/>
    <s v="SRI RANI AGENCIES"/>
    <s v="Dine-Out"/>
    <x v="1"/>
    <x v="3"/>
    <n v="4893"/>
    <n v="6893"/>
    <n v="2000"/>
  </r>
  <r>
    <x v="3"/>
    <s v="CSS6013"/>
    <s v="S.s Jindal &amp; Company"/>
    <s v="Gym"/>
    <x v="0"/>
    <x v="0"/>
    <n v="10000"/>
    <n v="10000"/>
    <n v="0"/>
  </r>
  <r>
    <x v="3"/>
    <s v="CSU0003"/>
    <s v="Sugan Enterprises"/>
    <s v="Dine-Out"/>
    <x v="2"/>
    <x v="7"/>
    <n v="8850"/>
    <n v="9850"/>
    <n v="1000"/>
  </r>
  <r>
    <x v="3"/>
    <s v="CSU0428"/>
    <s v="Suhani Cables"/>
    <s v="Salon"/>
    <x v="3"/>
    <x v="8"/>
    <n v="9000"/>
    <n v="10000"/>
    <n v="1000"/>
  </r>
  <r>
    <x v="3"/>
    <s v="CSU0622"/>
    <s v="Subhash Electricals"/>
    <s v="Dine-Out"/>
    <x v="3"/>
    <x v="8"/>
    <n v="6835"/>
    <n v="8835"/>
    <n v="2000"/>
  </r>
  <r>
    <x v="3"/>
    <s v="CSU1092"/>
    <s v="Sunergy Power"/>
    <s v="Dine-Out"/>
    <x v="3"/>
    <x v="8"/>
    <n v="2373"/>
    <n v="3600"/>
    <n v="1227"/>
  </r>
  <r>
    <x v="3"/>
    <s v="CSU1176"/>
    <s v="Suntech Lighting Co"/>
    <s v="Dine-Out"/>
    <x v="1"/>
    <x v="3"/>
    <n v="3450"/>
    <n v="6600"/>
    <n v="3150"/>
  </r>
  <r>
    <x v="3"/>
    <s v="CSU1437"/>
    <s v="Sunshree Solar"/>
    <s v="Dine-Out"/>
    <x v="1"/>
    <x v="3"/>
    <n v="6370"/>
    <n v="9370"/>
    <n v="3000"/>
  </r>
  <r>
    <x v="3"/>
    <s v="CSU1504"/>
    <s v="Sunseed Power India Private Limited"/>
    <s v="Gym"/>
    <x v="3"/>
    <x v="8"/>
    <n v="8350"/>
    <n v="9350"/>
    <n v="1000"/>
  </r>
  <r>
    <x v="3"/>
    <s v="CSU1516"/>
    <s v="Sudhanva Enterprises"/>
    <s v="Dine-Out"/>
    <x v="2"/>
    <x v="7"/>
    <n v="9215"/>
    <n v="9215"/>
    <n v="0"/>
  </r>
  <r>
    <x v="3"/>
    <s v="CSU1539"/>
    <s v="Super Spares"/>
    <s v="Spa"/>
    <x v="2"/>
    <x v="7"/>
    <n v="9450"/>
    <n v="9450"/>
    <n v="0"/>
  </r>
  <r>
    <x v="3"/>
    <s v="CSW0296"/>
    <s v="SWASTIK ENTERPRISES"/>
    <s v="Dine-Out"/>
    <x v="0"/>
    <x v="5"/>
    <n v="5898"/>
    <n v="7898"/>
    <n v="2000"/>
  </r>
  <r>
    <x v="3"/>
    <s v="CTA0574"/>
    <s v="TATSAT NRGS"/>
    <s v="Gym"/>
    <x v="1"/>
    <x v="0"/>
    <n v="8500"/>
    <n v="9500"/>
    <n v="1000"/>
  </r>
  <r>
    <x v="3"/>
    <s v="CTH0312"/>
    <s v="The Electrify Shop"/>
    <s v="Spa"/>
    <x v="1"/>
    <x v="3"/>
    <n v="9450"/>
    <n v="9450"/>
    <n v="0"/>
  </r>
  <r>
    <x v="3"/>
    <s v="CTH0493"/>
    <s v="The Indian Electric Company"/>
    <s v="Dine-Out"/>
    <x v="3"/>
    <x v="8"/>
    <n v="10000"/>
    <n v="10000"/>
    <n v="0"/>
  </r>
  <r>
    <x v="3"/>
    <s v="CTH0610"/>
    <s v="THE FAN HUB"/>
    <s v="Spa"/>
    <x v="1"/>
    <x v="3"/>
    <n v="9450"/>
    <n v="9450"/>
    <n v="0"/>
  </r>
  <r>
    <x v="3"/>
    <s v="CTH0635"/>
    <s v="THE GRAND BHARAI MAHAL"/>
    <s v="Dine-Out"/>
    <x v="1"/>
    <x v="3"/>
    <n v="9440"/>
    <n v="9440"/>
    <n v="0"/>
  </r>
  <r>
    <x v="3"/>
    <s v="CTI0135"/>
    <s v="Tirupati Electrify Shops P. Ltd."/>
    <s v="Dine-Out"/>
    <x v="1"/>
    <x v="3"/>
    <n v="9440"/>
    <n v="9440"/>
    <n v="0"/>
  </r>
  <r>
    <x v="3"/>
    <s v="CTR0496"/>
    <s v="TRAVANCORE SECURITY SYSTEMS INDIA PRIVAT"/>
    <s v="Dine-Out"/>
    <x v="3"/>
    <x v="8"/>
    <n v="7619"/>
    <n v="10000"/>
    <n v="2381"/>
  </r>
  <r>
    <x v="3"/>
    <s v="CTU0028"/>
    <s v="Tulsi Electricals"/>
    <s v="Dine-Out"/>
    <x v="3"/>
    <x v="8"/>
    <n v="10130"/>
    <n v="10000"/>
    <n v="-130"/>
  </r>
  <r>
    <x v="3"/>
    <s v="CUM0069"/>
    <s v="Umesh Enterprises"/>
    <s v="Dine-Out"/>
    <x v="0"/>
    <x v="5"/>
    <n v="3578"/>
    <n v="6578"/>
    <n v="3000"/>
  </r>
  <r>
    <x v="3"/>
    <s v="CUM0085"/>
    <s v="Umiya Corporation"/>
    <s v="Dine-Out"/>
    <x v="1"/>
    <x v="3"/>
    <n v="9435"/>
    <n v="9435"/>
    <n v="0"/>
  </r>
  <r>
    <x v="3"/>
    <s v="CUN0424"/>
    <s v="Universal Electric Solutions"/>
    <s v="Spa"/>
    <x v="1"/>
    <x v="3"/>
    <n v="7600"/>
    <n v="7600"/>
    <n v="0"/>
  </r>
  <r>
    <x v="3"/>
    <s v="CUR0039"/>
    <s v="Urja Corporation"/>
    <s v="Gym"/>
    <x v="1"/>
    <x v="3"/>
    <n v="10500"/>
    <n v="10000"/>
    <n v="-500"/>
  </r>
  <r>
    <x v="3"/>
    <s v="CVA0098"/>
    <s v="Vadilal R Shah"/>
    <s v="Dine-Out"/>
    <x v="1"/>
    <x v="9"/>
    <n v="10000"/>
    <n v="10000"/>
    <n v="0"/>
  </r>
  <r>
    <x v="3"/>
    <s v="CVI0619"/>
    <s v="Vishal Agency"/>
    <s v="Dine-Out"/>
    <x v="1"/>
    <x v="3"/>
    <n v="9435"/>
    <n v="9435"/>
    <n v="0"/>
  </r>
  <r>
    <x v="3"/>
    <s v="CVI0688"/>
    <s v="VinayBabu Agencies"/>
    <s v="Dine-Out"/>
    <x v="0"/>
    <x v="5"/>
    <n v="9628"/>
    <n v="9628"/>
    <n v="0"/>
  </r>
  <r>
    <x v="3"/>
    <s v="CVI0716"/>
    <s v="Vishnu Electricals"/>
    <s v="Dine Out"/>
    <x v="2"/>
    <x v="7"/>
    <n v="4914"/>
    <n v="7914"/>
    <n v="3000"/>
  </r>
  <r>
    <x v="3"/>
    <s v="CVI1457"/>
    <s v="Vishuddh Traders"/>
    <s v="Dine-Out"/>
    <x v="3"/>
    <x v="8"/>
    <n v="3354"/>
    <n v="6534"/>
    <n v="3180"/>
  </r>
  <r>
    <x v="3"/>
    <s v="CVR0082"/>
    <s v="VRAJ ENTERPRISE"/>
    <s v="Dine-Out"/>
    <x v="0"/>
    <x v="5"/>
    <n v="3776"/>
    <n v="6600"/>
    <n v="2824"/>
  </r>
  <r>
    <x v="3"/>
    <s v="CVS0022"/>
    <s v="V Sunlight Trading Co."/>
    <s v="Dine-Out"/>
    <x v="3"/>
    <x v="8"/>
    <n v="9198"/>
    <n v="9198"/>
    <n v="0"/>
  </r>
  <r>
    <x v="3"/>
    <s v="CYA0142"/>
    <s v="YASH TRADING COMPANY"/>
    <s v="Salon"/>
    <x v="1"/>
    <x v="3"/>
    <n v="10000"/>
    <n v="10000"/>
    <n v="0"/>
  </r>
  <r>
    <x v="4"/>
    <s v="COM0504"/>
    <s v="OM ELECTRIC SALES"/>
    <s v="Dine Out"/>
    <x v="3"/>
    <x v="8"/>
    <n v="3585"/>
    <n v="9500"/>
    <n v="5915"/>
  </r>
  <r>
    <x v="4"/>
    <s v="CPU0249"/>
    <s v="Pushpad Enterprises"/>
    <s v="Gym"/>
    <x v="3"/>
    <x v="8"/>
    <n v="10000"/>
    <n v="10000"/>
    <n v="0"/>
  </r>
  <r>
    <x v="4"/>
    <s v="CSR0542"/>
    <s v="Sri Vijaya Lakshmi Agencies"/>
    <s v="Dine-Out"/>
    <x v="1"/>
    <x v="3"/>
    <n v="9164.58"/>
    <n v="9500"/>
    <n v="335.42000000000007"/>
  </r>
  <r>
    <x v="4"/>
    <s v="CAD0002"/>
    <s v="Adarsh Electricals"/>
    <s v="Gym"/>
    <x v="1"/>
    <x v="9"/>
    <n v="10000"/>
    <n v="10000"/>
    <n v="0"/>
  </r>
  <r>
    <x v="4"/>
    <s v="CSI2286"/>
    <s v="SIDH ENTERPRISES"/>
    <s v="Salon"/>
    <x v="0"/>
    <x v="9"/>
    <n v="11000"/>
    <n v="10000"/>
    <n v="-1000"/>
  </r>
  <r>
    <x v="4"/>
    <s v="CMR0068"/>
    <s v="MR Electric Corporation "/>
    <s v="Salon"/>
    <x v="1"/>
    <x v="3"/>
    <n v="10000"/>
    <n v="10000"/>
    <n v="0"/>
  </r>
  <r>
    <x v="4"/>
    <s v="CDE0837"/>
    <s v="Dewansh Marketing"/>
    <s v="Dine Out"/>
    <x v="0"/>
    <x v="0"/>
    <n v="8986"/>
    <n v="9500"/>
    <n v="514"/>
  </r>
  <r>
    <x v="4"/>
    <s v="CGO0616"/>
    <s v="Goyal Enterprises"/>
    <s v="Dine-Out"/>
    <x v="1"/>
    <x v="3"/>
    <n v="8548"/>
    <n v="9548"/>
    <n v="1000"/>
  </r>
  <r>
    <x v="4"/>
    <s v="CSA1923"/>
    <s v="Sangam Electrical"/>
    <s v="Dine-Out"/>
    <x v="1"/>
    <x v="3"/>
    <n v="4725"/>
    <n v="7725"/>
    <n v="3000"/>
  </r>
  <r>
    <x v="4"/>
    <s v="CJK0121"/>
    <s v="J K Agro Sales"/>
    <s v="Dine-Out"/>
    <x v="1"/>
    <x v="3"/>
    <n v="4717.6400000000003"/>
    <n v="9717.64"/>
    <n v="4999.9999999999991"/>
  </r>
  <r>
    <x v="4"/>
    <s v="CKR0404"/>
    <s v="Krishna Marketing "/>
    <s v="Gym"/>
    <x v="1"/>
    <x v="9"/>
    <n v="9350"/>
    <n v="9500"/>
    <n v="150"/>
  </r>
  <r>
    <x v="4"/>
    <s v="CDE0807"/>
    <s v="Deep Engineers"/>
    <s v="Dine-Out"/>
    <x v="0"/>
    <x v="9"/>
    <n v="8491"/>
    <n v="9500"/>
    <n v="1009"/>
  </r>
  <r>
    <x v="4"/>
    <s v="CGU2396"/>
    <s v="Gupta Agencies"/>
    <s v="Dine-Out"/>
    <x v="1"/>
    <x v="9"/>
    <n v="2999"/>
    <n v="6999"/>
    <n v="4000"/>
  </r>
  <r>
    <x v="4"/>
    <s v="CAH0076"/>
    <s v="Ahad Solartech"/>
    <s v="Dine-Out"/>
    <x v="0"/>
    <x v="5"/>
    <n v="1098"/>
    <n v="4098"/>
    <n v="3000"/>
  </r>
  <r>
    <x v="4"/>
    <s v="CSH1125"/>
    <s v="Shivashakti Traders"/>
    <s v="Concert"/>
    <x v="3"/>
    <x v="8"/>
    <n v="12986"/>
    <n v="12986"/>
    <n v="0"/>
  </r>
  <r>
    <x v="4"/>
    <s v="CSH4726"/>
    <s v="SHREEJI SOLAR &amp; SERVICES"/>
    <s v="Gym"/>
    <x v="3"/>
    <x v="8"/>
    <n v="9499"/>
    <n v="9499"/>
    <n v="0"/>
  </r>
  <r>
    <x v="4"/>
    <s v="CNI0607"/>
    <s v="NIYANSHI ENTERPRISES"/>
    <s v="Photo shoot"/>
    <x v="1"/>
    <x v="9"/>
    <n v="10000"/>
    <n v="10000"/>
    <n v="0"/>
  </r>
  <r>
    <x v="4"/>
    <s v="CSW0320"/>
    <s v="SWARNIM ENTERPRISES"/>
    <s v="Gym"/>
    <x v="0"/>
    <x v="9"/>
    <n v="11000"/>
    <n v="10000"/>
    <n v="-1000"/>
  </r>
  <r>
    <x v="4"/>
    <s v="CKA0486"/>
    <s v="KAYSON TRADERS"/>
    <s v="Dine-Out"/>
    <x v="1"/>
    <x v="3"/>
    <n v="7000"/>
    <n v="9000"/>
    <n v="2000"/>
  </r>
  <r>
    <x v="4"/>
    <s v="CPR1136"/>
    <s v="Priya International"/>
    <s v="Dine-Out"/>
    <x v="1"/>
    <x v="3"/>
    <n v="8488.7999999999993"/>
    <n v="9488"/>
    <n v="999.20000000000073"/>
  </r>
  <r>
    <x v="4"/>
    <s v="CSI0116"/>
    <s v="Sihotia Sales"/>
    <s v="Dine-Out"/>
    <x v="1"/>
    <x v="3"/>
    <n v="3683"/>
    <n v="7683"/>
    <n v="4000"/>
  </r>
  <r>
    <x v="4"/>
    <s v="CLA0997"/>
    <s v="Lakshita Enterprises"/>
    <s v="Dine-Out"/>
    <x v="1"/>
    <x v="9"/>
    <n v="2319"/>
    <n v="5319"/>
    <n v="3000"/>
  </r>
  <r>
    <x v="4"/>
    <s v="CVA2429"/>
    <s v="VASL ENTERPRISE"/>
    <s v="Spa"/>
    <x v="1"/>
    <x v="3"/>
    <n v="5500"/>
    <n v="7500"/>
    <n v="2000"/>
  </r>
  <r>
    <x v="4"/>
    <s v="CPI0132"/>
    <s v="Pio Electricals"/>
    <s v="Spa"/>
    <x v="3"/>
    <x v="8"/>
    <n v="8243"/>
    <n v="9600"/>
    <n v="1357"/>
  </r>
  <r>
    <x v="4"/>
    <s v="CRA2242"/>
    <s v="RAJESH TRADING COMPANY"/>
    <s v="Gym"/>
    <x v="3"/>
    <x v="9"/>
    <n v="9000"/>
    <n v="10000"/>
    <n v="1000"/>
  </r>
  <r>
    <x v="4"/>
    <s v="CJS0105"/>
    <s v="J STAR TECHNOLOGIES"/>
    <s v="Dine-Out"/>
    <x v="0"/>
    <x v="5"/>
    <n v="2950"/>
    <n v="7500"/>
    <n v="4550"/>
  </r>
  <r>
    <x v="4"/>
    <s v="CVR0081"/>
    <s v="Vrindavan Hardware &amp; paint store"/>
    <s v="Dine-Out"/>
    <x v="0"/>
    <x v="5"/>
    <n v="9785"/>
    <n v="9785"/>
    <n v="0"/>
  </r>
  <r>
    <x v="4"/>
    <s v="CLA0113"/>
    <s v="Luxmi Electric Sales "/>
    <s v="Dine-Out"/>
    <x v="1"/>
    <x v="3"/>
    <n v="10569"/>
    <n v="10000"/>
    <n v="-569"/>
  </r>
  <r>
    <x v="4"/>
    <s v="CPR1021"/>
    <s v="Pradeep Light House"/>
    <s v="Gym"/>
    <x v="3"/>
    <x v="9"/>
    <n v="7000"/>
    <n v="10000"/>
    <n v="3000"/>
  </r>
  <r>
    <x v="4"/>
    <s v="CDH0242"/>
    <s v="Dhyani Enterprise"/>
    <s v="Salon"/>
    <x v="0"/>
    <x v="9"/>
    <n v="10000"/>
    <n v="10000"/>
    <n v="0"/>
  </r>
  <r>
    <x v="4"/>
    <s v="CEX0017"/>
    <s v="Excel Enterprises"/>
    <s v="Dine-Out"/>
    <x v="2"/>
    <x v="7"/>
    <n v="10832"/>
    <n v="10000"/>
    <n v="-832"/>
  </r>
  <r>
    <x v="4"/>
    <s v="csu1728"/>
    <s v="Suvarna Enterprises"/>
    <s v="Dine-Out"/>
    <x v="2"/>
    <x v="7"/>
    <n v="2074"/>
    <n v="8074"/>
    <n v="6000"/>
  </r>
  <r>
    <x v="4"/>
    <s v="CAY0022"/>
    <s v="Ayush Enterprises"/>
    <s v="Dine-Out"/>
    <x v="2"/>
    <x v="7"/>
    <n v="3670"/>
    <n v="8670"/>
    <n v="5000"/>
  </r>
  <r>
    <x v="4"/>
    <s v="COM0120"/>
    <s v="Om Prakash Power System (P) Ltd."/>
    <s v="Dine-Out"/>
    <x v="2"/>
    <x v="7"/>
    <n v="10573"/>
    <n v="10000"/>
    <n v="-573"/>
  </r>
  <r>
    <x v="4"/>
    <s v="CRA1005"/>
    <s v="Ravi Enterprises"/>
    <s v="Dine-Out"/>
    <x v="2"/>
    <x v="7"/>
    <n v="8350"/>
    <n v="9350"/>
    <n v="1000"/>
  </r>
  <r>
    <x v="4"/>
    <s v="CEL0298"/>
    <s v="Electrical Hub"/>
    <s v="Dine-Out"/>
    <x v="2"/>
    <x v="7"/>
    <n v="8361"/>
    <n v="9361"/>
    <n v="1000"/>
  </r>
  <r>
    <x v="4"/>
    <s v="CMA3057"/>
    <s v="Mahalaxmi Electricals"/>
    <s v="Dine-Out"/>
    <x v="1"/>
    <x v="3"/>
    <n v="5000"/>
    <n v="8500"/>
    <n v="3500"/>
  </r>
  <r>
    <x v="4"/>
    <s v="CAR0203"/>
    <s v="A R Electro Power Pvt Ltd"/>
    <s v="Spa"/>
    <x v="3"/>
    <x v="8"/>
    <n v="12600"/>
    <n v="10000"/>
    <n v="-2600"/>
  </r>
  <r>
    <x v="4"/>
    <s v="CRA2339"/>
    <s v="RAJ ELECTRO HUB"/>
    <s v="Dine-Out"/>
    <x v="3"/>
    <x v="8"/>
    <n v="5156"/>
    <n v="9860"/>
    <n v="4704"/>
  </r>
  <r>
    <x v="4"/>
    <s v="CBH0751"/>
    <s v="Bhagwati Electricals"/>
    <s v="Spa"/>
    <x v="3"/>
    <x v="8"/>
    <n v="10710"/>
    <n v="10000"/>
    <n v="-710"/>
  </r>
  <r>
    <x v="4"/>
    <s v="CME1103"/>
    <s v="Metro Trading Co."/>
    <s v="Dine-Out"/>
    <x v="3"/>
    <x v="8"/>
    <n v="8873"/>
    <n v="9873"/>
    <n v="1000"/>
  </r>
  <r>
    <x v="4"/>
    <s v="CSH4306"/>
    <s v="Shiv Swaroop Electricals"/>
    <s v="Dine-Out"/>
    <x v="3"/>
    <x v="8"/>
    <n v="6427"/>
    <n v="9600"/>
    <n v="3173"/>
  </r>
  <r>
    <x v="4"/>
    <s v="CMA1684"/>
    <s v="Mahesh Electrical Agencies"/>
    <s v="Dine-Out"/>
    <x v="3"/>
    <x v="8"/>
    <n v="12361"/>
    <n v="12361"/>
    <n v="0"/>
  </r>
  <r>
    <x v="4"/>
    <s v="CHA8030"/>
    <s v="Harish Sanitations"/>
    <s v="Spa"/>
    <x v="3"/>
    <x v="8"/>
    <n v="7139"/>
    <n v="9400"/>
    <n v="2261"/>
  </r>
  <r>
    <x v="4"/>
    <s v="CCA1169"/>
    <s v="CABLE CONNECT"/>
    <s v="Salon"/>
    <x v="0"/>
    <x v="9"/>
    <n v="10300"/>
    <n v="10000"/>
    <n v="-300"/>
  </r>
  <r>
    <x v="4"/>
    <s v="CSS5961"/>
    <s v="S.S. Agencies"/>
    <s v="Dine-Out"/>
    <x v="2"/>
    <x v="9"/>
    <n v="8499"/>
    <n v="9499"/>
    <n v="1000"/>
  </r>
  <r>
    <x v="4"/>
    <s v="CSA0085"/>
    <s v="Sanjay Electricals"/>
    <s v="Dine-Out"/>
    <x v="1"/>
    <x v="3"/>
    <n v="4930"/>
    <n v="10000"/>
    <n v="5070"/>
  </r>
  <r>
    <x v="4"/>
    <s v="CBE0233"/>
    <s v="Benipal Enterprises"/>
    <s v="Dine-Out"/>
    <x v="1"/>
    <x v="3"/>
    <n v="3000"/>
    <n v="6450"/>
    <n v="3450"/>
  </r>
  <r>
    <x v="4"/>
    <s v="CAG0372"/>
    <s v="Aggarwal Agencies"/>
    <s v="Salon"/>
    <x v="1"/>
    <x v="3"/>
    <n v="9200"/>
    <n v="9200"/>
    <n v="0"/>
  </r>
  <r>
    <x v="4"/>
    <s v="CDH0136"/>
    <s v="Dhanalaxmi Electrical"/>
    <s v="Dine-Out"/>
    <x v="1"/>
    <x v="3"/>
    <n v="10620"/>
    <n v="10000"/>
    <n v="-620"/>
  </r>
  <r>
    <x v="4"/>
    <s v="CSH1926"/>
    <s v="Shri Vijaylaxmi Enterprises"/>
    <s v="Gym"/>
    <x v="3"/>
    <x v="9"/>
    <n v="10000"/>
    <n v="10000"/>
    <n v="0"/>
  </r>
  <r>
    <x v="4"/>
    <s v="CSR0851"/>
    <s v="Sri Vasavi Enterprises"/>
    <s v="Gym"/>
    <x v="1"/>
    <x v="9"/>
    <n v="10000"/>
    <n v="10000"/>
    <n v="0"/>
  </r>
  <r>
    <x v="4"/>
    <s v="CNA0550"/>
    <s v="National Traders"/>
    <s v="Gym"/>
    <x v="3"/>
    <x v="9"/>
    <n v="10800"/>
    <n v="10000"/>
    <n v="-800"/>
  </r>
  <r>
    <x v="4"/>
    <s v="CAS0660"/>
    <s v="Ashish Traders"/>
    <s v="Photo shoot"/>
    <x v="3"/>
    <x v="9"/>
    <n v="10000"/>
    <n v="10000"/>
    <n v="0"/>
  </r>
  <r>
    <x v="4"/>
    <s v="CQP0001"/>
    <s v="Q Point Integrated Solutions"/>
    <s v="Photo shoot"/>
    <x v="3"/>
    <x v="9"/>
    <n v="10000"/>
    <n v="10000"/>
    <n v="0"/>
  </r>
  <r>
    <x v="4"/>
    <s v="CDI1281"/>
    <s v="Digital Trading Com."/>
    <s v="Gym"/>
    <x v="1"/>
    <x v="9"/>
    <n v="10000"/>
    <n v="10000"/>
    <n v="0"/>
  </r>
  <r>
    <x v="4"/>
    <s v="CSR0355"/>
    <s v="V MURALI"/>
    <s v="Spa"/>
    <x v="1"/>
    <x v="3"/>
    <n v="9857"/>
    <n v="9857"/>
    <n v="0"/>
  </r>
  <r>
    <x v="4"/>
    <s v="CSA0109"/>
    <s v="Sai Electricals"/>
    <s v="Gym"/>
    <x v="3"/>
    <x v="9"/>
    <n v="12000"/>
    <n v="12000"/>
    <n v="0"/>
  </r>
  <r>
    <x v="4"/>
    <s v="CRO0177"/>
    <s v="Royale Lights"/>
    <s v="Dine-Out"/>
    <x v="3"/>
    <x v="8"/>
    <n v="10098"/>
    <n v="10000"/>
    <n v="-98"/>
  </r>
  <r>
    <x v="4"/>
    <s v="CDA0390"/>
    <s v="DASHMESH ELECTRICALS"/>
    <s v="Dine-Out"/>
    <x v="3"/>
    <x v="8"/>
    <n v="4785"/>
    <n v="7785"/>
    <n v="3000"/>
  </r>
  <r>
    <x v="4"/>
    <s v="CSU1057"/>
    <s v="Sunpower Automation"/>
    <s v="Dine-Out"/>
    <x v="3"/>
    <x v="8"/>
    <n v="8850"/>
    <n v="9850"/>
    <n v="1000"/>
  </r>
  <r>
    <x v="4"/>
    <s v="CSU0002"/>
    <s v="Sudeep Enterprises"/>
    <s v="Dine-Out"/>
    <x v="3"/>
    <x v="8"/>
    <n v="3356"/>
    <n v="8356"/>
    <n v="5000"/>
  </r>
  <r>
    <x v="4"/>
    <s v="CNA1140"/>
    <s v="Nas Agencies"/>
    <s v="Dine-Out"/>
    <x v="0"/>
    <x v="9"/>
    <n v="3183"/>
    <n v="6183"/>
    <n v="3000"/>
  </r>
  <r>
    <x v="4"/>
    <s v="CBH1186"/>
    <s v="BHAVANI HARDWARE PAINTS &amp; ELECTRICA"/>
    <s v="Dine-Out"/>
    <x v="0"/>
    <x v="9"/>
    <n v="3836"/>
    <n v="6836"/>
    <n v="3000"/>
  </r>
  <r>
    <x v="4"/>
    <s v="CSH4251"/>
    <s v="Shiv Electric Experience Centre"/>
    <s v="Dine-Out"/>
    <x v="0"/>
    <x v="9"/>
    <n v="12272"/>
    <n v="12272"/>
    <n v="0"/>
  </r>
  <r>
    <x v="4"/>
    <s v="COC0015"/>
    <s v="OCEAN ENTERPRISES"/>
    <s v="Dine-Out"/>
    <x v="0"/>
    <x v="9"/>
    <n v="4717.62"/>
    <n v="6400"/>
    <n v="1682.38"/>
  </r>
  <r>
    <x v="4"/>
    <s v="CSA0232"/>
    <s v="Samyak Sales"/>
    <s v="Dine-Out"/>
    <x v="1"/>
    <x v="9"/>
    <n v="6206"/>
    <n v="8206"/>
    <n v="2000"/>
  </r>
  <r>
    <x v="4"/>
    <s v="CKA1188"/>
    <s v="Kandarp Engineers"/>
    <s v="Dine-Out"/>
    <x v="3"/>
    <x v="8"/>
    <n v="10000"/>
    <n v="10000"/>
    <n v="0"/>
  </r>
  <r>
    <x v="4"/>
    <s v="CSR6497"/>
    <s v="C.K.C. COMMUNICATIONS"/>
    <s v="Dine-Out"/>
    <x v="2"/>
    <x v="9"/>
    <n v="9081"/>
    <n v="9081"/>
    <n v="0"/>
  </r>
  <r>
    <x v="4"/>
    <s v="CRU0181"/>
    <s v="Rudra Enterprisers"/>
    <s v="Dine-Out"/>
    <x v="2"/>
    <x v="9"/>
    <n v="4248"/>
    <n v="6400"/>
    <n v="2152"/>
  </r>
  <r>
    <x v="4"/>
    <s v="CSR1385"/>
    <s v="Sri Ganesh Mill Stores"/>
    <s v="Dine-Out"/>
    <x v="2"/>
    <x v="9"/>
    <n v="5823"/>
    <n v="8823"/>
    <n v="3000"/>
  </r>
  <r>
    <x v="4"/>
    <s v="CBH0917"/>
    <s v="Bharat Light Homes"/>
    <s v="Dine-Out"/>
    <x v="0"/>
    <x v="9"/>
    <n v="4718"/>
    <n v="9600"/>
    <n v="4882"/>
  </r>
  <r>
    <x v="4"/>
    <s v="CKO0087"/>
    <s v="Korde Electricals And Electronics P"/>
    <s v="Spa"/>
    <x v="3"/>
    <x v="9"/>
    <n v="12387"/>
    <n v="12387"/>
    <n v="0"/>
  </r>
  <r>
    <x v="4"/>
    <s v="CBT0008"/>
    <s v="B-2 Electricals And Suppliers"/>
    <s v="Dine-Out"/>
    <x v="3"/>
    <x v="8"/>
    <n v="12744"/>
    <n v="12744"/>
    <n v="0"/>
  </r>
  <r>
    <x v="4"/>
    <s v="CJJ0026"/>
    <s v="J.J. ENTERPRISES"/>
    <s v="Dine-Out"/>
    <x v="3"/>
    <x v="8"/>
    <n v="6136"/>
    <n v="10000"/>
    <n v="3864"/>
  </r>
  <r>
    <x v="4"/>
    <s v="CKU0257"/>
    <s v="Kurbitte Enterprises"/>
    <s v="Dine-Out"/>
    <x v="3"/>
    <x v="8"/>
    <n v="6291"/>
    <n v="8291"/>
    <n v="2000"/>
  </r>
  <r>
    <x v="4"/>
    <s v="CTS0023"/>
    <s v="T.S.W. ENGINEERING"/>
    <s v="Dine-Out"/>
    <x v="3"/>
    <x v="8"/>
    <n v="6608"/>
    <n v="7608"/>
    <n v="1000"/>
  </r>
  <r>
    <x v="4"/>
    <s v="CBA0585"/>
    <s v="Baheti Electricals"/>
    <s v="Dine-Out"/>
    <x v="3"/>
    <x v="8"/>
    <n v="9523"/>
    <n v="9523"/>
    <n v="0"/>
  </r>
  <r>
    <x v="4"/>
    <s v="CBR0228"/>
    <s v="Bright Enterprises"/>
    <s v="Dine-Out"/>
    <x v="1"/>
    <x v="9"/>
    <n v="2100"/>
    <n v="6100"/>
    <n v="4000"/>
  </r>
  <r>
    <x v="4"/>
    <s v="CSR0061"/>
    <s v="Sri Ganesh Agencies"/>
    <s v="Kids Day Out"/>
    <x v="1"/>
    <x v="0"/>
    <n v="11080"/>
    <n v="10000"/>
    <n v="-1080"/>
  </r>
  <r>
    <x v="4"/>
    <s v="CSS5972"/>
    <s v="SSY Distribution House LLP "/>
    <s v="Gym"/>
    <x v="1"/>
    <x v="9"/>
    <n v="10000"/>
    <n v="10000"/>
    <n v="0"/>
  </r>
  <r>
    <x v="4"/>
    <s v="CBA0636"/>
    <s v="Badola Trading Company"/>
    <s v="Gym"/>
    <x v="1"/>
    <x v="9"/>
    <n v="10000"/>
    <n v="10000"/>
    <n v="0"/>
  </r>
  <r>
    <x v="4"/>
    <s v="CRK0382"/>
    <s v="R K Enterprises"/>
    <s v="Dine-Out"/>
    <x v="1"/>
    <x v="3"/>
    <n v="10000"/>
    <n v="10000"/>
    <n v="0"/>
  </r>
  <r>
    <x v="4"/>
    <s v="CSH2407"/>
    <s v="Shri Krishna Electricals"/>
    <s v="Dine-Out"/>
    <x v="1"/>
    <x v="3"/>
    <n v="6842"/>
    <n v="7842"/>
    <n v="1000"/>
  </r>
  <r>
    <x v="4"/>
    <s v="CKA0712"/>
    <s v="Kailash Electricals "/>
    <s v="Dine-Out"/>
    <x v="1"/>
    <x v="3"/>
    <n v="9500"/>
    <n v="9500"/>
    <n v="0"/>
  </r>
  <r>
    <x v="4"/>
    <s v="CBH1091"/>
    <s v="Bhagirathi Traders"/>
    <s v="Gym"/>
    <x v="0"/>
    <x v="0"/>
    <n v="9000"/>
    <n v="10000"/>
    <n v="1000"/>
  </r>
  <r>
    <x v="4"/>
    <s v="CTU0086"/>
    <s v="Tulsi Electricals And Switchgears"/>
    <s v="Spa"/>
    <x v="0"/>
    <x v="0"/>
    <n v="9450"/>
    <n v="9450"/>
    <n v="0"/>
  </r>
  <r>
    <x v="4"/>
    <s v="CBH1233"/>
    <s v="BHUVNESH CABLE HOUSE"/>
    <s v="Salon"/>
    <x v="0"/>
    <x v="0"/>
    <n v="11800"/>
    <n v="11800"/>
    <n v="0"/>
  </r>
  <r>
    <x v="4"/>
    <s v="CKA0651"/>
    <s v="Kanpur Electric Sales"/>
    <s v="Mammography"/>
    <x v="0"/>
    <x v="0"/>
    <n v="5250"/>
    <n v="7250"/>
    <n v="2000"/>
  </r>
  <r>
    <x v="4"/>
    <s v="CBH0881"/>
    <s v="Bhanu Agencies"/>
    <s v="Dine-Out"/>
    <x v="2"/>
    <x v="0"/>
    <n v="13172"/>
    <n v="13172"/>
    <n v="0"/>
  </r>
  <r>
    <x v="4"/>
    <s v="CHP0031"/>
    <s v="H. P. Electrical"/>
    <s v="Dine-Out"/>
    <x v="2"/>
    <x v="0"/>
    <n v="13772"/>
    <n v="13772"/>
    <n v="0"/>
  </r>
  <r>
    <x v="4"/>
    <s v="CMA1296"/>
    <s v="Maa Samaleswari Enterprises"/>
    <s v="Mammography"/>
    <x v="0"/>
    <x v="0"/>
    <n v="7839"/>
    <n v="9839"/>
    <n v="2000"/>
  </r>
  <r>
    <x v="4"/>
    <s v="CPO0519"/>
    <s v="Powertech Electricals"/>
    <s v="Dine-Out"/>
    <x v="1"/>
    <x v="3"/>
    <n v="7788"/>
    <n v="8899"/>
    <n v="1111"/>
  </r>
  <r>
    <x v="4"/>
    <s v="CFU0110"/>
    <s v="Future Energy"/>
    <s v="Spa"/>
    <x v="0"/>
    <x v="5"/>
    <n v="2000"/>
    <n v="4800"/>
    <n v="2800"/>
  </r>
  <r>
    <x v="4"/>
    <s v="CKA1085"/>
    <s v="Kamna Traders"/>
    <s v="Spa"/>
    <x v="0"/>
    <x v="5"/>
    <n v="8379"/>
    <n v="9379"/>
    <n v="1000"/>
  </r>
  <r>
    <x v="4"/>
    <s v="CTR0349"/>
    <s v="Trade Zone"/>
    <s v="Dine-Out"/>
    <x v="3"/>
    <x v="8"/>
    <n v="10313"/>
    <n v="10000"/>
    <n v="-313"/>
  </r>
  <r>
    <x v="4"/>
    <s v="CKU0334"/>
    <s v="KULBHUSHAN TRADE LINKS"/>
    <s v="Salon"/>
    <x v="3"/>
    <x v="8"/>
    <n v="10000"/>
    <n v="10000"/>
    <n v="0"/>
  </r>
  <r>
    <x v="4"/>
    <s v="CBH1250"/>
    <s v="BHAGWATI ELECTRICALS"/>
    <s v="Dine-Out"/>
    <x v="1"/>
    <x v="3"/>
    <n v="4518"/>
    <n v="9860"/>
    <n v="5342"/>
  </r>
  <r>
    <x v="4"/>
    <s v="CLI0159"/>
    <s v="Li-Tech Electric Trading Company"/>
    <s v="Dine-Out"/>
    <x v="2"/>
    <x v="9"/>
    <n v="5231"/>
    <n v="9780"/>
    <n v="4549"/>
  </r>
  <r>
    <x v="4"/>
    <s v="CAM2713"/>
    <s v="Ample Engineers"/>
    <s v="Gym"/>
    <x v="0"/>
    <x v="9"/>
    <n v="10000"/>
    <n v="10000"/>
    <n v="0"/>
  </r>
  <r>
    <x v="4"/>
    <s v="CSU0876"/>
    <s v="Super Electricals"/>
    <s v="Gym"/>
    <x v="0"/>
    <x v="9"/>
    <n v="8500"/>
    <n v="9700"/>
    <n v="1200"/>
  </r>
  <r>
    <x v="4"/>
    <s v="CSU0409"/>
    <s v="Subhadra Electricals"/>
    <s v="Dine-Out"/>
    <x v="2"/>
    <x v="9"/>
    <n v="8272"/>
    <n v="9872"/>
    <n v="1600"/>
  </r>
  <r>
    <x v="4"/>
    <s v="CMI0211"/>
    <s v="M/S Mir Mart"/>
    <s v="Dine-Out"/>
    <x v="1"/>
    <x v="3"/>
    <n v="9853"/>
    <n v="9853"/>
    <n v="0"/>
  </r>
  <r>
    <x v="4"/>
    <s v="CKT0010"/>
    <s v="M/S  K2 Home Solutions"/>
    <s v="Dine-Out"/>
    <x v="1"/>
    <x v="3"/>
    <n v="8732"/>
    <n v="10000"/>
    <n v="1268"/>
  </r>
  <r>
    <x v="4"/>
    <s v="CAM2759"/>
    <s v="AMG Energy"/>
    <s v="Gym"/>
    <x v="3"/>
    <x v="8"/>
    <n v="10000"/>
    <n v="10000"/>
    <n v="0"/>
  </r>
  <r>
    <x v="4"/>
    <s v="CFR0038"/>
    <s v="M/s Frontier Communications"/>
    <s v="Dine-Out"/>
    <x v="1"/>
    <x v="3"/>
    <n v="10000"/>
    <n v="10000"/>
    <n v="0"/>
  </r>
  <r>
    <x v="4"/>
    <s v="CHU0076"/>
    <s v="M/s Hurra Traders"/>
    <s v="Dine-Out"/>
    <x v="1"/>
    <x v="3"/>
    <n v="12372"/>
    <n v="12372"/>
    <n v="0"/>
  </r>
  <r>
    <x v="4"/>
    <s v="CMI0242"/>
    <s v="M/s Mir Trading Co"/>
    <s v="Dine-Out"/>
    <x v="1"/>
    <x v="3"/>
    <n v="8380"/>
    <n v="9380"/>
    <n v="1000"/>
  </r>
  <r>
    <x v="4"/>
    <s v="CMA2759"/>
    <s v="Mahalaxmi Sanitary &amp; Tiles"/>
    <s v="Salon"/>
    <x v="1"/>
    <x v="9"/>
    <n v="10200"/>
    <n v="10000"/>
    <n v="-200"/>
  </r>
  <r>
    <x v="4"/>
    <s v="CMR0024"/>
    <s v="M R ELECTRONICS"/>
    <s v="Dine-Out"/>
    <x v="3"/>
    <x v="8"/>
    <n v="4741"/>
    <n v="8471"/>
    <n v="3730"/>
  </r>
  <r>
    <x v="4"/>
    <s v="CNV0005"/>
    <s v="NVN"/>
    <s v="Dine-Out"/>
    <x v="3"/>
    <x v="8"/>
    <n v="4314"/>
    <n v="8850"/>
    <n v="4536"/>
  </r>
  <r>
    <x v="4"/>
    <s v="CAM0384"/>
    <s v="AMIT SALES"/>
    <s v="Dine-Out"/>
    <x v="3"/>
    <x v="8"/>
    <n v="8875"/>
    <n v="9875"/>
    <n v="1000"/>
  </r>
  <r>
    <x v="4"/>
    <s v="CBR0197"/>
    <s v="BRIGHT HOME"/>
    <s v="Dine-Out"/>
    <x v="2"/>
    <x v="9"/>
    <n v="11033"/>
    <n v="10000"/>
    <n v="-1033"/>
  </r>
  <r>
    <x v="4"/>
    <s v="CAN0275"/>
    <s v="ANAND TRADING CORPORATION"/>
    <s v="Dine-Out"/>
    <x v="2"/>
    <x v="9"/>
    <n v="6984"/>
    <n v="10000"/>
    <n v="3016"/>
  </r>
  <r>
    <x v="4"/>
    <s v="CVI1295"/>
    <s v="VIRAJ SALES"/>
    <s v="Dine-Out"/>
    <x v="0"/>
    <x v="9"/>
    <n v="7582"/>
    <n v="9528"/>
    <n v="1946"/>
  </r>
  <r>
    <x v="4"/>
    <s v="CMA2823"/>
    <s v="Maheshwari Ventures"/>
    <s v="Dine-Out"/>
    <x v="0"/>
    <x v="9"/>
    <n v="10379"/>
    <n v="10000"/>
    <n v="-379"/>
  </r>
  <r>
    <x v="4"/>
    <s v="CJA1572"/>
    <s v="JAGANNATH ELECTRICALS"/>
    <s v="Dine-Out"/>
    <x v="2"/>
    <x v="9"/>
    <n v="7965"/>
    <n v="9900"/>
    <n v="1935"/>
  </r>
  <r>
    <x v="4"/>
    <s v="CWO0010"/>
    <s v="Woodmans Associates"/>
    <s v="Dine-Out"/>
    <x v="2"/>
    <x v="9"/>
    <n v="10001"/>
    <n v="10000"/>
    <n v="-1"/>
  </r>
  <r>
    <x v="4"/>
    <s v="CTR0427"/>
    <s v="Trpahal Power India Private Limited"/>
    <s v="Dine-Out"/>
    <x v="0"/>
    <x v="5"/>
    <n v="10735"/>
    <n v="10000"/>
    <n v="-735"/>
  </r>
  <r>
    <x v="4"/>
    <s v="CKR0035 "/>
    <s v="Krishna Electrical Agencies "/>
    <s v="Gym"/>
    <x v="1"/>
    <x v="9"/>
    <n v="10000"/>
    <n v="10000"/>
    <n v="0"/>
  </r>
  <r>
    <x v="4"/>
    <s v="CVK0070"/>
    <s v="Vk Sales"/>
    <s v="Salon"/>
    <x v="3"/>
    <x v="9"/>
    <n v="11000"/>
    <n v="10000"/>
    <n v="-1000"/>
  </r>
  <r>
    <x v="4"/>
    <s v="CNA0450"/>
    <s v="Nakoda Electricals And General Supp"/>
    <s v="Yoga"/>
    <x v="1"/>
    <x v="9"/>
    <n v="10000"/>
    <n v="10000"/>
    <n v="0"/>
  </r>
  <r>
    <x v="4"/>
    <s v="CAG0158"/>
    <s v="Agartala Marketing"/>
    <s v="Dine-Out"/>
    <x v="2"/>
    <x v="7"/>
    <n v="10857"/>
    <n v="10000"/>
    <n v="-857"/>
  </r>
  <r>
    <x v="4"/>
    <s v="CSI0640"/>
    <s v="Sindhu Traders"/>
    <s v="Dine-Out"/>
    <x v="2"/>
    <x v="7"/>
    <n v="4130"/>
    <n v="8200"/>
    <n v="4070"/>
  </r>
  <r>
    <x v="4"/>
    <s v="CBH0103"/>
    <s v="Bharati Enterprises"/>
    <s v="Dine-Out"/>
    <x v="2"/>
    <x v="7"/>
    <n v="7786"/>
    <n v="10000"/>
    <n v="2214"/>
  </r>
  <r>
    <x v="4"/>
    <s v="CDU0087"/>
    <s v="Dutta Enterprises"/>
    <s v="Dine-Out"/>
    <x v="2"/>
    <x v="7"/>
    <n v="4480"/>
    <n v="7500"/>
    <n v="3020"/>
  </r>
  <r>
    <x v="4"/>
    <s v="CME0970"/>
    <s v="Medha Enterprises"/>
    <s v="Dine-Out"/>
    <x v="2"/>
    <x v="7"/>
    <n v="2347"/>
    <n v="5680"/>
    <n v="3333"/>
  </r>
  <r>
    <x v="4"/>
    <s v="CSA1067"/>
    <s v="Sancheti Electrical"/>
    <s v="Dine-Out"/>
    <x v="2"/>
    <x v="7"/>
    <n v="6590"/>
    <n v="8590"/>
    <n v="2000"/>
  </r>
  <r>
    <x v="4"/>
    <s v="CSH1602"/>
    <s v="Shree Communication"/>
    <s v="Dine-Out"/>
    <x v="2"/>
    <x v="7"/>
    <n v="3758"/>
    <n v="9858"/>
    <n v="6100"/>
  </r>
  <r>
    <x v="4"/>
    <s v="CAR0807"/>
    <s v="Arora Enterprises"/>
    <s v="Dine-Out"/>
    <x v="2"/>
    <x v="7"/>
    <n v="9435"/>
    <n v="9435"/>
    <n v="0"/>
  </r>
  <r>
    <x v="4"/>
    <s v="CAR0005"/>
    <s v="Arjun Lal Banwari Lal and Co Pvt.Ltd"/>
    <s v="Dine-Out"/>
    <x v="2"/>
    <x v="7"/>
    <n v="5900"/>
    <n v="8900"/>
    <n v="3000"/>
  </r>
  <r>
    <x v="4"/>
    <s v="CSC0033"/>
    <s v="SCM Distributors"/>
    <s v="Dine-Out"/>
    <x v="2"/>
    <x v="7"/>
    <n v="7667"/>
    <n v="10000"/>
    <n v="2333"/>
  </r>
  <r>
    <x v="4"/>
    <s v="CAA0094"/>
    <s v="Aastha Distributor"/>
    <s v="Dine-Out"/>
    <x v="2"/>
    <x v="7"/>
    <n v="10024"/>
    <n v="10000"/>
    <n v="-24"/>
  </r>
  <r>
    <x v="4"/>
    <s v="CMO0616"/>
    <s v="MOHAN MOBILES"/>
    <s v="Dine-Out"/>
    <x v="2"/>
    <x v="7"/>
    <n v="7245"/>
    <n v="9245"/>
    <n v="2000"/>
  </r>
  <r>
    <x v="4"/>
    <s v="CSR5798"/>
    <s v="Sri Sapthagiri Conveyors"/>
    <s v="Dine-Out"/>
    <x v="2"/>
    <x v="7"/>
    <n v="7221.6"/>
    <n v="9221.6"/>
    <n v="2000"/>
  </r>
  <r>
    <x v="4"/>
    <s v="CLA1189"/>
    <s v="Laxmi Traders"/>
    <s v="Dine-Out"/>
    <x v="2"/>
    <x v="7"/>
    <n v="5266"/>
    <n v="7266"/>
    <n v="2000"/>
  </r>
  <r>
    <x v="4"/>
    <s v="CCI0126"/>
    <s v="M/s City To Town Traders"/>
    <s v="Dine-Out"/>
    <x v="1"/>
    <x v="3"/>
    <n v="10742"/>
    <n v="10000"/>
    <n v="-742"/>
  </r>
  <r>
    <x v="4"/>
    <s v="CVI1458"/>
    <s v="VIVAN ENTERPRISES"/>
    <s v="Dine-Out"/>
    <x v="1"/>
    <x v="9"/>
    <n v="10504"/>
    <n v="10000"/>
    <n v="-504"/>
  </r>
  <r>
    <x v="4"/>
    <s v="CSH4474"/>
    <s v="SHRADDHAPREM ENTERPRISES"/>
    <s v="Health Check_Up"/>
    <x v="2"/>
    <x v="0"/>
    <n v="5100"/>
    <n v="7200"/>
    <n v="2100"/>
  </r>
  <r>
    <x v="4"/>
    <s v="CSH3702"/>
    <s v="SHEMESH ENERGY PRIVATE LTD"/>
    <s v="Dine-Out"/>
    <x v="2"/>
    <x v="7"/>
    <n v="7788"/>
    <n v="10000"/>
    <n v="2212"/>
  </r>
  <r>
    <x v="4"/>
    <s v="CCA1182"/>
    <s v="CARMEL AGENCY"/>
    <s v="Dine-Out"/>
    <x v="2"/>
    <x v="9"/>
    <n v="9440"/>
    <n v="9440"/>
    <n v="0"/>
  </r>
  <r>
    <x v="4"/>
    <s v="CSH3324"/>
    <s v="Shrilakshman Enterprises"/>
    <s v="Dine-Out"/>
    <x v="2"/>
    <x v="9"/>
    <n v="2852"/>
    <n v="6000"/>
    <n v="3148"/>
  </r>
  <r>
    <x v="4"/>
    <s v="CAW0008"/>
    <s v="AWADH ELECTRICALS"/>
    <s v="Dine-Out"/>
    <x v="2"/>
    <x v="7"/>
    <n v="6692"/>
    <n v="8692"/>
    <n v="2000"/>
  </r>
  <r>
    <x v="4"/>
    <s v="CRA2246"/>
    <s v="RAMA AUTO MOBILE"/>
    <s v="Health Check_Up"/>
    <x v="2"/>
    <x v="0"/>
    <n v="5100"/>
    <n v="6200"/>
    <n v="1100"/>
  </r>
  <r>
    <x v="4"/>
    <s v="COJ0016"/>
    <s v="OJASYASHPRIYA INFRATECH"/>
    <s v="Dine-Out"/>
    <x v="2"/>
    <x v="7"/>
    <n v="5192"/>
    <n v="10000"/>
    <n v="4808"/>
  </r>
  <r>
    <x v="4"/>
    <s v="CRA1660"/>
    <s v="Rajindra Electronics"/>
    <s v="Dine-Out"/>
    <x v="0"/>
    <x v="9"/>
    <n v="8260"/>
    <n v="9260"/>
    <n v="1000"/>
  </r>
  <r>
    <x v="4"/>
    <s v="CAK0259"/>
    <s v="Akshat Enterprises"/>
    <s v="Health check up"/>
    <x v="3"/>
    <x v="0"/>
    <n v="4500"/>
    <n v="6500"/>
    <n v="2000"/>
  </r>
  <r>
    <x v="4"/>
    <s v="CRA2347"/>
    <s v="RAGHURAM SOLAR POWER GREEN ENERGY L"/>
    <s v="Mammography"/>
    <x v="3"/>
    <x v="0"/>
    <n v="10000"/>
    <n v="10000"/>
    <n v="0"/>
  </r>
  <r>
    <x v="4"/>
    <s v="CLE0040"/>
    <s v="Lesol Solar LLP"/>
    <s v="Mammography"/>
    <x v="0"/>
    <x v="0"/>
    <n v="2530"/>
    <n v="2530"/>
    <n v="0"/>
  </r>
  <r>
    <x v="4"/>
    <s v="CAL1255"/>
    <s v="Alrick Solar Private Limited"/>
    <s v="Gym"/>
    <x v="0"/>
    <x v="0"/>
    <n v="12500"/>
    <n v="12500"/>
    <n v="0"/>
  </r>
  <r>
    <x v="4"/>
    <s v="CRK0525"/>
    <s v="R. K.SONS"/>
    <s v="Gym"/>
    <x v="0"/>
    <x v="0"/>
    <n v="14000"/>
    <n v="14000"/>
    <n v="0"/>
  </r>
  <r>
    <x v="4"/>
    <s v="CMU0461"/>
    <s v="Murlidhar Electricals &amp;Plumbing Sho"/>
    <s v="Gym"/>
    <x v="0"/>
    <x v="0"/>
    <n v="9000"/>
    <n v="10000"/>
    <n v="1000"/>
  </r>
  <r>
    <x v="4"/>
    <s v="CFR0106"/>
    <s v="Friends Electricals"/>
    <s v="Concert"/>
    <x v="0"/>
    <x v="0"/>
    <n v="10722"/>
    <n v="10000"/>
    <n v="-722"/>
  </r>
  <r>
    <x v="4"/>
    <s v="CFA0166"/>
    <s v="FALAZ INDUSTRIES"/>
    <s v="Salon"/>
    <x v="2"/>
    <x v="0"/>
    <n v="10500"/>
    <n v="10000"/>
    <n v="-500"/>
  </r>
  <r>
    <x v="4"/>
    <s v="CAJ0104"/>
    <s v="Ajay Tradecorporation Pvt. Ltd."/>
    <s v="Spa"/>
    <x v="0"/>
    <x v="9"/>
    <n v="9156"/>
    <n v="9156"/>
    <n v="0"/>
  </r>
  <r>
    <x v="4"/>
    <s v="CNA0517"/>
    <s v="National Agencies"/>
    <s v="Dine-Out"/>
    <x v="0"/>
    <x v="9"/>
    <n v="6220.96"/>
    <n v="10000"/>
    <n v="3779.04"/>
  </r>
  <r>
    <x v="4"/>
    <s v="CSH2010"/>
    <s v="Shri Khatu Shyam Traders"/>
    <s v="Gym"/>
    <x v="0"/>
    <x v="9"/>
    <n v="10000"/>
    <n v="10000"/>
    <n v="0"/>
  </r>
  <r>
    <x v="4"/>
    <s v="CSH3775"/>
    <s v="Shaan Trading Co"/>
    <s v="Dine-Out"/>
    <x v="2"/>
    <x v="9"/>
    <n v="5214"/>
    <n v="7214"/>
    <n v="2000"/>
  </r>
  <r>
    <x v="4"/>
    <s v="CMA2436"/>
    <s v="Mariyam Distributors"/>
    <s v="Staycation"/>
    <x v="3"/>
    <x v="9"/>
    <n v="10000"/>
    <n v="10000"/>
    <n v="0"/>
  </r>
  <r>
    <x v="4"/>
    <s v="CVA0646"/>
    <s v="Vaibhav Enterprises"/>
    <s v="Dine-Out"/>
    <x v="0"/>
    <x v="9"/>
    <n v="9641.2099999999991"/>
    <n v="9641.2099999999991"/>
    <n v="0"/>
  </r>
  <r>
    <x v="4"/>
    <s v="CJA1246"/>
    <s v="Jains Galaxy"/>
    <s v="Dine-Out"/>
    <x v="2"/>
    <x v="7"/>
    <n v="10616"/>
    <n v="10000"/>
    <n v="-616"/>
  </r>
  <r>
    <x v="4"/>
    <s v="CSR6445"/>
    <s v="SRI RAJALAKSHMI TRADERS"/>
    <s v="Dine-Out"/>
    <x v="2"/>
    <x v="9"/>
    <n v="10000"/>
    <n v="10000"/>
    <n v="0"/>
  </r>
  <r>
    <x v="4"/>
    <s v="CNO0139"/>
    <s v="Noble Infra Inc"/>
    <s v="Dine-Out"/>
    <x v="3"/>
    <x v="8"/>
    <n v="10000"/>
    <n v="10000"/>
    <n v="0"/>
  </r>
  <r>
    <x v="4"/>
    <s v="CJA1664"/>
    <s v="JAGAT RAN &amp; SONS"/>
    <s v="Dine-Out"/>
    <x v="3"/>
    <x v="8"/>
    <n v="5157"/>
    <n v="7157"/>
    <n v="2000"/>
  </r>
  <r>
    <x v="4"/>
    <s v="CTR0415"/>
    <s v="TRIVENI HOUSE"/>
    <s v="Dine-Out"/>
    <x v="3"/>
    <x v="8"/>
    <n v="6490"/>
    <n v="10000"/>
    <n v="3510"/>
  </r>
  <r>
    <x v="4"/>
    <s v="CSR6118"/>
    <s v="SRI BALAJI ENTERPRIS"/>
    <s v="Dine-Out"/>
    <x v="3"/>
    <x v="8"/>
    <n v="9086"/>
    <n v="9086"/>
    <n v="0"/>
  </r>
  <r>
    <x v="4"/>
    <s v="CJA0566"/>
    <s v="Jain Sons"/>
    <s v="Spa"/>
    <x v="0"/>
    <x v="5"/>
    <n v="8100"/>
    <n v="8100"/>
    <n v="0"/>
  </r>
  <r>
    <x v="4"/>
    <s v="CBE0253"/>
    <s v="BENGAL ELECTRIC STORES"/>
    <s v="Dine-Out"/>
    <x v="2"/>
    <x v="7"/>
    <n v="6358"/>
    <n v="10000"/>
    <n v="3642"/>
  </r>
  <r>
    <x v="4"/>
    <s v="CSR0704"/>
    <s v="Sri Vigneshwara Electricals"/>
    <s v="Dine-Out"/>
    <x v="2"/>
    <x v="7"/>
    <n v="7341"/>
    <n v="9341"/>
    <n v="2000"/>
  </r>
  <r>
    <x v="4"/>
    <s v="CNE0801"/>
    <s v="NECESSA TECHNOLOGIES"/>
    <s v="Dine-Out"/>
    <x v="2"/>
    <x v="7"/>
    <n v="5484"/>
    <n v="10000"/>
    <n v="4516"/>
  </r>
  <r>
    <x v="4"/>
    <s v="CDO0156"/>
    <s v="Doodi Buildcon"/>
    <s v="Gym"/>
    <x v="1"/>
    <x v="9"/>
    <n v="10000"/>
    <n v="10000"/>
    <n v="0"/>
  </r>
  <r>
    <x v="4"/>
    <s v="CSO0449"/>
    <s v="Sohomon Electronics"/>
    <s v="Kids Online Classes"/>
    <x v="1"/>
    <x v="9"/>
    <n v="9499"/>
    <n v="9499"/>
    <n v="0"/>
  </r>
  <r>
    <x v="4"/>
    <s v="CSH3224"/>
    <s v="Shiv Electronics &amp; Electricals"/>
    <s v="Dine-Out"/>
    <x v="0"/>
    <x v="9"/>
    <n v="9500"/>
    <n v="9500"/>
    <n v="0"/>
  </r>
  <r>
    <x v="4"/>
    <s v="CPA0606"/>
    <s v="Panazan Enterprises Private Limited"/>
    <s v="Dine-Out"/>
    <x v="0"/>
    <x v="9"/>
    <n v="10000"/>
    <n v="10000"/>
    <n v="0"/>
  </r>
  <r>
    <x v="4"/>
    <s v="CAK0233"/>
    <s v="Akode Brothers"/>
    <s v="Dine-Out"/>
    <x v="3"/>
    <x v="8"/>
    <n v="7161"/>
    <n v="8161"/>
    <n v="1000"/>
  </r>
  <r>
    <x v="4"/>
    <s v="CSU1629"/>
    <s v="SUNIL ENTERPRISE"/>
    <s v="Dine-Out"/>
    <x v="0"/>
    <x v="5"/>
    <n v="8253"/>
    <n v="10000"/>
    <n v="1747"/>
  </r>
  <r>
    <x v="4"/>
    <s v="CSA1223"/>
    <s v="Sarthak Gallery"/>
    <s v="Salon"/>
    <x v="3"/>
    <x v="8"/>
    <n v="10150"/>
    <n v="10000"/>
    <n v="-150"/>
  </r>
  <r>
    <x v="4"/>
    <s v="CNA0552"/>
    <s v="Navrang Electronics"/>
    <s v="Dine-Out"/>
    <x v="3"/>
    <x v="8"/>
    <n v="4381"/>
    <n v="5381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80ACC-8F60-4930-8243-F27CBC05E07F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7:G29" firstHeaderRow="1" firstDataRow="2" firstDataCol="1"/>
  <pivotFields count="9">
    <pivotField axis="axisCol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7"/>
        <item m="1" x="10"/>
        <item m="1" x="12"/>
        <item x="6"/>
        <item x="0"/>
        <item x="2"/>
        <item x="8"/>
        <item x="5"/>
        <item x="4"/>
        <item x="3"/>
        <item x="1"/>
        <item x="9"/>
        <item m="1" x="11"/>
        <item t="default"/>
      </items>
    </pivotField>
    <pivotField compact="0" numFmtId="43" outline="0" showAll="0"/>
    <pivotField compact="0" numFmtId="43" outline="0" showAll="0"/>
    <pivotField dataField="1" compact="0" numFmtId="43" outline="0" showAll="0"/>
  </pivotFields>
  <rowFields count="1">
    <field x="5"/>
  </rowFields>
  <rowItems count="11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ORY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BA542-188D-416A-8B38-82350115A399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0" firstHeaderRow="1" firstDataRow="2" firstDataCol="1"/>
  <pivotFields count="9">
    <pivotField axis="axisCol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3"/>
        <item m="1" x="5"/>
        <item x="0"/>
        <item x="1"/>
        <item m="1" x="6"/>
        <item t="default"/>
      </items>
    </pivotField>
    <pivotField compact="0" outline="0" showAll="0"/>
    <pivotField compact="0" numFmtId="43" outline="0" showAll="0"/>
    <pivotField compact="0" numFmtId="43" outline="0" showAll="0"/>
    <pivotField dataField="1" compact="0" numFmtId="43" outline="0" showAll="0"/>
  </pivotFields>
  <rowFields count="1">
    <field x="4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ORY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9B70-A1D0-4894-9FC9-117F2719886B}">
  <sheetPr filterMode="1"/>
  <dimension ref="A1:I924"/>
  <sheetViews>
    <sheetView tabSelected="1" workbookViewId="0">
      <pane ySplit="1" topLeftCell="A769" activePane="bottomLeft" state="frozen"/>
      <selection pane="bottomLeft" activeCell="E4" sqref="E4:E918"/>
    </sheetView>
  </sheetViews>
  <sheetFormatPr defaultRowHeight="15"/>
  <cols>
    <col min="1" max="1" width="7.5703125" bestFit="1" customWidth="1"/>
    <col min="2" max="2" width="12.42578125" style="12" bestFit="1" customWidth="1"/>
    <col min="3" max="3" width="50.7109375" style="12" bestFit="1" customWidth="1"/>
    <col min="4" max="4" width="27.85546875" style="12" bestFit="1" customWidth="1"/>
    <col min="5" max="6" width="10.42578125" style="12" bestFit="1" customWidth="1"/>
    <col min="7" max="8" width="14.28515625" style="12" bestFit="1" customWidth="1"/>
    <col min="9" max="9" width="13.85546875" style="12" bestFit="1" customWidth="1"/>
  </cols>
  <sheetData>
    <row r="1" spans="1:9" ht="30">
      <c r="A1" s="77" t="s">
        <v>605</v>
      </c>
      <c r="B1" s="1" t="s">
        <v>0</v>
      </c>
      <c r="C1" s="1" t="s">
        <v>294</v>
      </c>
      <c r="D1" s="13" t="s">
        <v>585</v>
      </c>
      <c r="E1" s="15" t="s">
        <v>591</v>
      </c>
      <c r="F1" s="17" t="s">
        <v>597</v>
      </c>
      <c r="G1" s="22" t="s">
        <v>602</v>
      </c>
      <c r="H1" s="24" t="s">
        <v>603</v>
      </c>
      <c r="I1" s="24" t="s">
        <v>604</v>
      </c>
    </row>
    <row r="2" spans="1:9" hidden="1">
      <c r="A2" s="78" t="s">
        <v>606</v>
      </c>
      <c r="B2" s="2" t="s">
        <v>1</v>
      </c>
      <c r="C2" s="2" t="s">
        <v>295</v>
      </c>
      <c r="D2" s="14" t="s">
        <v>586</v>
      </c>
      <c r="E2" s="8" t="s">
        <v>592</v>
      </c>
      <c r="F2" s="8" t="s">
        <v>596</v>
      </c>
      <c r="G2" s="18">
        <v>12600</v>
      </c>
      <c r="H2" s="18">
        <v>12600</v>
      </c>
      <c r="I2" s="18">
        <v>0</v>
      </c>
    </row>
    <row r="3" spans="1:9" hidden="1">
      <c r="A3" s="78" t="s">
        <v>606</v>
      </c>
      <c r="B3" s="3" t="s">
        <v>2</v>
      </c>
      <c r="C3" s="3" t="s">
        <v>296</v>
      </c>
      <c r="D3" s="2" t="s">
        <v>586</v>
      </c>
      <c r="E3" s="8" t="s">
        <v>592</v>
      </c>
      <c r="F3" s="8" t="s">
        <v>596</v>
      </c>
      <c r="G3" s="18">
        <v>11000</v>
      </c>
      <c r="H3" s="18">
        <v>11000</v>
      </c>
      <c r="I3" s="18">
        <v>0</v>
      </c>
    </row>
    <row r="4" spans="1:9">
      <c r="A4" s="78" t="s">
        <v>606</v>
      </c>
      <c r="B4" s="2" t="s">
        <v>3</v>
      </c>
      <c r="C4" s="2" t="s">
        <v>297</v>
      </c>
      <c r="D4" s="2" t="s">
        <v>586</v>
      </c>
      <c r="E4" s="8" t="s">
        <v>593</v>
      </c>
      <c r="F4" s="18" t="s">
        <v>598</v>
      </c>
      <c r="G4" s="18">
        <v>9603</v>
      </c>
      <c r="H4" s="18">
        <v>9803</v>
      </c>
      <c r="I4" s="18">
        <v>200</v>
      </c>
    </row>
    <row r="5" spans="1:9" hidden="1">
      <c r="A5" s="78" t="s">
        <v>606</v>
      </c>
      <c r="B5" s="4" t="s">
        <v>4</v>
      </c>
      <c r="C5" s="4" t="s">
        <v>298</v>
      </c>
      <c r="D5" s="2" t="s">
        <v>587</v>
      </c>
      <c r="E5" s="8" t="s">
        <v>592</v>
      </c>
      <c r="F5" s="8" t="s">
        <v>596</v>
      </c>
      <c r="G5" s="18">
        <v>4718</v>
      </c>
      <c r="H5" s="18">
        <v>5418</v>
      </c>
      <c r="I5" s="18">
        <v>700</v>
      </c>
    </row>
    <row r="6" spans="1:9" hidden="1">
      <c r="A6" s="78" t="s">
        <v>606</v>
      </c>
      <c r="B6" s="2" t="s">
        <v>5</v>
      </c>
      <c r="C6" s="2" t="s">
        <v>299</v>
      </c>
      <c r="D6" s="2" t="s">
        <v>588</v>
      </c>
      <c r="E6" s="8" t="s">
        <v>592</v>
      </c>
      <c r="F6" s="8" t="s">
        <v>596</v>
      </c>
      <c r="G6" s="18">
        <v>2000</v>
      </c>
      <c r="H6" s="18">
        <v>4000</v>
      </c>
      <c r="I6" s="18">
        <v>2000</v>
      </c>
    </row>
    <row r="7" spans="1:9">
      <c r="A7" s="78" t="s">
        <v>606</v>
      </c>
      <c r="B7" s="4" t="s">
        <v>6</v>
      </c>
      <c r="C7" s="4" t="s">
        <v>300</v>
      </c>
      <c r="D7" s="2" t="s">
        <v>587</v>
      </c>
      <c r="E7" s="8" t="s">
        <v>593</v>
      </c>
      <c r="F7" s="8" t="s">
        <v>599</v>
      </c>
      <c r="G7" s="18">
        <v>9558</v>
      </c>
      <c r="H7" s="18">
        <v>9558</v>
      </c>
      <c r="I7" s="18">
        <v>0</v>
      </c>
    </row>
    <row r="8" spans="1:9">
      <c r="A8" s="78" t="s">
        <v>606</v>
      </c>
      <c r="B8" s="5" t="s">
        <v>7</v>
      </c>
      <c r="C8" s="5" t="s">
        <v>301</v>
      </c>
      <c r="D8" s="2" t="s">
        <v>587</v>
      </c>
      <c r="E8" s="8" t="s">
        <v>593</v>
      </c>
      <c r="F8" s="8" t="s">
        <v>593</v>
      </c>
      <c r="G8" s="18">
        <v>5192</v>
      </c>
      <c r="H8" s="18">
        <v>7792</v>
      </c>
      <c r="I8" s="18">
        <v>2600</v>
      </c>
    </row>
    <row r="9" spans="1:9">
      <c r="A9" s="78" t="s">
        <v>606</v>
      </c>
      <c r="B9" s="2" t="s">
        <v>8</v>
      </c>
      <c r="C9" s="2" t="s">
        <v>302</v>
      </c>
      <c r="D9" s="2" t="s">
        <v>586</v>
      </c>
      <c r="E9" s="8" t="s">
        <v>593</v>
      </c>
      <c r="F9" s="18" t="s">
        <v>598</v>
      </c>
      <c r="G9" s="18">
        <v>8702</v>
      </c>
      <c r="H9" s="18">
        <v>9745</v>
      </c>
      <c r="I9" s="18">
        <v>1043</v>
      </c>
    </row>
    <row r="10" spans="1:9">
      <c r="A10" s="78" t="s">
        <v>606</v>
      </c>
      <c r="B10" s="2" t="s">
        <v>9</v>
      </c>
      <c r="C10" s="2" t="s">
        <v>303</v>
      </c>
      <c r="D10" s="2" t="s">
        <v>587</v>
      </c>
      <c r="E10" s="8" t="s">
        <v>593</v>
      </c>
      <c r="F10" s="8" t="s">
        <v>599</v>
      </c>
      <c r="G10" s="18">
        <v>3900</v>
      </c>
      <c r="H10" s="18">
        <v>4900</v>
      </c>
      <c r="I10" s="18">
        <v>1000</v>
      </c>
    </row>
    <row r="11" spans="1:9">
      <c r="A11" s="78" t="s">
        <v>606</v>
      </c>
      <c r="B11" s="2" t="s">
        <v>10</v>
      </c>
      <c r="C11" s="2" t="s">
        <v>304</v>
      </c>
      <c r="D11" s="2" t="s">
        <v>586</v>
      </c>
      <c r="E11" s="8" t="s">
        <v>593</v>
      </c>
      <c r="F11" s="18" t="s">
        <v>598</v>
      </c>
      <c r="G11" s="18">
        <v>10000</v>
      </c>
      <c r="H11" s="18">
        <v>10000</v>
      </c>
      <c r="I11" s="18">
        <v>0</v>
      </c>
    </row>
    <row r="12" spans="1:9">
      <c r="A12" s="78" t="s">
        <v>606</v>
      </c>
      <c r="B12" s="2" t="s">
        <v>11</v>
      </c>
      <c r="C12" s="2" t="s">
        <v>305</v>
      </c>
      <c r="D12" s="2" t="s">
        <v>587</v>
      </c>
      <c r="E12" s="8" t="s">
        <v>593</v>
      </c>
      <c r="F12" s="8" t="s">
        <v>599</v>
      </c>
      <c r="G12" s="18">
        <v>5535</v>
      </c>
      <c r="H12" s="18">
        <v>5935</v>
      </c>
      <c r="I12" s="18">
        <v>400</v>
      </c>
    </row>
    <row r="13" spans="1:9">
      <c r="A13" s="78" t="s">
        <v>606</v>
      </c>
      <c r="B13" s="2" t="s">
        <v>12</v>
      </c>
      <c r="C13" s="2" t="s">
        <v>306</v>
      </c>
      <c r="D13" s="2" t="s">
        <v>587</v>
      </c>
      <c r="E13" s="8" t="s">
        <v>593</v>
      </c>
      <c r="F13" s="8" t="s">
        <v>599</v>
      </c>
      <c r="G13" s="18">
        <v>6486</v>
      </c>
      <c r="H13" s="18">
        <v>7549</v>
      </c>
      <c r="I13" s="18">
        <v>1063</v>
      </c>
    </row>
    <row r="14" spans="1:9" hidden="1">
      <c r="A14" s="78" t="s">
        <v>606</v>
      </c>
      <c r="B14" s="5" t="s">
        <v>13</v>
      </c>
      <c r="C14" s="5" t="s">
        <v>307</v>
      </c>
      <c r="D14" s="2" t="s">
        <v>586</v>
      </c>
      <c r="E14" s="8" t="s">
        <v>592</v>
      </c>
      <c r="F14" s="2" t="s">
        <v>600</v>
      </c>
      <c r="G14" s="18">
        <v>10868</v>
      </c>
      <c r="H14" s="18">
        <v>10868</v>
      </c>
      <c r="I14" s="18">
        <v>0</v>
      </c>
    </row>
    <row r="15" spans="1:9">
      <c r="A15" s="78" t="s">
        <v>606</v>
      </c>
      <c r="B15" s="2" t="s">
        <v>14</v>
      </c>
      <c r="C15" s="2" t="s">
        <v>308</v>
      </c>
      <c r="D15" s="2" t="s">
        <v>586</v>
      </c>
      <c r="E15" s="8" t="s">
        <v>593</v>
      </c>
      <c r="F15" s="18" t="s">
        <v>598</v>
      </c>
      <c r="G15" s="18">
        <v>9400</v>
      </c>
      <c r="H15" s="18">
        <v>9800</v>
      </c>
      <c r="I15" s="18">
        <v>400</v>
      </c>
    </row>
    <row r="16" spans="1:9">
      <c r="A16" s="78" t="s">
        <v>606</v>
      </c>
      <c r="B16" s="2" t="s">
        <v>15</v>
      </c>
      <c r="C16" s="5" t="s">
        <v>309</v>
      </c>
      <c r="D16" s="2" t="s">
        <v>586</v>
      </c>
      <c r="E16" s="8" t="s">
        <v>593</v>
      </c>
      <c r="F16" s="18" t="s">
        <v>598</v>
      </c>
      <c r="G16" s="18">
        <v>10000</v>
      </c>
      <c r="H16" s="18">
        <v>10000</v>
      </c>
      <c r="I16" s="18">
        <v>0</v>
      </c>
    </row>
    <row r="17" spans="1:9" hidden="1">
      <c r="A17" s="78" t="s">
        <v>606</v>
      </c>
      <c r="B17" s="5" t="s">
        <v>16</v>
      </c>
      <c r="C17" s="5" t="s">
        <v>310</v>
      </c>
      <c r="D17" s="2" t="s">
        <v>587</v>
      </c>
      <c r="E17" s="8" t="s">
        <v>592</v>
      </c>
      <c r="F17" s="2" t="s">
        <v>600</v>
      </c>
      <c r="G17" s="18">
        <v>8256</v>
      </c>
      <c r="H17" s="18">
        <v>8256</v>
      </c>
      <c r="I17" s="18">
        <v>0</v>
      </c>
    </row>
    <row r="18" spans="1:9" hidden="1">
      <c r="A18" s="78" t="s">
        <v>606</v>
      </c>
      <c r="B18" s="5" t="s">
        <v>17</v>
      </c>
      <c r="C18" s="4" t="s">
        <v>311</v>
      </c>
      <c r="D18" s="2" t="s">
        <v>587</v>
      </c>
      <c r="E18" s="8" t="s">
        <v>594</v>
      </c>
      <c r="F18" s="18" t="s">
        <v>598</v>
      </c>
      <c r="G18" s="18">
        <v>4648</v>
      </c>
      <c r="H18" s="18">
        <v>6148</v>
      </c>
      <c r="I18" s="18">
        <v>1500</v>
      </c>
    </row>
    <row r="19" spans="1:9" hidden="1">
      <c r="A19" s="78" t="s">
        <v>606</v>
      </c>
      <c r="B19" s="2" t="s">
        <v>18</v>
      </c>
      <c r="C19" s="2" t="s">
        <v>312</v>
      </c>
      <c r="D19" s="2" t="s">
        <v>587</v>
      </c>
      <c r="E19" s="8" t="s">
        <v>595</v>
      </c>
      <c r="F19" s="8" t="s">
        <v>596</v>
      </c>
      <c r="G19" s="18">
        <v>3107</v>
      </c>
      <c r="H19" s="18">
        <v>4607</v>
      </c>
      <c r="I19" s="18">
        <v>1500</v>
      </c>
    </row>
    <row r="20" spans="1:9" hidden="1">
      <c r="A20" s="78" t="s">
        <v>606</v>
      </c>
      <c r="B20" s="5" t="s">
        <v>19</v>
      </c>
      <c r="C20" s="5" t="s">
        <v>313</v>
      </c>
      <c r="D20" s="2" t="s">
        <v>587</v>
      </c>
      <c r="E20" s="8" t="s">
        <v>592</v>
      </c>
      <c r="F20" s="8" t="s">
        <v>596</v>
      </c>
      <c r="G20" s="18">
        <v>7316</v>
      </c>
      <c r="H20" s="18">
        <v>7816</v>
      </c>
      <c r="I20" s="18">
        <v>500</v>
      </c>
    </row>
    <row r="21" spans="1:9" hidden="1">
      <c r="A21" s="78" t="s">
        <v>606</v>
      </c>
      <c r="B21" s="5" t="s">
        <v>20</v>
      </c>
      <c r="C21" s="5" t="s">
        <v>314</v>
      </c>
      <c r="D21" s="2" t="s">
        <v>587</v>
      </c>
      <c r="E21" s="8" t="s">
        <v>595</v>
      </c>
      <c r="F21" s="8" t="s">
        <v>596</v>
      </c>
      <c r="G21" s="18">
        <v>8968</v>
      </c>
      <c r="H21" s="18">
        <v>8968</v>
      </c>
      <c r="I21" s="18">
        <v>0</v>
      </c>
    </row>
    <row r="22" spans="1:9" hidden="1">
      <c r="A22" s="78" t="s">
        <v>606</v>
      </c>
      <c r="B22" s="2" t="s">
        <v>21</v>
      </c>
      <c r="C22" s="2" t="s">
        <v>315</v>
      </c>
      <c r="D22" s="2" t="s">
        <v>587</v>
      </c>
      <c r="E22" s="8" t="s">
        <v>594</v>
      </c>
      <c r="F22" s="18" t="s">
        <v>598</v>
      </c>
      <c r="G22" s="18">
        <v>972</v>
      </c>
      <c r="H22" s="18">
        <v>1972</v>
      </c>
      <c r="I22" s="18">
        <v>1000</v>
      </c>
    </row>
    <row r="23" spans="1:9">
      <c r="A23" s="78" t="s">
        <v>606</v>
      </c>
      <c r="B23" s="2" t="s">
        <v>22</v>
      </c>
      <c r="C23" s="2" t="s">
        <v>316</v>
      </c>
      <c r="D23" s="2" t="s">
        <v>587</v>
      </c>
      <c r="E23" s="8" t="s">
        <v>593</v>
      </c>
      <c r="F23" s="18" t="s">
        <v>598</v>
      </c>
      <c r="G23" s="18">
        <v>3219</v>
      </c>
      <c r="H23" s="18">
        <v>4000</v>
      </c>
      <c r="I23" s="18">
        <v>781</v>
      </c>
    </row>
    <row r="24" spans="1:9">
      <c r="A24" s="78" t="s">
        <v>606</v>
      </c>
      <c r="B24" s="2" t="s">
        <v>23</v>
      </c>
      <c r="C24" s="2" t="s">
        <v>317</v>
      </c>
      <c r="D24" s="2" t="s">
        <v>587</v>
      </c>
      <c r="E24" s="8" t="s">
        <v>593</v>
      </c>
      <c r="F24" s="18" t="s">
        <v>598</v>
      </c>
      <c r="G24" s="18">
        <v>7785</v>
      </c>
      <c r="H24" s="18">
        <v>8185</v>
      </c>
      <c r="I24" s="18">
        <v>400</v>
      </c>
    </row>
    <row r="25" spans="1:9" hidden="1">
      <c r="A25" s="78" t="s">
        <v>606</v>
      </c>
      <c r="B25" s="2" t="s">
        <v>24</v>
      </c>
      <c r="C25" s="2" t="s">
        <v>318</v>
      </c>
      <c r="D25" s="2" t="s">
        <v>587</v>
      </c>
      <c r="E25" s="8" t="s">
        <v>592</v>
      </c>
      <c r="F25" s="2" t="s">
        <v>600</v>
      </c>
      <c r="G25" s="18">
        <v>1498</v>
      </c>
      <c r="H25" s="18">
        <v>2998</v>
      </c>
      <c r="I25" s="18">
        <v>1500</v>
      </c>
    </row>
    <row r="26" spans="1:9" hidden="1">
      <c r="A26" s="78" t="s">
        <v>606</v>
      </c>
      <c r="B26" s="5" t="s">
        <v>25</v>
      </c>
      <c r="C26" s="5" t="s">
        <v>319</v>
      </c>
      <c r="D26" s="2" t="s">
        <v>587</v>
      </c>
      <c r="E26" s="8" t="s">
        <v>592</v>
      </c>
      <c r="F26" s="2" t="s">
        <v>600</v>
      </c>
      <c r="G26" s="18">
        <v>3467</v>
      </c>
      <c r="H26" s="18">
        <v>3900</v>
      </c>
      <c r="I26" s="18">
        <v>433</v>
      </c>
    </row>
    <row r="27" spans="1:9" hidden="1">
      <c r="A27" s="78" t="s">
        <v>606</v>
      </c>
      <c r="B27" s="2" t="s">
        <v>26</v>
      </c>
      <c r="C27" s="2" t="s">
        <v>320</v>
      </c>
      <c r="D27" s="2" t="s">
        <v>588</v>
      </c>
      <c r="E27" s="8" t="s">
        <v>592</v>
      </c>
      <c r="F27" s="8" t="s">
        <v>596</v>
      </c>
      <c r="G27" s="18">
        <v>8820</v>
      </c>
      <c r="H27" s="18">
        <v>9500</v>
      </c>
      <c r="I27" s="18">
        <v>680</v>
      </c>
    </row>
    <row r="28" spans="1:9" hidden="1">
      <c r="A28" s="78" t="s">
        <v>606</v>
      </c>
      <c r="B28" s="2" t="s">
        <v>27</v>
      </c>
      <c r="C28" s="2" t="s">
        <v>321</v>
      </c>
      <c r="D28" s="2" t="s">
        <v>588</v>
      </c>
      <c r="E28" s="8" t="s">
        <v>592</v>
      </c>
      <c r="F28" s="8" t="s">
        <v>596</v>
      </c>
      <c r="G28" s="18">
        <v>8820</v>
      </c>
      <c r="H28" s="18">
        <v>9500</v>
      </c>
      <c r="I28" s="18">
        <v>680</v>
      </c>
    </row>
    <row r="29" spans="1:9">
      <c r="A29" s="78" t="s">
        <v>606</v>
      </c>
      <c r="B29" s="2" t="s">
        <v>28</v>
      </c>
      <c r="C29" s="2" t="s">
        <v>322</v>
      </c>
      <c r="D29" s="2" t="s">
        <v>587</v>
      </c>
      <c r="E29" s="8" t="s">
        <v>593</v>
      </c>
      <c r="F29" s="8" t="s">
        <v>599</v>
      </c>
      <c r="G29" s="18">
        <v>5192</v>
      </c>
      <c r="H29" s="18">
        <v>5192</v>
      </c>
      <c r="I29" s="18">
        <v>0</v>
      </c>
    </row>
    <row r="30" spans="1:9" hidden="1">
      <c r="A30" s="78" t="s">
        <v>606</v>
      </c>
      <c r="B30" s="4" t="s">
        <v>29</v>
      </c>
      <c r="C30" s="8" t="s">
        <v>323</v>
      </c>
      <c r="D30" s="2" t="s">
        <v>587</v>
      </c>
      <c r="E30" s="2" t="s">
        <v>594</v>
      </c>
      <c r="F30" s="8" t="s">
        <v>599</v>
      </c>
      <c r="G30" s="18">
        <v>6782</v>
      </c>
      <c r="H30" s="18">
        <v>7282</v>
      </c>
      <c r="I30" s="18">
        <v>500</v>
      </c>
    </row>
    <row r="31" spans="1:9">
      <c r="A31" s="78" t="s">
        <v>606</v>
      </c>
      <c r="B31" s="2" t="s">
        <v>30</v>
      </c>
      <c r="C31" s="2" t="s">
        <v>324</v>
      </c>
      <c r="D31" s="2" t="s">
        <v>587</v>
      </c>
      <c r="E31" s="8" t="s">
        <v>593</v>
      </c>
      <c r="F31" s="8" t="s">
        <v>599</v>
      </c>
      <c r="G31" s="18">
        <v>5192</v>
      </c>
      <c r="H31" s="18">
        <v>5692</v>
      </c>
      <c r="I31" s="18">
        <v>500</v>
      </c>
    </row>
    <row r="32" spans="1:9">
      <c r="A32" s="78" t="s">
        <v>606</v>
      </c>
      <c r="B32" s="2" t="s">
        <v>31</v>
      </c>
      <c r="C32" s="2" t="s">
        <v>325</v>
      </c>
      <c r="D32" s="2" t="s">
        <v>587</v>
      </c>
      <c r="E32" s="8" t="s">
        <v>593</v>
      </c>
      <c r="F32" s="8" t="s">
        <v>599</v>
      </c>
      <c r="G32" s="18">
        <v>7269</v>
      </c>
      <c r="H32" s="18">
        <v>7769</v>
      </c>
      <c r="I32" s="18">
        <v>500</v>
      </c>
    </row>
    <row r="33" spans="1:9">
      <c r="A33" s="78" t="s">
        <v>606</v>
      </c>
      <c r="B33" s="4" t="s">
        <v>32</v>
      </c>
      <c r="C33" s="4" t="s">
        <v>326</v>
      </c>
      <c r="D33" s="2" t="s">
        <v>587</v>
      </c>
      <c r="E33" s="8" t="s">
        <v>593</v>
      </c>
      <c r="F33" s="8" t="s">
        <v>599</v>
      </c>
      <c r="G33" s="18">
        <v>7785</v>
      </c>
      <c r="H33" s="18">
        <v>8185</v>
      </c>
      <c r="I33" s="18">
        <v>400</v>
      </c>
    </row>
    <row r="34" spans="1:9">
      <c r="A34" s="78" t="s">
        <v>606</v>
      </c>
      <c r="B34" s="4" t="s">
        <v>33</v>
      </c>
      <c r="C34" s="4" t="s">
        <v>327</v>
      </c>
      <c r="D34" s="2" t="s">
        <v>587</v>
      </c>
      <c r="E34" s="8" t="s">
        <v>593</v>
      </c>
      <c r="F34" s="8" t="s">
        <v>599</v>
      </c>
      <c r="G34" s="18">
        <v>5535</v>
      </c>
      <c r="H34" s="18">
        <v>5935</v>
      </c>
      <c r="I34" s="18">
        <v>400</v>
      </c>
    </row>
    <row r="35" spans="1:9" hidden="1">
      <c r="A35" s="78" t="s">
        <v>606</v>
      </c>
      <c r="B35" s="4" t="s">
        <v>34</v>
      </c>
      <c r="C35" s="4" t="s">
        <v>328</v>
      </c>
      <c r="D35" s="2" t="s">
        <v>588</v>
      </c>
      <c r="E35" s="8" t="s">
        <v>594</v>
      </c>
      <c r="F35" s="18" t="s">
        <v>598</v>
      </c>
      <c r="G35" s="18">
        <v>5000</v>
      </c>
      <c r="H35" s="18">
        <v>6500</v>
      </c>
      <c r="I35" s="18">
        <v>1500</v>
      </c>
    </row>
    <row r="36" spans="1:9" hidden="1">
      <c r="A36" s="78" t="s">
        <v>606</v>
      </c>
      <c r="B36" s="4" t="s">
        <v>35</v>
      </c>
      <c r="C36" s="2" t="s">
        <v>329</v>
      </c>
      <c r="D36" s="2" t="s">
        <v>587</v>
      </c>
      <c r="E36" s="8" t="s">
        <v>594</v>
      </c>
      <c r="F36" s="18" t="s">
        <v>598</v>
      </c>
      <c r="G36" s="18">
        <v>2079</v>
      </c>
      <c r="H36" s="18">
        <v>3079</v>
      </c>
      <c r="I36" s="18">
        <v>1000</v>
      </c>
    </row>
    <row r="37" spans="1:9">
      <c r="A37" s="78" t="s">
        <v>606</v>
      </c>
      <c r="B37" s="2" t="s">
        <v>36</v>
      </c>
      <c r="C37" s="2" t="s">
        <v>330</v>
      </c>
      <c r="D37" s="2" t="s">
        <v>586</v>
      </c>
      <c r="E37" s="8" t="s">
        <v>593</v>
      </c>
      <c r="F37" s="18" t="s">
        <v>598</v>
      </c>
      <c r="G37" s="18">
        <v>9500</v>
      </c>
      <c r="H37" s="18">
        <v>9750</v>
      </c>
      <c r="I37" s="18">
        <v>250</v>
      </c>
    </row>
    <row r="38" spans="1:9" hidden="1">
      <c r="A38" s="78" t="s">
        <v>606</v>
      </c>
      <c r="B38" s="6" t="s">
        <v>37</v>
      </c>
      <c r="C38" s="2" t="s">
        <v>331</v>
      </c>
      <c r="D38" s="2" t="s">
        <v>588</v>
      </c>
      <c r="E38" s="8" t="s">
        <v>594</v>
      </c>
      <c r="F38" s="18" t="s">
        <v>598</v>
      </c>
      <c r="G38" s="18">
        <v>9282</v>
      </c>
      <c r="H38" s="18">
        <v>9682</v>
      </c>
      <c r="I38" s="18">
        <v>400</v>
      </c>
    </row>
    <row r="39" spans="1:9">
      <c r="A39" s="78" t="s">
        <v>606</v>
      </c>
      <c r="B39" s="2" t="s">
        <v>38</v>
      </c>
      <c r="C39" s="2" t="s">
        <v>332</v>
      </c>
      <c r="D39" s="2" t="s">
        <v>586</v>
      </c>
      <c r="E39" s="8" t="s">
        <v>593</v>
      </c>
      <c r="F39" s="18" t="s">
        <v>598</v>
      </c>
      <c r="G39" s="18">
        <v>10000</v>
      </c>
      <c r="H39" s="18">
        <v>10000</v>
      </c>
      <c r="I39" s="18">
        <v>0</v>
      </c>
    </row>
    <row r="40" spans="1:9">
      <c r="A40" s="78" t="s">
        <v>606</v>
      </c>
      <c r="B40" s="2" t="s">
        <v>39</v>
      </c>
      <c r="C40" s="2" t="s">
        <v>333</v>
      </c>
      <c r="D40" s="2" t="s">
        <v>586</v>
      </c>
      <c r="E40" s="8" t="s">
        <v>593</v>
      </c>
      <c r="F40" s="18" t="s">
        <v>598</v>
      </c>
      <c r="G40" s="18">
        <v>10000</v>
      </c>
      <c r="H40" s="18">
        <v>10000</v>
      </c>
      <c r="I40" s="18">
        <v>0</v>
      </c>
    </row>
    <row r="41" spans="1:9">
      <c r="A41" s="78" t="s">
        <v>606</v>
      </c>
      <c r="B41" s="4" t="s">
        <v>40</v>
      </c>
      <c r="C41" s="4" t="s">
        <v>334</v>
      </c>
      <c r="D41" s="2" t="s">
        <v>587</v>
      </c>
      <c r="E41" s="8" t="s">
        <v>593</v>
      </c>
      <c r="F41" s="18" t="s">
        <v>598</v>
      </c>
      <c r="G41" s="18">
        <v>2513</v>
      </c>
      <c r="H41" s="18">
        <v>3513</v>
      </c>
      <c r="I41" s="18">
        <v>1000</v>
      </c>
    </row>
    <row r="42" spans="1:9">
      <c r="A42" s="78" t="s">
        <v>606</v>
      </c>
      <c r="B42" s="4" t="s">
        <v>41</v>
      </c>
      <c r="C42" s="4" t="s">
        <v>335</v>
      </c>
      <c r="D42" s="2" t="s">
        <v>587</v>
      </c>
      <c r="E42" s="8" t="s">
        <v>593</v>
      </c>
      <c r="F42" s="18" t="s">
        <v>598</v>
      </c>
      <c r="G42" s="18">
        <v>4720</v>
      </c>
      <c r="H42" s="18">
        <v>6220</v>
      </c>
      <c r="I42" s="18">
        <v>1500</v>
      </c>
    </row>
    <row r="43" spans="1:9" hidden="1">
      <c r="A43" s="78" t="s">
        <v>606</v>
      </c>
      <c r="B43" s="2" t="s">
        <v>42</v>
      </c>
      <c r="C43" s="5" t="s">
        <v>336</v>
      </c>
      <c r="D43" s="2" t="s">
        <v>587</v>
      </c>
      <c r="E43" s="8" t="s">
        <v>594</v>
      </c>
      <c r="F43" s="18" t="s">
        <v>598</v>
      </c>
      <c r="G43" s="18">
        <v>7811</v>
      </c>
      <c r="H43" s="18">
        <v>8411</v>
      </c>
      <c r="I43" s="18">
        <v>600</v>
      </c>
    </row>
    <row r="44" spans="1:9">
      <c r="A44" s="78" t="s">
        <v>606</v>
      </c>
      <c r="B44" s="2" t="s">
        <v>43</v>
      </c>
      <c r="C44" s="5" t="s">
        <v>337</v>
      </c>
      <c r="D44" s="2" t="s">
        <v>587</v>
      </c>
      <c r="E44" s="8" t="s">
        <v>593</v>
      </c>
      <c r="F44" s="18" t="s">
        <v>598</v>
      </c>
      <c r="G44" s="18">
        <v>3656</v>
      </c>
      <c r="H44" s="18">
        <v>4656</v>
      </c>
      <c r="I44" s="18">
        <v>1000</v>
      </c>
    </row>
    <row r="45" spans="1:9" hidden="1">
      <c r="A45" s="78" t="s">
        <v>606</v>
      </c>
      <c r="B45" s="2" t="s">
        <v>44</v>
      </c>
      <c r="C45" s="2" t="s">
        <v>338</v>
      </c>
      <c r="D45" s="2" t="s">
        <v>587</v>
      </c>
      <c r="E45" s="8" t="s">
        <v>595</v>
      </c>
      <c r="F45" s="8" t="s">
        <v>596</v>
      </c>
      <c r="G45" s="18">
        <v>7217</v>
      </c>
      <c r="H45" s="18">
        <v>8217</v>
      </c>
      <c r="I45" s="18">
        <v>1000</v>
      </c>
    </row>
    <row r="46" spans="1:9">
      <c r="A46" s="78" t="s">
        <v>606</v>
      </c>
      <c r="B46" s="4" t="s">
        <v>45</v>
      </c>
      <c r="C46" s="4" t="s">
        <v>339</v>
      </c>
      <c r="D46" s="2" t="s">
        <v>586</v>
      </c>
      <c r="E46" s="8" t="s">
        <v>593</v>
      </c>
      <c r="F46" s="18" t="s">
        <v>598</v>
      </c>
      <c r="G46" s="18">
        <v>10000</v>
      </c>
      <c r="H46" s="18">
        <v>10000</v>
      </c>
      <c r="I46" s="18">
        <v>0</v>
      </c>
    </row>
    <row r="47" spans="1:9" hidden="1">
      <c r="A47" s="78" t="s">
        <v>606</v>
      </c>
      <c r="B47" s="5" t="s">
        <v>46</v>
      </c>
      <c r="C47" s="5" t="s">
        <v>340</v>
      </c>
      <c r="D47" s="2" t="s">
        <v>587</v>
      </c>
      <c r="E47" s="8" t="s">
        <v>592</v>
      </c>
      <c r="F47" s="18" t="s">
        <v>592</v>
      </c>
      <c r="G47" s="18">
        <v>7737</v>
      </c>
      <c r="H47" s="18">
        <v>8737</v>
      </c>
      <c r="I47" s="18">
        <v>1000</v>
      </c>
    </row>
    <row r="48" spans="1:9" hidden="1">
      <c r="A48" s="78" t="s">
        <v>606</v>
      </c>
      <c r="B48" s="5" t="s">
        <v>47</v>
      </c>
      <c r="C48" s="5" t="s">
        <v>341</v>
      </c>
      <c r="D48" s="2" t="s">
        <v>587</v>
      </c>
      <c r="E48" s="8" t="s">
        <v>592</v>
      </c>
      <c r="F48" s="18" t="s">
        <v>592</v>
      </c>
      <c r="G48" s="18">
        <v>4870</v>
      </c>
      <c r="H48" s="18">
        <v>9240</v>
      </c>
      <c r="I48" s="18">
        <v>4370</v>
      </c>
    </row>
    <row r="49" spans="1:9">
      <c r="A49" s="78" t="s">
        <v>606</v>
      </c>
      <c r="B49" s="2" t="s">
        <v>48</v>
      </c>
      <c r="C49" s="2" t="s">
        <v>342</v>
      </c>
      <c r="D49" s="2" t="s">
        <v>586</v>
      </c>
      <c r="E49" s="8" t="s">
        <v>593</v>
      </c>
      <c r="F49" s="18" t="s">
        <v>598</v>
      </c>
      <c r="G49" s="18">
        <v>10000</v>
      </c>
      <c r="H49" s="18">
        <v>10000</v>
      </c>
      <c r="I49" s="18">
        <v>0</v>
      </c>
    </row>
    <row r="50" spans="1:9" hidden="1">
      <c r="A50" s="78" t="s">
        <v>606</v>
      </c>
      <c r="B50" s="5" t="s">
        <v>49</v>
      </c>
      <c r="C50" s="5" t="s">
        <v>343</v>
      </c>
      <c r="D50" s="2" t="s">
        <v>587</v>
      </c>
      <c r="E50" s="8" t="s">
        <v>595</v>
      </c>
      <c r="F50" s="8" t="s">
        <v>596</v>
      </c>
      <c r="G50" s="18">
        <v>2399</v>
      </c>
      <c r="H50" s="18">
        <v>3499</v>
      </c>
      <c r="I50" s="18">
        <v>1100</v>
      </c>
    </row>
    <row r="51" spans="1:9" hidden="1">
      <c r="A51" s="78" t="s">
        <v>606</v>
      </c>
      <c r="B51" s="4" t="s">
        <v>50</v>
      </c>
      <c r="C51" s="4" t="s">
        <v>344</v>
      </c>
      <c r="D51" s="2" t="s">
        <v>587</v>
      </c>
      <c r="E51" s="8" t="s">
        <v>595</v>
      </c>
      <c r="F51" s="8" t="s">
        <v>596</v>
      </c>
      <c r="G51" s="18">
        <v>5988.5</v>
      </c>
      <c r="H51" s="18">
        <v>6388</v>
      </c>
      <c r="I51" s="18">
        <v>399.5</v>
      </c>
    </row>
    <row r="52" spans="1:9" hidden="1">
      <c r="A52" s="78" t="s">
        <v>606</v>
      </c>
      <c r="B52" s="4" t="s">
        <v>51</v>
      </c>
      <c r="C52" s="4" t="s">
        <v>345</v>
      </c>
      <c r="D52" s="2" t="s">
        <v>587</v>
      </c>
      <c r="E52" s="8" t="s">
        <v>592</v>
      </c>
      <c r="F52" s="8" t="s">
        <v>596</v>
      </c>
      <c r="G52" s="18">
        <v>6000</v>
      </c>
      <c r="H52" s="18">
        <v>6500</v>
      </c>
      <c r="I52" s="18">
        <v>500</v>
      </c>
    </row>
    <row r="53" spans="1:9" hidden="1">
      <c r="A53" s="78" t="s">
        <v>606</v>
      </c>
      <c r="B53" s="2" t="s">
        <v>52</v>
      </c>
      <c r="C53" s="2" t="s">
        <v>346</v>
      </c>
      <c r="D53" s="2" t="s">
        <v>587</v>
      </c>
      <c r="E53" s="8" t="s">
        <v>592</v>
      </c>
      <c r="F53" s="8" t="s">
        <v>596</v>
      </c>
      <c r="G53" s="18">
        <v>2425</v>
      </c>
      <c r="H53" s="18">
        <v>3825</v>
      </c>
      <c r="I53" s="18">
        <v>1400</v>
      </c>
    </row>
    <row r="54" spans="1:9" hidden="1">
      <c r="A54" s="78" t="s">
        <v>606</v>
      </c>
      <c r="B54" s="2" t="s">
        <v>53</v>
      </c>
      <c r="C54" s="2" t="s">
        <v>346</v>
      </c>
      <c r="D54" s="2" t="s">
        <v>587</v>
      </c>
      <c r="E54" s="8" t="s">
        <v>592</v>
      </c>
      <c r="F54" s="8" t="s">
        <v>596</v>
      </c>
      <c r="G54" s="21">
        <v>2425</v>
      </c>
      <c r="H54" s="21">
        <v>3120</v>
      </c>
      <c r="I54" s="18">
        <v>695</v>
      </c>
    </row>
    <row r="55" spans="1:9" hidden="1">
      <c r="A55" s="78" t="s">
        <v>606</v>
      </c>
      <c r="B55" s="5" t="s">
        <v>54</v>
      </c>
      <c r="C55" s="5" t="s">
        <v>347</v>
      </c>
      <c r="D55" s="2" t="s">
        <v>588</v>
      </c>
      <c r="E55" s="8" t="s">
        <v>592</v>
      </c>
      <c r="F55" s="2" t="s">
        <v>600</v>
      </c>
      <c r="G55" s="19">
        <v>9450</v>
      </c>
      <c r="H55" s="19">
        <v>9450</v>
      </c>
      <c r="I55" s="18">
        <v>0</v>
      </c>
    </row>
    <row r="56" spans="1:9">
      <c r="A56" s="78" t="s">
        <v>606</v>
      </c>
      <c r="B56" s="2" t="s">
        <v>55</v>
      </c>
      <c r="C56" s="2" t="s">
        <v>348</v>
      </c>
      <c r="D56" s="2" t="s">
        <v>587</v>
      </c>
      <c r="E56" s="8" t="s">
        <v>593</v>
      </c>
      <c r="F56" s="18" t="s">
        <v>598</v>
      </c>
      <c r="G56" s="18">
        <v>4007</v>
      </c>
      <c r="H56" s="18">
        <v>4707</v>
      </c>
      <c r="I56" s="18">
        <v>700</v>
      </c>
    </row>
    <row r="57" spans="1:9" hidden="1">
      <c r="A57" s="78" t="s">
        <v>606</v>
      </c>
      <c r="B57" s="5" t="s">
        <v>56</v>
      </c>
      <c r="C57" s="5" t="s">
        <v>349</v>
      </c>
      <c r="D57" s="2" t="s">
        <v>587</v>
      </c>
      <c r="E57" s="8" t="s">
        <v>592</v>
      </c>
      <c r="F57" s="8" t="s">
        <v>596</v>
      </c>
      <c r="G57" s="18">
        <v>6897.1</v>
      </c>
      <c r="H57" s="18">
        <v>7897</v>
      </c>
      <c r="I57" s="18">
        <v>999.89999999999964</v>
      </c>
    </row>
    <row r="58" spans="1:9" hidden="1">
      <c r="A58" s="78" t="s">
        <v>606</v>
      </c>
      <c r="B58" s="4" t="s">
        <v>57</v>
      </c>
      <c r="C58" s="4" t="s">
        <v>350</v>
      </c>
      <c r="D58" s="2" t="s">
        <v>587</v>
      </c>
      <c r="E58" s="2" t="s">
        <v>594</v>
      </c>
      <c r="F58" s="8" t="s">
        <v>599</v>
      </c>
      <c r="G58" s="18">
        <v>4508</v>
      </c>
      <c r="H58" s="18">
        <v>5058</v>
      </c>
      <c r="I58" s="18">
        <v>550</v>
      </c>
    </row>
    <row r="59" spans="1:9">
      <c r="A59" s="78" t="s">
        <v>606</v>
      </c>
      <c r="B59" s="4" t="s">
        <v>58</v>
      </c>
      <c r="C59" s="4" t="s">
        <v>351</v>
      </c>
      <c r="D59" s="2" t="s">
        <v>587</v>
      </c>
      <c r="E59" s="8" t="s">
        <v>593</v>
      </c>
      <c r="F59" s="8" t="s">
        <v>599</v>
      </c>
      <c r="G59" s="18">
        <v>4540</v>
      </c>
      <c r="H59" s="18">
        <v>5540</v>
      </c>
      <c r="I59" s="18">
        <v>1000</v>
      </c>
    </row>
    <row r="60" spans="1:9" hidden="1">
      <c r="A60" s="78" t="s">
        <v>606</v>
      </c>
      <c r="B60" s="5" t="s">
        <v>59</v>
      </c>
      <c r="C60" s="2" t="s">
        <v>352</v>
      </c>
      <c r="D60" s="2" t="s">
        <v>587</v>
      </c>
      <c r="E60" s="2" t="s">
        <v>594</v>
      </c>
      <c r="F60" s="8" t="s">
        <v>599</v>
      </c>
      <c r="G60" s="18">
        <v>7248.15</v>
      </c>
      <c r="H60" s="18">
        <v>7749</v>
      </c>
      <c r="I60" s="18">
        <v>500.85000000000036</v>
      </c>
    </row>
    <row r="61" spans="1:9" hidden="1">
      <c r="A61" s="78" t="s">
        <v>606</v>
      </c>
      <c r="B61" s="5" t="s">
        <v>60</v>
      </c>
      <c r="C61" s="5" t="s">
        <v>353</v>
      </c>
      <c r="D61" s="2" t="s">
        <v>587</v>
      </c>
      <c r="E61" s="8" t="s">
        <v>592</v>
      </c>
      <c r="F61" s="18" t="s">
        <v>592</v>
      </c>
      <c r="G61" s="18">
        <v>7080</v>
      </c>
      <c r="H61" s="18">
        <v>7480</v>
      </c>
      <c r="I61" s="18">
        <v>400</v>
      </c>
    </row>
    <row r="62" spans="1:9" hidden="1">
      <c r="A62" s="78" t="s">
        <v>606</v>
      </c>
      <c r="B62" s="5" t="s">
        <v>61</v>
      </c>
      <c r="C62" s="5" t="s">
        <v>354</v>
      </c>
      <c r="D62" s="2" t="s">
        <v>586</v>
      </c>
      <c r="E62" s="8" t="s">
        <v>594</v>
      </c>
      <c r="F62" s="18" t="s">
        <v>598</v>
      </c>
      <c r="G62" s="18">
        <v>10000</v>
      </c>
      <c r="H62" s="18">
        <v>10000</v>
      </c>
      <c r="I62" s="18">
        <v>0</v>
      </c>
    </row>
    <row r="63" spans="1:9">
      <c r="A63" s="78" t="s">
        <v>606</v>
      </c>
      <c r="B63" s="2" t="s">
        <v>62</v>
      </c>
      <c r="C63" s="2" t="s">
        <v>355</v>
      </c>
      <c r="D63" s="2" t="s">
        <v>587</v>
      </c>
      <c r="E63" s="8" t="s">
        <v>593</v>
      </c>
      <c r="F63" s="18" t="s">
        <v>598</v>
      </c>
      <c r="G63" s="18">
        <v>2900</v>
      </c>
      <c r="H63" s="18">
        <v>3900</v>
      </c>
      <c r="I63" s="18">
        <v>1000</v>
      </c>
    </row>
    <row r="64" spans="1:9">
      <c r="A64" s="78" t="s">
        <v>606</v>
      </c>
      <c r="B64" s="2" t="s">
        <v>63</v>
      </c>
      <c r="C64" s="4" t="s">
        <v>356</v>
      </c>
      <c r="D64" s="2" t="s">
        <v>587</v>
      </c>
      <c r="E64" s="8" t="s">
        <v>593</v>
      </c>
      <c r="F64" s="8" t="s">
        <v>593</v>
      </c>
      <c r="G64" s="18">
        <v>2712</v>
      </c>
      <c r="H64" s="18">
        <v>4411</v>
      </c>
      <c r="I64" s="18">
        <v>1699</v>
      </c>
    </row>
    <row r="65" spans="1:9">
      <c r="A65" s="78" t="s">
        <v>606</v>
      </c>
      <c r="B65" s="2" t="s">
        <v>64</v>
      </c>
      <c r="C65" s="4" t="s">
        <v>357</v>
      </c>
      <c r="D65" s="2" t="s">
        <v>587</v>
      </c>
      <c r="E65" s="8" t="s">
        <v>593</v>
      </c>
      <c r="F65" s="8" t="s">
        <v>593</v>
      </c>
      <c r="G65" s="18">
        <v>6337</v>
      </c>
      <c r="H65" s="18">
        <v>6837</v>
      </c>
      <c r="I65" s="18">
        <v>500</v>
      </c>
    </row>
    <row r="66" spans="1:9" hidden="1">
      <c r="A66" s="78" t="s">
        <v>606</v>
      </c>
      <c r="B66" s="3" t="s">
        <v>65</v>
      </c>
      <c r="C66" s="3" t="s">
        <v>358</v>
      </c>
      <c r="D66" s="2" t="s">
        <v>587</v>
      </c>
      <c r="E66" s="8" t="s">
        <v>595</v>
      </c>
      <c r="F66" s="18" t="s">
        <v>601</v>
      </c>
      <c r="G66" s="18">
        <v>4413.2</v>
      </c>
      <c r="H66" s="18">
        <v>5913</v>
      </c>
      <c r="I66" s="18">
        <v>1499.8000000000002</v>
      </c>
    </row>
    <row r="67" spans="1:9">
      <c r="A67" s="78" t="s">
        <v>606</v>
      </c>
      <c r="B67" s="7" t="s">
        <v>66</v>
      </c>
      <c r="C67" s="7" t="s">
        <v>359</v>
      </c>
      <c r="D67" s="2" t="s">
        <v>587</v>
      </c>
      <c r="E67" s="8" t="s">
        <v>593</v>
      </c>
      <c r="F67" s="8" t="s">
        <v>599</v>
      </c>
      <c r="G67" s="18">
        <v>3658</v>
      </c>
      <c r="H67" s="18">
        <v>3958</v>
      </c>
      <c r="I67" s="18">
        <v>300</v>
      </c>
    </row>
    <row r="68" spans="1:9" hidden="1">
      <c r="A68" s="78" t="s">
        <v>606</v>
      </c>
      <c r="B68" s="2" t="s">
        <v>67</v>
      </c>
      <c r="C68" s="2" t="s">
        <v>360</v>
      </c>
      <c r="D68" s="2" t="s">
        <v>587</v>
      </c>
      <c r="E68" s="8" t="s">
        <v>594</v>
      </c>
      <c r="F68" s="19" t="s">
        <v>594</v>
      </c>
      <c r="G68" s="18">
        <v>2922</v>
      </c>
      <c r="H68" s="18">
        <v>3922</v>
      </c>
      <c r="I68" s="18">
        <v>1000</v>
      </c>
    </row>
    <row r="69" spans="1:9" hidden="1">
      <c r="A69" s="78" t="s">
        <v>606</v>
      </c>
      <c r="B69" s="2" t="s">
        <v>68</v>
      </c>
      <c r="C69" s="2" t="s">
        <v>361</v>
      </c>
      <c r="D69" s="2" t="s">
        <v>587</v>
      </c>
      <c r="E69" s="8" t="s">
        <v>595</v>
      </c>
      <c r="F69" s="19" t="s">
        <v>595</v>
      </c>
      <c r="G69" s="18">
        <v>11493</v>
      </c>
      <c r="H69" s="18">
        <v>11493</v>
      </c>
      <c r="I69" s="18">
        <v>0</v>
      </c>
    </row>
    <row r="70" spans="1:9">
      <c r="A70" s="78" t="s">
        <v>606</v>
      </c>
      <c r="B70" s="2" t="s">
        <v>69</v>
      </c>
      <c r="C70" s="2" t="s">
        <v>362</v>
      </c>
      <c r="D70" s="2" t="s">
        <v>586</v>
      </c>
      <c r="E70" s="8" t="s">
        <v>593</v>
      </c>
      <c r="F70" s="18" t="s">
        <v>598</v>
      </c>
      <c r="G70" s="18">
        <v>10000</v>
      </c>
      <c r="H70" s="18">
        <v>10000</v>
      </c>
      <c r="I70" s="18">
        <v>0</v>
      </c>
    </row>
    <row r="71" spans="1:9" hidden="1">
      <c r="A71" s="78" t="s">
        <v>606</v>
      </c>
      <c r="B71" s="8" t="s">
        <v>70</v>
      </c>
      <c r="C71" s="8" t="s">
        <v>363</v>
      </c>
      <c r="D71" s="2" t="s">
        <v>588</v>
      </c>
      <c r="E71" s="8" t="s">
        <v>595</v>
      </c>
      <c r="F71" s="19" t="s">
        <v>595</v>
      </c>
      <c r="G71" s="18">
        <v>8000</v>
      </c>
      <c r="H71" s="18">
        <v>9599</v>
      </c>
      <c r="I71" s="18">
        <v>1599</v>
      </c>
    </row>
    <row r="72" spans="1:9">
      <c r="A72" s="78" t="s">
        <v>606</v>
      </c>
      <c r="B72" s="2" t="s">
        <v>71</v>
      </c>
      <c r="C72" s="2" t="s">
        <v>364</v>
      </c>
      <c r="D72" s="2" t="s">
        <v>586</v>
      </c>
      <c r="E72" s="8" t="s">
        <v>593</v>
      </c>
      <c r="F72" s="18" t="s">
        <v>598</v>
      </c>
      <c r="G72" s="18">
        <v>10000</v>
      </c>
      <c r="H72" s="18">
        <v>10000</v>
      </c>
      <c r="I72" s="18">
        <v>0</v>
      </c>
    </row>
    <row r="73" spans="1:9">
      <c r="A73" s="78" t="s">
        <v>606</v>
      </c>
      <c r="B73" s="2" t="s">
        <v>72</v>
      </c>
      <c r="C73" s="2" t="s">
        <v>365</v>
      </c>
      <c r="D73" s="2" t="s">
        <v>588</v>
      </c>
      <c r="E73" s="8" t="s">
        <v>593</v>
      </c>
      <c r="F73" s="18" t="s">
        <v>598</v>
      </c>
      <c r="G73" s="18">
        <v>7000</v>
      </c>
      <c r="H73" s="18">
        <v>7999</v>
      </c>
      <c r="I73" s="18">
        <v>999</v>
      </c>
    </row>
    <row r="74" spans="1:9" hidden="1">
      <c r="A74" s="78" t="s">
        <v>606</v>
      </c>
      <c r="B74" s="9" t="s">
        <v>73</v>
      </c>
      <c r="C74" s="9" t="s">
        <v>366</v>
      </c>
      <c r="D74" s="2" t="s">
        <v>587</v>
      </c>
      <c r="E74" s="8" t="s">
        <v>592</v>
      </c>
      <c r="F74" s="18" t="s">
        <v>601</v>
      </c>
      <c r="G74" s="23">
        <v>2342</v>
      </c>
      <c r="H74" s="23">
        <v>3962</v>
      </c>
      <c r="I74" s="18">
        <v>1620</v>
      </c>
    </row>
    <row r="75" spans="1:9" hidden="1">
      <c r="A75" s="78" t="s">
        <v>606</v>
      </c>
      <c r="B75" s="9" t="s">
        <v>74</v>
      </c>
      <c r="C75" s="9" t="s">
        <v>367</v>
      </c>
      <c r="D75" s="2" t="s">
        <v>587</v>
      </c>
      <c r="E75" s="8" t="s">
        <v>592</v>
      </c>
      <c r="F75" s="18" t="s">
        <v>601</v>
      </c>
      <c r="G75" s="23">
        <v>8846</v>
      </c>
      <c r="H75" s="23">
        <v>8846</v>
      </c>
      <c r="I75" s="18">
        <v>0</v>
      </c>
    </row>
    <row r="76" spans="1:9" hidden="1">
      <c r="A76" s="78" t="s">
        <v>606</v>
      </c>
      <c r="B76" s="3" t="s">
        <v>75</v>
      </c>
      <c r="C76" s="9" t="s">
        <v>368</v>
      </c>
      <c r="D76" s="2" t="s">
        <v>588</v>
      </c>
      <c r="E76" s="8" t="s">
        <v>592</v>
      </c>
      <c r="F76" s="18" t="s">
        <v>601</v>
      </c>
      <c r="G76" s="23">
        <v>10915</v>
      </c>
      <c r="H76" s="18">
        <v>10915</v>
      </c>
      <c r="I76" s="18">
        <v>0</v>
      </c>
    </row>
    <row r="77" spans="1:9" hidden="1">
      <c r="A77" s="78" t="s">
        <v>606</v>
      </c>
      <c r="B77" s="9" t="s">
        <v>76</v>
      </c>
      <c r="C77" s="9" t="s">
        <v>369</v>
      </c>
      <c r="D77" s="2" t="s">
        <v>587</v>
      </c>
      <c r="E77" s="8" t="s">
        <v>592</v>
      </c>
      <c r="F77" s="18" t="s">
        <v>601</v>
      </c>
      <c r="G77" s="23">
        <v>2115</v>
      </c>
      <c r="H77" s="23">
        <v>4415</v>
      </c>
      <c r="I77" s="18">
        <v>2300</v>
      </c>
    </row>
    <row r="78" spans="1:9" hidden="1">
      <c r="A78" s="78" t="s">
        <v>606</v>
      </c>
      <c r="B78" s="3" t="s">
        <v>77</v>
      </c>
      <c r="C78" s="3" t="s">
        <v>370</v>
      </c>
      <c r="D78" s="2" t="s">
        <v>587</v>
      </c>
      <c r="E78" s="8" t="s">
        <v>595</v>
      </c>
      <c r="F78" s="18" t="s">
        <v>601</v>
      </c>
      <c r="G78" s="23">
        <v>5546</v>
      </c>
      <c r="H78" s="23">
        <v>5546</v>
      </c>
      <c r="I78" s="18">
        <v>0</v>
      </c>
    </row>
    <row r="79" spans="1:9" hidden="1">
      <c r="A79" s="78" t="s">
        <v>606</v>
      </c>
      <c r="B79" s="3" t="s">
        <v>78</v>
      </c>
      <c r="C79" s="9" t="s">
        <v>371</v>
      </c>
      <c r="D79" s="2" t="s">
        <v>587</v>
      </c>
      <c r="E79" s="8" t="s">
        <v>592</v>
      </c>
      <c r="F79" s="18" t="s">
        <v>601</v>
      </c>
      <c r="G79" s="23">
        <v>7959</v>
      </c>
      <c r="H79" s="23">
        <v>8459</v>
      </c>
      <c r="I79" s="18">
        <v>500</v>
      </c>
    </row>
    <row r="80" spans="1:9" hidden="1">
      <c r="A80" s="78" t="s">
        <v>606</v>
      </c>
      <c r="B80" s="9" t="s">
        <v>79</v>
      </c>
      <c r="C80" s="9" t="s">
        <v>372</v>
      </c>
      <c r="D80" s="2" t="s">
        <v>587</v>
      </c>
      <c r="E80" s="8" t="s">
        <v>592</v>
      </c>
      <c r="F80" s="18" t="s">
        <v>601</v>
      </c>
      <c r="G80" s="23">
        <v>3537.64</v>
      </c>
      <c r="H80" s="23">
        <v>4538</v>
      </c>
      <c r="I80" s="18">
        <v>1000.3600000000001</v>
      </c>
    </row>
    <row r="81" spans="1:9" hidden="1">
      <c r="A81" s="78" t="s">
        <v>606</v>
      </c>
      <c r="B81" s="3" t="s">
        <v>80</v>
      </c>
      <c r="C81" s="3" t="s">
        <v>373</v>
      </c>
      <c r="D81" s="2" t="s">
        <v>587</v>
      </c>
      <c r="E81" s="8" t="s">
        <v>595</v>
      </c>
      <c r="F81" s="18" t="s">
        <v>601</v>
      </c>
      <c r="G81" s="23">
        <v>3774</v>
      </c>
      <c r="H81" s="23">
        <v>3775</v>
      </c>
      <c r="I81" s="18">
        <v>1</v>
      </c>
    </row>
    <row r="82" spans="1:9" hidden="1">
      <c r="A82" s="78" t="s">
        <v>606</v>
      </c>
      <c r="B82" s="2" t="s">
        <v>81</v>
      </c>
      <c r="C82" s="4" t="s">
        <v>374</v>
      </c>
      <c r="D82" s="2" t="s">
        <v>586</v>
      </c>
      <c r="E82" s="8" t="s">
        <v>595</v>
      </c>
      <c r="F82" s="19" t="s">
        <v>595</v>
      </c>
      <c r="G82" s="18">
        <v>9500</v>
      </c>
      <c r="H82" s="18">
        <v>9825</v>
      </c>
      <c r="I82" s="18">
        <v>325</v>
      </c>
    </row>
    <row r="83" spans="1:9" hidden="1">
      <c r="A83" s="78" t="s">
        <v>606</v>
      </c>
      <c r="B83" s="2" t="s">
        <v>82</v>
      </c>
      <c r="C83" s="8" t="s">
        <v>375</v>
      </c>
      <c r="D83" s="2" t="s">
        <v>587</v>
      </c>
      <c r="E83" s="2" t="s">
        <v>594</v>
      </c>
      <c r="F83" s="8" t="s">
        <v>599</v>
      </c>
      <c r="G83" s="18">
        <v>7134</v>
      </c>
      <c r="H83" s="18">
        <v>7734</v>
      </c>
      <c r="I83" s="18">
        <v>600</v>
      </c>
    </row>
    <row r="84" spans="1:9">
      <c r="A84" s="78" t="s">
        <v>606</v>
      </c>
      <c r="B84" s="2" t="s">
        <v>83</v>
      </c>
      <c r="C84" s="2" t="s">
        <v>376</v>
      </c>
      <c r="D84" s="2" t="s">
        <v>587</v>
      </c>
      <c r="E84" s="8" t="s">
        <v>593</v>
      </c>
      <c r="F84" s="8" t="s">
        <v>599</v>
      </c>
      <c r="G84" s="18">
        <v>4720</v>
      </c>
      <c r="H84" s="18">
        <v>5720</v>
      </c>
      <c r="I84" s="18">
        <v>1000</v>
      </c>
    </row>
    <row r="85" spans="1:9" hidden="1">
      <c r="A85" s="78" t="s">
        <v>606</v>
      </c>
      <c r="B85" s="8" t="s">
        <v>84</v>
      </c>
      <c r="C85" s="8" t="s">
        <v>377</v>
      </c>
      <c r="D85" s="2" t="s">
        <v>587</v>
      </c>
      <c r="E85" s="8" t="s">
        <v>594</v>
      </c>
      <c r="F85" s="19" t="s">
        <v>594</v>
      </c>
      <c r="G85" s="18">
        <v>2574</v>
      </c>
      <c r="H85" s="18">
        <v>4174</v>
      </c>
      <c r="I85" s="18">
        <v>1600</v>
      </c>
    </row>
    <row r="86" spans="1:9" hidden="1">
      <c r="A86" s="78" t="s">
        <v>606</v>
      </c>
      <c r="B86" s="2" t="s">
        <v>85</v>
      </c>
      <c r="C86" s="2" t="s">
        <v>378</v>
      </c>
      <c r="D86" s="2" t="s">
        <v>588</v>
      </c>
      <c r="E86" s="8" t="s">
        <v>594</v>
      </c>
      <c r="F86" s="18" t="s">
        <v>598</v>
      </c>
      <c r="G86" s="18">
        <v>9360</v>
      </c>
      <c r="H86" s="18">
        <v>9660</v>
      </c>
      <c r="I86" s="18">
        <v>300</v>
      </c>
    </row>
    <row r="87" spans="1:9">
      <c r="A87" s="78" t="s">
        <v>606</v>
      </c>
      <c r="B87" s="2" t="s">
        <v>86</v>
      </c>
      <c r="C87" s="2" t="s">
        <v>379</v>
      </c>
      <c r="D87" s="2" t="s">
        <v>586</v>
      </c>
      <c r="E87" s="8" t="s">
        <v>593</v>
      </c>
      <c r="F87" s="18" t="s">
        <v>598</v>
      </c>
      <c r="G87" s="18">
        <v>10000</v>
      </c>
      <c r="H87" s="18">
        <v>10000</v>
      </c>
      <c r="I87" s="18">
        <v>0</v>
      </c>
    </row>
    <row r="88" spans="1:9">
      <c r="A88" s="78" t="s">
        <v>606</v>
      </c>
      <c r="B88" s="2" t="s">
        <v>87</v>
      </c>
      <c r="C88" s="2" t="s">
        <v>380</v>
      </c>
      <c r="D88" s="2" t="s">
        <v>587</v>
      </c>
      <c r="E88" s="8" t="s">
        <v>593</v>
      </c>
      <c r="F88" s="18" t="s">
        <v>598</v>
      </c>
      <c r="G88" s="18">
        <v>8437</v>
      </c>
      <c r="H88" s="18">
        <v>8437</v>
      </c>
      <c r="I88" s="18">
        <v>0</v>
      </c>
    </row>
    <row r="89" spans="1:9" hidden="1">
      <c r="A89" s="78" t="s">
        <v>606</v>
      </c>
      <c r="B89" s="9" t="s">
        <v>88</v>
      </c>
      <c r="C89" s="9" t="s">
        <v>381</v>
      </c>
      <c r="D89" s="2" t="s">
        <v>587</v>
      </c>
      <c r="E89" s="8" t="s">
        <v>595</v>
      </c>
      <c r="F89" s="18" t="s">
        <v>601</v>
      </c>
      <c r="G89" s="18">
        <v>6723.64</v>
      </c>
      <c r="H89" s="18">
        <v>7823</v>
      </c>
      <c r="I89" s="18">
        <v>1099.3599999999997</v>
      </c>
    </row>
    <row r="90" spans="1:9" hidden="1">
      <c r="A90" s="78" t="s">
        <v>606</v>
      </c>
      <c r="B90" s="9" t="s">
        <v>89</v>
      </c>
      <c r="C90" s="9" t="s">
        <v>382</v>
      </c>
      <c r="D90" s="2" t="s">
        <v>586</v>
      </c>
      <c r="E90" s="9" t="s">
        <v>594</v>
      </c>
      <c r="F90" s="18" t="s">
        <v>601</v>
      </c>
      <c r="G90" s="18">
        <v>7549.64</v>
      </c>
      <c r="H90" s="18">
        <v>8550</v>
      </c>
      <c r="I90" s="18">
        <v>1000.3599999999997</v>
      </c>
    </row>
    <row r="91" spans="1:9">
      <c r="A91" s="78" t="s">
        <v>606</v>
      </c>
      <c r="B91" s="9" t="s">
        <v>90</v>
      </c>
      <c r="C91" s="9" t="s">
        <v>383</v>
      </c>
      <c r="D91" s="2" t="s">
        <v>587</v>
      </c>
      <c r="E91" s="8" t="s">
        <v>593</v>
      </c>
      <c r="F91" s="18" t="s">
        <v>601</v>
      </c>
      <c r="G91" s="18">
        <v>18231</v>
      </c>
      <c r="H91" s="18">
        <v>18231</v>
      </c>
      <c r="I91" s="18">
        <v>0</v>
      </c>
    </row>
    <row r="92" spans="1:9" hidden="1">
      <c r="A92" s="78" t="s">
        <v>606</v>
      </c>
      <c r="B92" s="9" t="s">
        <v>91</v>
      </c>
      <c r="C92" s="9" t="s">
        <v>384</v>
      </c>
      <c r="D92" s="2" t="s">
        <v>586</v>
      </c>
      <c r="E92" s="8" t="s">
        <v>592</v>
      </c>
      <c r="F92" s="18" t="s">
        <v>601</v>
      </c>
      <c r="G92" s="23">
        <v>8505</v>
      </c>
      <c r="H92" s="23">
        <v>8955</v>
      </c>
      <c r="I92" s="18">
        <v>450</v>
      </c>
    </row>
    <row r="93" spans="1:9" hidden="1">
      <c r="A93" s="78" t="s">
        <v>606</v>
      </c>
      <c r="B93" s="2" t="s">
        <v>92</v>
      </c>
      <c r="C93" s="2" t="s">
        <v>385</v>
      </c>
      <c r="D93" s="2" t="s">
        <v>587</v>
      </c>
      <c r="E93" s="8" t="s">
        <v>594</v>
      </c>
      <c r="F93" s="19" t="s">
        <v>594</v>
      </c>
      <c r="G93" s="18">
        <v>3176</v>
      </c>
      <c r="H93" s="18">
        <v>4676</v>
      </c>
      <c r="I93" s="18">
        <v>1500</v>
      </c>
    </row>
    <row r="94" spans="1:9" hidden="1">
      <c r="A94" s="78" t="s">
        <v>606</v>
      </c>
      <c r="B94" s="2" t="s">
        <v>93</v>
      </c>
      <c r="C94" s="2" t="s">
        <v>386</v>
      </c>
      <c r="D94" s="2" t="s">
        <v>587</v>
      </c>
      <c r="E94" s="8" t="s">
        <v>594</v>
      </c>
      <c r="F94" s="19" t="s">
        <v>594</v>
      </c>
      <c r="G94" s="18">
        <v>4292</v>
      </c>
      <c r="H94" s="18">
        <v>6292</v>
      </c>
      <c r="I94" s="18">
        <v>2000</v>
      </c>
    </row>
    <row r="95" spans="1:9" hidden="1">
      <c r="A95" s="78" t="s">
        <v>606</v>
      </c>
      <c r="B95" s="5" t="s">
        <v>94</v>
      </c>
      <c r="C95" s="5" t="s">
        <v>387</v>
      </c>
      <c r="D95" s="2" t="s">
        <v>587</v>
      </c>
      <c r="E95" s="8" t="s">
        <v>592</v>
      </c>
      <c r="F95" s="8" t="s">
        <v>596</v>
      </c>
      <c r="G95" s="18">
        <v>5898</v>
      </c>
      <c r="H95" s="18">
        <v>6498</v>
      </c>
      <c r="I95" s="18">
        <v>600</v>
      </c>
    </row>
    <row r="96" spans="1:9" hidden="1">
      <c r="A96" s="78" t="s">
        <v>606</v>
      </c>
      <c r="B96" s="2" t="s">
        <v>95</v>
      </c>
      <c r="C96" s="2" t="s">
        <v>388</v>
      </c>
      <c r="D96" s="2" t="s">
        <v>587</v>
      </c>
      <c r="E96" s="8" t="s">
        <v>595</v>
      </c>
      <c r="F96" s="8" t="s">
        <v>596</v>
      </c>
      <c r="G96" s="18">
        <v>3163</v>
      </c>
      <c r="H96" s="18">
        <v>4663</v>
      </c>
      <c r="I96" s="18">
        <v>1500</v>
      </c>
    </row>
    <row r="97" spans="1:9" hidden="1">
      <c r="A97" s="78" t="s">
        <v>606</v>
      </c>
      <c r="B97" s="5" t="s">
        <v>96</v>
      </c>
      <c r="C97" s="5" t="s">
        <v>389</v>
      </c>
      <c r="D97" s="2" t="s">
        <v>587</v>
      </c>
      <c r="E97" s="8" t="s">
        <v>592</v>
      </c>
      <c r="F97" s="8" t="s">
        <v>596</v>
      </c>
      <c r="G97" s="18">
        <v>2136</v>
      </c>
      <c r="H97" s="18">
        <v>3120</v>
      </c>
      <c r="I97" s="18">
        <v>984</v>
      </c>
    </row>
    <row r="98" spans="1:9">
      <c r="A98" s="78" t="s">
        <v>606</v>
      </c>
      <c r="B98" s="2" t="s">
        <v>97</v>
      </c>
      <c r="C98" s="2" t="s">
        <v>390</v>
      </c>
      <c r="D98" s="2" t="s">
        <v>587</v>
      </c>
      <c r="E98" s="8" t="s">
        <v>593</v>
      </c>
      <c r="F98" s="18" t="s">
        <v>598</v>
      </c>
      <c r="G98" s="18">
        <v>5524</v>
      </c>
      <c r="H98" s="18">
        <v>6524</v>
      </c>
      <c r="I98" s="18">
        <v>1000</v>
      </c>
    </row>
    <row r="99" spans="1:9">
      <c r="A99" s="78" t="s">
        <v>606</v>
      </c>
      <c r="B99" s="2" t="s">
        <v>98</v>
      </c>
      <c r="C99" s="2" t="s">
        <v>391</v>
      </c>
      <c r="D99" s="2" t="s">
        <v>587</v>
      </c>
      <c r="E99" s="8" t="s">
        <v>593</v>
      </c>
      <c r="F99" s="18" t="s">
        <v>598</v>
      </c>
      <c r="G99" s="18">
        <v>8042</v>
      </c>
      <c r="H99" s="18">
        <v>8941</v>
      </c>
      <c r="I99" s="18">
        <v>899</v>
      </c>
    </row>
    <row r="100" spans="1:9" hidden="1">
      <c r="A100" s="78" t="s">
        <v>606</v>
      </c>
      <c r="B100" s="2" t="s">
        <v>99</v>
      </c>
      <c r="C100" s="2" t="s">
        <v>392</v>
      </c>
      <c r="D100" s="2" t="s">
        <v>587</v>
      </c>
      <c r="E100" s="8" t="s">
        <v>594</v>
      </c>
      <c r="F100" s="19" t="s">
        <v>594</v>
      </c>
      <c r="G100" s="18">
        <v>2149</v>
      </c>
      <c r="H100" s="18">
        <v>3249</v>
      </c>
      <c r="I100" s="18">
        <v>1100</v>
      </c>
    </row>
    <row r="101" spans="1:9">
      <c r="A101" s="78" t="s">
        <v>606</v>
      </c>
      <c r="B101" s="2" t="s">
        <v>100</v>
      </c>
      <c r="C101" s="2" t="s">
        <v>393</v>
      </c>
      <c r="D101" s="2" t="s">
        <v>587</v>
      </c>
      <c r="E101" s="8" t="s">
        <v>593</v>
      </c>
      <c r="F101" s="8" t="s">
        <v>599</v>
      </c>
      <c r="G101" s="18">
        <v>10217</v>
      </c>
      <c r="H101" s="18">
        <v>10217</v>
      </c>
      <c r="I101" s="18">
        <v>0</v>
      </c>
    </row>
    <row r="102" spans="1:9" hidden="1">
      <c r="A102" s="78" t="s">
        <v>606</v>
      </c>
      <c r="B102" s="2" t="s">
        <v>101</v>
      </c>
      <c r="C102" s="2" t="s">
        <v>394</v>
      </c>
      <c r="D102" s="2" t="s">
        <v>587</v>
      </c>
      <c r="E102" s="2" t="s">
        <v>594</v>
      </c>
      <c r="F102" s="8" t="s">
        <v>599</v>
      </c>
      <c r="G102" s="18">
        <v>6998</v>
      </c>
      <c r="H102" s="18">
        <v>7458</v>
      </c>
      <c r="I102" s="18">
        <v>460</v>
      </c>
    </row>
    <row r="103" spans="1:9" hidden="1">
      <c r="A103" s="78" t="s">
        <v>606</v>
      </c>
      <c r="B103" s="2" t="s">
        <v>102</v>
      </c>
      <c r="C103" s="2" t="s">
        <v>395</v>
      </c>
      <c r="D103" s="2" t="s">
        <v>587</v>
      </c>
      <c r="E103" s="2" t="s">
        <v>594</v>
      </c>
      <c r="F103" s="8" t="s">
        <v>599</v>
      </c>
      <c r="G103" s="18">
        <v>7316</v>
      </c>
      <c r="H103" s="18">
        <v>7816</v>
      </c>
      <c r="I103" s="18">
        <v>500</v>
      </c>
    </row>
    <row r="104" spans="1:9" hidden="1">
      <c r="A104" s="78" t="s">
        <v>606</v>
      </c>
      <c r="B104" s="5" t="s">
        <v>103</v>
      </c>
      <c r="C104" s="5" t="s">
        <v>396</v>
      </c>
      <c r="D104" s="2" t="s">
        <v>588</v>
      </c>
      <c r="E104" s="8" t="s">
        <v>592</v>
      </c>
      <c r="F104" s="8" t="s">
        <v>596</v>
      </c>
      <c r="G104" s="18">
        <v>9450</v>
      </c>
      <c r="H104" s="18">
        <v>9750</v>
      </c>
      <c r="I104" s="18">
        <v>300</v>
      </c>
    </row>
    <row r="105" spans="1:9" hidden="1">
      <c r="A105" s="78" t="s">
        <v>606</v>
      </c>
      <c r="B105" s="5" t="s">
        <v>104</v>
      </c>
      <c r="C105" s="5" t="s">
        <v>397</v>
      </c>
      <c r="D105" s="2" t="s">
        <v>586</v>
      </c>
      <c r="E105" s="8" t="s">
        <v>592</v>
      </c>
      <c r="F105" s="8" t="s">
        <v>596</v>
      </c>
      <c r="G105" s="18">
        <v>10500</v>
      </c>
      <c r="H105" s="18">
        <v>10500</v>
      </c>
      <c r="I105" s="18">
        <v>0</v>
      </c>
    </row>
    <row r="106" spans="1:9">
      <c r="A106" s="78" t="s">
        <v>606</v>
      </c>
      <c r="B106" s="2" t="s">
        <v>105</v>
      </c>
      <c r="C106" s="2" t="s">
        <v>398</v>
      </c>
      <c r="D106" s="2" t="s">
        <v>588</v>
      </c>
      <c r="E106" s="8" t="s">
        <v>593</v>
      </c>
      <c r="F106" s="8" t="s">
        <v>599</v>
      </c>
      <c r="G106" s="18">
        <v>9082.5</v>
      </c>
      <c r="H106" s="18">
        <v>9782</v>
      </c>
      <c r="I106" s="18">
        <v>699.5</v>
      </c>
    </row>
    <row r="107" spans="1:9">
      <c r="A107" s="78" t="s">
        <v>606</v>
      </c>
      <c r="B107" s="2" t="s">
        <v>106</v>
      </c>
      <c r="C107" s="2" t="s">
        <v>399</v>
      </c>
      <c r="D107" s="2" t="s">
        <v>587</v>
      </c>
      <c r="E107" s="8" t="s">
        <v>593</v>
      </c>
      <c r="F107" s="8" t="s">
        <v>599</v>
      </c>
      <c r="G107" s="18">
        <v>5660</v>
      </c>
      <c r="H107" s="18">
        <v>6160</v>
      </c>
      <c r="I107" s="18">
        <v>500</v>
      </c>
    </row>
    <row r="108" spans="1:9" hidden="1">
      <c r="A108" s="78" t="s">
        <v>606</v>
      </c>
      <c r="B108" s="2" t="s">
        <v>107</v>
      </c>
      <c r="C108" s="2" t="s">
        <v>400</v>
      </c>
      <c r="D108" s="2" t="s">
        <v>587</v>
      </c>
      <c r="E108" s="2" t="s">
        <v>594</v>
      </c>
      <c r="F108" s="8" t="s">
        <v>599</v>
      </c>
      <c r="G108" s="18">
        <v>6370</v>
      </c>
      <c r="H108" s="18">
        <v>6370</v>
      </c>
      <c r="I108" s="18">
        <v>0</v>
      </c>
    </row>
    <row r="109" spans="1:9" hidden="1">
      <c r="A109" s="78" t="s">
        <v>606</v>
      </c>
      <c r="B109" s="2" t="s">
        <v>107</v>
      </c>
      <c r="C109" s="2" t="s">
        <v>400</v>
      </c>
      <c r="D109" s="2" t="s">
        <v>587</v>
      </c>
      <c r="E109" s="8" t="s">
        <v>595</v>
      </c>
      <c r="F109" s="19" t="s">
        <v>595</v>
      </c>
      <c r="G109" s="18">
        <v>22294</v>
      </c>
      <c r="H109" s="18">
        <v>22294</v>
      </c>
      <c r="I109" s="18">
        <v>0</v>
      </c>
    </row>
    <row r="110" spans="1:9">
      <c r="A110" s="78" t="s">
        <v>606</v>
      </c>
      <c r="B110" s="2" t="s">
        <v>108</v>
      </c>
      <c r="C110" s="2" t="s">
        <v>401</v>
      </c>
      <c r="D110" s="2" t="s">
        <v>587</v>
      </c>
      <c r="E110" s="8" t="s">
        <v>593</v>
      </c>
      <c r="F110" s="8" t="s">
        <v>599</v>
      </c>
      <c r="G110" s="18">
        <v>5741</v>
      </c>
      <c r="H110" s="18">
        <v>5741</v>
      </c>
      <c r="I110" s="18">
        <v>0</v>
      </c>
    </row>
    <row r="111" spans="1:9">
      <c r="A111" s="78" t="s">
        <v>606</v>
      </c>
      <c r="B111" s="3" t="s">
        <v>109</v>
      </c>
      <c r="C111" s="3" t="s">
        <v>402</v>
      </c>
      <c r="D111" s="2" t="s">
        <v>588</v>
      </c>
      <c r="E111" s="8" t="s">
        <v>593</v>
      </c>
      <c r="F111" s="18" t="s">
        <v>601</v>
      </c>
      <c r="G111" s="23">
        <v>7000</v>
      </c>
      <c r="H111" s="23">
        <v>8743</v>
      </c>
      <c r="I111" s="18">
        <v>1743</v>
      </c>
    </row>
    <row r="112" spans="1:9" hidden="1">
      <c r="A112" s="78" t="s">
        <v>606</v>
      </c>
      <c r="B112" s="3" t="s">
        <v>110</v>
      </c>
      <c r="C112" s="3" t="s">
        <v>403</v>
      </c>
      <c r="D112" s="2" t="s">
        <v>588</v>
      </c>
      <c r="E112" s="3" t="s">
        <v>594</v>
      </c>
      <c r="F112" s="18" t="s">
        <v>601</v>
      </c>
      <c r="G112" s="23">
        <v>7896</v>
      </c>
      <c r="H112" s="23">
        <v>8796</v>
      </c>
      <c r="I112" s="18">
        <v>900</v>
      </c>
    </row>
    <row r="113" spans="1:9" hidden="1">
      <c r="A113" s="78" t="s">
        <v>606</v>
      </c>
      <c r="B113" s="5" t="s">
        <v>111</v>
      </c>
      <c r="C113" s="5" t="s">
        <v>404</v>
      </c>
      <c r="D113" s="2" t="s">
        <v>587</v>
      </c>
      <c r="E113" s="8" t="s">
        <v>594</v>
      </c>
      <c r="F113" s="19" t="s">
        <v>594</v>
      </c>
      <c r="G113" s="18">
        <v>6503</v>
      </c>
      <c r="H113" s="18">
        <v>7805</v>
      </c>
      <c r="I113" s="18">
        <v>1302</v>
      </c>
    </row>
    <row r="114" spans="1:9">
      <c r="A114" s="78" t="s">
        <v>606</v>
      </c>
      <c r="B114" s="2" t="s">
        <v>112</v>
      </c>
      <c r="C114" s="2" t="s">
        <v>405</v>
      </c>
      <c r="D114" s="2" t="s">
        <v>587</v>
      </c>
      <c r="E114" s="8" t="s">
        <v>593</v>
      </c>
      <c r="F114" s="8" t="s">
        <v>599</v>
      </c>
      <c r="G114" s="18">
        <v>5897.64</v>
      </c>
      <c r="H114" s="18">
        <v>5897.64</v>
      </c>
      <c r="I114" s="18">
        <v>0</v>
      </c>
    </row>
    <row r="115" spans="1:9">
      <c r="A115" s="78" t="s">
        <v>606</v>
      </c>
      <c r="B115" s="2" t="s">
        <v>113</v>
      </c>
      <c r="C115" s="2" t="s">
        <v>406</v>
      </c>
      <c r="D115" s="2" t="s">
        <v>588</v>
      </c>
      <c r="E115" s="8" t="s">
        <v>593</v>
      </c>
      <c r="F115" s="8" t="s">
        <v>599</v>
      </c>
      <c r="G115" s="18">
        <v>8100</v>
      </c>
      <c r="H115" s="18">
        <v>9000</v>
      </c>
      <c r="I115" s="18">
        <v>900</v>
      </c>
    </row>
    <row r="116" spans="1:9" hidden="1">
      <c r="A116" s="78" t="s">
        <v>606</v>
      </c>
      <c r="B116" s="2" t="s">
        <v>114</v>
      </c>
      <c r="C116" s="2" t="s">
        <v>407</v>
      </c>
      <c r="D116" s="2" t="s">
        <v>587</v>
      </c>
      <c r="E116" s="2" t="s">
        <v>594</v>
      </c>
      <c r="F116" s="8" t="s">
        <v>599</v>
      </c>
      <c r="G116" s="18">
        <v>7528.4</v>
      </c>
      <c r="H116" s="18">
        <v>8661</v>
      </c>
      <c r="I116" s="18">
        <v>1132.6000000000004</v>
      </c>
    </row>
    <row r="117" spans="1:9" hidden="1">
      <c r="A117" s="78" t="s">
        <v>606</v>
      </c>
      <c r="B117" s="2" t="s">
        <v>115</v>
      </c>
      <c r="C117" s="2" t="s">
        <v>408</v>
      </c>
      <c r="D117" s="2" t="s">
        <v>587</v>
      </c>
      <c r="E117" s="8" t="s">
        <v>595</v>
      </c>
      <c r="F117" s="19" t="s">
        <v>595</v>
      </c>
      <c r="G117" s="18">
        <v>7487</v>
      </c>
      <c r="H117" s="18">
        <v>9158</v>
      </c>
      <c r="I117" s="18">
        <v>1671</v>
      </c>
    </row>
    <row r="118" spans="1:9" hidden="1">
      <c r="A118" s="78" t="s">
        <v>606</v>
      </c>
      <c r="B118" s="2" t="s">
        <v>116</v>
      </c>
      <c r="C118" s="8" t="s">
        <v>409</v>
      </c>
      <c r="D118" s="2" t="s">
        <v>587</v>
      </c>
      <c r="E118" s="8" t="s">
        <v>595</v>
      </c>
      <c r="F118" s="19" t="s">
        <v>595</v>
      </c>
      <c r="G118" s="18">
        <v>9000</v>
      </c>
      <c r="H118" s="18">
        <v>9500</v>
      </c>
      <c r="I118" s="18">
        <v>500</v>
      </c>
    </row>
    <row r="119" spans="1:9" hidden="1">
      <c r="A119" s="78" t="s">
        <v>606</v>
      </c>
      <c r="B119" s="8" t="s">
        <v>117</v>
      </c>
      <c r="C119" s="8" t="s">
        <v>410</v>
      </c>
      <c r="D119" s="2" t="s">
        <v>588</v>
      </c>
      <c r="E119" s="8" t="s">
        <v>595</v>
      </c>
      <c r="F119" s="19" t="s">
        <v>595</v>
      </c>
      <c r="G119" s="18">
        <v>7000</v>
      </c>
      <c r="H119" s="18">
        <v>8000</v>
      </c>
      <c r="I119" s="18">
        <v>1000</v>
      </c>
    </row>
    <row r="120" spans="1:9" hidden="1">
      <c r="A120" s="78" t="s">
        <v>606</v>
      </c>
      <c r="B120" s="9" t="s">
        <v>118</v>
      </c>
      <c r="C120" s="9" t="s">
        <v>411</v>
      </c>
      <c r="D120" s="2" t="s">
        <v>587</v>
      </c>
      <c r="E120" s="8" t="s">
        <v>595</v>
      </c>
      <c r="F120" s="18" t="s">
        <v>601</v>
      </c>
      <c r="G120" s="18">
        <v>5188</v>
      </c>
      <c r="H120" s="18">
        <v>6588</v>
      </c>
      <c r="I120" s="18">
        <v>1400</v>
      </c>
    </row>
    <row r="121" spans="1:9" hidden="1">
      <c r="A121" s="78" t="s">
        <v>606</v>
      </c>
      <c r="B121" s="8" t="s">
        <v>119</v>
      </c>
      <c r="C121" s="8" t="s">
        <v>412</v>
      </c>
      <c r="D121" s="2" t="s">
        <v>586</v>
      </c>
      <c r="E121" s="8" t="s">
        <v>594</v>
      </c>
      <c r="F121" s="8" t="s">
        <v>596</v>
      </c>
      <c r="G121" s="18">
        <v>10000</v>
      </c>
      <c r="H121" s="18">
        <v>10000</v>
      </c>
      <c r="I121" s="18">
        <v>0</v>
      </c>
    </row>
    <row r="122" spans="1:9">
      <c r="A122" s="78" t="s">
        <v>606</v>
      </c>
      <c r="B122" s="2" t="s">
        <v>120</v>
      </c>
      <c r="C122" s="2" t="s">
        <v>413</v>
      </c>
      <c r="D122" s="2" t="s">
        <v>587</v>
      </c>
      <c r="E122" s="8" t="s">
        <v>593</v>
      </c>
      <c r="F122" s="8" t="s">
        <v>593</v>
      </c>
      <c r="G122" s="18">
        <v>8989</v>
      </c>
      <c r="H122" s="18">
        <v>9258</v>
      </c>
      <c r="I122" s="18">
        <v>269</v>
      </c>
    </row>
    <row r="123" spans="1:9" hidden="1">
      <c r="A123" s="78" t="s">
        <v>606</v>
      </c>
      <c r="B123" s="8" t="s">
        <v>121</v>
      </c>
      <c r="C123" s="8" t="s">
        <v>414</v>
      </c>
      <c r="D123" s="2" t="s">
        <v>588</v>
      </c>
      <c r="E123" s="8" t="s">
        <v>594</v>
      </c>
      <c r="F123" s="19" t="s">
        <v>594</v>
      </c>
      <c r="G123" s="21">
        <v>8024</v>
      </c>
      <c r="H123" s="21">
        <v>9825</v>
      </c>
      <c r="I123" s="18">
        <v>1801</v>
      </c>
    </row>
    <row r="124" spans="1:9" hidden="1">
      <c r="A124" s="78" t="s">
        <v>606</v>
      </c>
      <c r="B124" s="5" t="s">
        <v>122</v>
      </c>
      <c r="C124" s="5" t="s">
        <v>415</v>
      </c>
      <c r="D124" s="2" t="s">
        <v>587</v>
      </c>
      <c r="E124" s="8" t="s">
        <v>595</v>
      </c>
      <c r="F124" s="19" t="s">
        <v>595</v>
      </c>
      <c r="G124" s="18">
        <v>6306</v>
      </c>
      <c r="H124" s="18">
        <v>7670</v>
      </c>
      <c r="I124" s="18">
        <v>1364</v>
      </c>
    </row>
    <row r="125" spans="1:9" hidden="1">
      <c r="A125" s="78" t="s">
        <v>606</v>
      </c>
      <c r="B125" s="3" t="s">
        <v>123</v>
      </c>
      <c r="C125" s="3" t="s">
        <v>416</v>
      </c>
      <c r="D125" s="2" t="s">
        <v>588</v>
      </c>
      <c r="E125" s="8" t="s">
        <v>595</v>
      </c>
      <c r="F125" s="18" t="s">
        <v>601</v>
      </c>
      <c r="G125" s="23">
        <v>7900</v>
      </c>
      <c r="H125" s="23">
        <v>9733</v>
      </c>
      <c r="I125" s="18">
        <v>1833</v>
      </c>
    </row>
    <row r="126" spans="1:9">
      <c r="A126" s="78" t="s">
        <v>606</v>
      </c>
      <c r="B126" s="2" t="s">
        <v>124</v>
      </c>
      <c r="C126" s="2" t="s">
        <v>417</v>
      </c>
      <c r="D126" s="2" t="s">
        <v>587</v>
      </c>
      <c r="E126" s="8" t="s">
        <v>593</v>
      </c>
      <c r="F126" s="8" t="s">
        <v>599</v>
      </c>
      <c r="G126" s="18">
        <v>5535</v>
      </c>
      <c r="H126" s="18">
        <v>5935</v>
      </c>
      <c r="I126" s="18">
        <v>400</v>
      </c>
    </row>
    <row r="127" spans="1:9" hidden="1">
      <c r="A127" s="78" t="s">
        <v>606</v>
      </c>
      <c r="B127" s="5" t="s">
        <v>125</v>
      </c>
      <c r="C127" s="5" t="s">
        <v>418</v>
      </c>
      <c r="D127" s="2" t="s">
        <v>586</v>
      </c>
      <c r="E127" s="8" t="s">
        <v>592</v>
      </c>
      <c r="F127" s="8" t="s">
        <v>596</v>
      </c>
      <c r="G127" s="18">
        <v>10000</v>
      </c>
      <c r="H127" s="18">
        <v>10000</v>
      </c>
      <c r="I127" s="18">
        <v>0</v>
      </c>
    </row>
    <row r="128" spans="1:9" hidden="1">
      <c r="A128" s="78" t="s">
        <v>606</v>
      </c>
      <c r="B128" s="8" t="s">
        <v>126</v>
      </c>
      <c r="C128" s="8" t="s">
        <v>419</v>
      </c>
      <c r="D128" s="2" t="s">
        <v>586</v>
      </c>
      <c r="E128" s="8" t="s">
        <v>595</v>
      </c>
      <c r="F128" s="8" t="s">
        <v>596</v>
      </c>
      <c r="G128" s="18">
        <v>10000</v>
      </c>
      <c r="H128" s="18">
        <v>10000</v>
      </c>
      <c r="I128" s="18">
        <v>0</v>
      </c>
    </row>
    <row r="129" spans="1:9" hidden="1">
      <c r="A129" s="78" t="s">
        <v>606</v>
      </c>
      <c r="B129" s="3" t="s">
        <v>127</v>
      </c>
      <c r="C129" s="3" t="s">
        <v>420</v>
      </c>
      <c r="D129" s="2" t="s">
        <v>587</v>
      </c>
      <c r="E129" s="3" t="s">
        <v>594</v>
      </c>
      <c r="F129" s="18" t="s">
        <v>601</v>
      </c>
      <c r="G129" s="23">
        <v>1092</v>
      </c>
      <c r="H129" s="23">
        <v>2592</v>
      </c>
      <c r="I129" s="18">
        <v>1500</v>
      </c>
    </row>
    <row r="130" spans="1:9">
      <c r="A130" s="78" t="s">
        <v>606</v>
      </c>
      <c r="B130" s="2" t="s">
        <v>128</v>
      </c>
      <c r="C130" s="2" t="s">
        <v>421</v>
      </c>
      <c r="D130" s="2" t="s">
        <v>586</v>
      </c>
      <c r="E130" s="8" t="s">
        <v>593</v>
      </c>
      <c r="F130" s="8" t="s">
        <v>593</v>
      </c>
      <c r="G130" s="18">
        <v>10778</v>
      </c>
      <c r="H130" s="18">
        <v>10778</v>
      </c>
      <c r="I130" s="18">
        <v>0</v>
      </c>
    </row>
    <row r="131" spans="1:9" hidden="1">
      <c r="A131" s="78" t="s">
        <v>606</v>
      </c>
      <c r="B131" s="8" t="s">
        <v>129</v>
      </c>
      <c r="C131" s="8" t="s">
        <v>422</v>
      </c>
      <c r="D131" s="2" t="s">
        <v>586</v>
      </c>
      <c r="E131" s="8" t="s">
        <v>594</v>
      </c>
      <c r="F131" s="8" t="s">
        <v>596</v>
      </c>
      <c r="G131" s="18">
        <v>9500</v>
      </c>
      <c r="H131" s="18">
        <v>9800</v>
      </c>
      <c r="I131" s="18">
        <v>300</v>
      </c>
    </row>
    <row r="132" spans="1:9" hidden="1">
      <c r="A132" s="78" t="s">
        <v>606</v>
      </c>
      <c r="B132" s="3" t="s">
        <v>130</v>
      </c>
      <c r="C132" s="3" t="s">
        <v>423</v>
      </c>
      <c r="D132" s="2" t="s">
        <v>587</v>
      </c>
      <c r="E132" s="8" t="s">
        <v>595</v>
      </c>
      <c r="F132" s="18" t="s">
        <v>601</v>
      </c>
      <c r="G132" s="18">
        <v>2396</v>
      </c>
      <c r="H132" s="18">
        <v>4196</v>
      </c>
      <c r="I132" s="18">
        <v>1800</v>
      </c>
    </row>
    <row r="133" spans="1:9" hidden="1">
      <c r="A133" s="78" t="s">
        <v>606</v>
      </c>
      <c r="B133" s="8" t="s">
        <v>131</v>
      </c>
      <c r="C133" s="8" t="s">
        <v>424</v>
      </c>
      <c r="D133" s="2" t="s">
        <v>587</v>
      </c>
      <c r="E133" s="8" t="s">
        <v>594</v>
      </c>
      <c r="F133" s="8" t="s">
        <v>596</v>
      </c>
      <c r="G133" s="18">
        <v>5888</v>
      </c>
      <c r="H133" s="18">
        <v>5888</v>
      </c>
      <c r="I133" s="18">
        <v>0</v>
      </c>
    </row>
    <row r="134" spans="1:9" hidden="1">
      <c r="A134" s="78" t="s">
        <v>606</v>
      </c>
      <c r="B134" s="8" t="s">
        <v>132</v>
      </c>
      <c r="C134" s="8" t="s">
        <v>425</v>
      </c>
      <c r="D134" s="2" t="s">
        <v>588</v>
      </c>
      <c r="E134" s="8" t="s">
        <v>595</v>
      </c>
      <c r="F134" s="8" t="s">
        <v>596</v>
      </c>
      <c r="G134" s="18">
        <v>6500</v>
      </c>
      <c r="H134" s="18">
        <v>8644</v>
      </c>
      <c r="I134" s="18">
        <v>2144</v>
      </c>
    </row>
    <row r="135" spans="1:9" hidden="1">
      <c r="A135" s="78" t="s">
        <v>606</v>
      </c>
      <c r="B135" s="2" t="s">
        <v>133</v>
      </c>
      <c r="C135" s="2" t="s">
        <v>426</v>
      </c>
      <c r="D135" s="2" t="s">
        <v>587</v>
      </c>
      <c r="E135" s="2" t="s">
        <v>594</v>
      </c>
      <c r="F135" s="8" t="s">
        <v>599</v>
      </c>
      <c r="G135" s="18">
        <v>8968</v>
      </c>
      <c r="H135" s="18">
        <v>8968</v>
      </c>
      <c r="I135" s="18">
        <v>0</v>
      </c>
    </row>
    <row r="136" spans="1:9">
      <c r="A136" s="78" t="s">
        <v>606</v>
      </c>
      <c r="B136" s="2" t="s">
        <v>134</v>
      </c>
      <c r="C136" s="2" t="s">
        <v>427</v>
      </c>
      <c r="D136" s="2" t="s">
        <v>587</v>
      </c>
      <c r="E136" s="8" t="s">
        <v>593</v>
      </c>
      <c r="F136" s="8" t="s">
        <v>599</v>
      </c>
      <c r="G136" s="18">
        <v>10000</v>
      </c>
      <c r="H136" s="18">
        <v>10000</v>
      </c>
      <c r="I136" s="18">
        <v>0</v>
      </c>
    </row>
    <row r="137" spans="1:9" hidden="1">
      <c r="A137" s="78" t="s">
        <v>606</v>
      </c>
      <c r="B137" s="8" t="s">
        <v>135</v>
      </c>
      <c r="C137" s="8" t="s">
        <v>428</v>
      </c>
      <c r="D137" s="2" t="s">
        <v>587</v>
      </c>
      <c r="E137" s="8" t="s">
        <v>594</v>
      </c>
      <c r="F137" s="8" t="s">
        <v>599</v>
      </c>
      <c r="G137" s="18">
        <v>5426</v>
      </c>
      <c r="H137" s="18">
        <v>5426</v>
      </c>
      <c r="I137" s="18">
        <v>0</v>
      </c>
    </row>
    <row r="138" spans="1:9" hidden="1">
      <c r="A138" s="78" t="s">
        <v>606</v>
      </c>
      <c r="B138" s="9" t="s">
        <v>136</v>
      </c>
      <c r="C138" s="9" t="s">
        <v>429</v>
      </c>
      <c r="D138" s="2" t="s">
        <v>587</v>
      </c>
      <c r="E138" s="8" t="s">
        <v>595</v>
      </c>
      <c r="F138" s="18" t="s">
        <v>601</v>
      </c>
      <c r="G138" s="18">
        <v>6723.64</v>
      </c>
      <c r="H138" s="18">
        <v>7423</v>
      </c>
      <c r="I138" s="18">
        <v>699.35999999999967</v>
      </c>
    </row>
    <row r="139" spans="1:9" hidden="1">
      <c r="A139" s="78" t="s">
        <v>606</v>
      </c>
      <c r="B139" s="5" t="s">
        <v>137</v>
      </c>
      <c r="C139" s="5" t="s">
        <v>430</v>
      </c>
      <c r="D139" s="2" t="s">
        <v>588</v>
      </c>
      <c r="E139" s="8" t="s">
        <v>595</v>
      </c>
      <c r="F139" s="18" t="s">
        <v>601</v>
      </c>
      <c r="G139" s="18">
        <v>6798</v>
      </c>
      <c r="H139" s="18">
        <v>8198</v>
      </c>
      <c r="I139" s="18">
        <v>1400</v>
      </c>
    </row>
    <row r="140" spans="1:9" hidden="1">
      <c r="A140" s="78" t="s">
        <v>606</v>
      </c>
      <c r="B140" s="6" t="s">
        <v>138</v>
      </c>
      <c r="C140" s="6" t="s">
        <v>431</v>
      </c>
      <c r="D140" s="2" t="s">
        <v>587</v>
      </c>
      <c r="E140" s="8" t="s">
        <v>592</v>
      </c>
      <c r="F140" s="18" t="s">
        <v>601</v>
      </c>
      <c r="G140" s="18">
        <v>5535</v>
      </c>
      <c r="H140" s="18">
        <v>6835</v>
      </c>
      <c r="I140" s="18">
        <v>1300</v>
      </c>
    </row>
    <row r="141" spans="1:9" hidden="1">
      <c r="A141" s="78" t="s">
        <v>606</v>
      </c>
      <c r="B141" s="6" t="s">
        <v>139</v>
      </c>
      <c r="C141" s="6" t="s">
        <v>432</v>
      </c>
      <c r="D141" s="2" t="s">
        <v>587</v>
      </c>
      <c r="E141" s="6" t="s">
        <v>594</v>
      </c>
      <c r="F141" s="18" t="s">
        <v>601</v>
      </c>
      <c r="G141" s="18">
        <v>7080</v>
      </c>
      <c r="H141" s="18">
        <v>7080</v>
      </c>
      <c r="I141" s="18">
        <v>0</v>
      </c>
    </row>
    <row r="142" spans="1:9" hidden="1">
      <c r="A142" s="78" t="s">
        <v>606</v>
      </c>
      <c r="B142" s="8" t="s">
        <v>140</v>
      </c>
      <c r="C142" s="8" t="s">
        <v>433</v>
      </c>
      <c r="D142" s="2" t="s">
        <v>587</v>
      </c>
      <c r="E142" s="8" t="s">
        <v>594</v>
      </c>
      <c r="F142" s="19" t="s">
        <v>594</v>
      </c>
      <c r="G142" s="21">
        <v>9776</v>
      </c>
      <c r="H142" s="18">
        <v>9776</v>
      </c>
      <c r="I142" s="18">
        <v>0</v>
      </c>
    </row>
    <row r="143" spans="1:9" hidden="1">
      <c r="A143" s="78" t="s">
        <v>606</v>
      </c>
      <c r="B143" s="5" t="s">
        <v>141</v>
      </c>
      <c r="C143" s="5" t="s">
        <v>434</v>
      </c>
      <c r="D143" s="2" t="s">
        <v>587</v>
      </c>
      <c r="E143" s="8" t="s">
        <v>592</v>
      </c>
      <c r="F143" s="8" t="s">
        <v>596</v>
      </c>
      <c r="G143" s="20">
        <v>1887.9</v>
      </c>
      <c r="H143" s="20">
        <v>1887.9</v>
      </c>
      <c r="I143" s="18">
        <v>0</v>
      </c>
    </row>
    <row r="144" spans="1:9" hidden="1">
      <c r="A144" s="78" t="s">
        <v>606</v>
      </c>
      <c r="B144" s="8" t="s">
        <v>142</v>
      </c>
      <c r="C144" s="8" t="s">
        <v>435</v>
      </c>
      <c r="D144" s="2" t="s">
        <v>587</v>
      </c>
      <c r="E144" s="8" t="s">
        <v>594</v>
      </c>
      <c r="F144" s="8" t="s">
        <v>596</v>
      </c>
      <c r="G144" s="18">
        <v>1886</v>
      </c>
      <c r="H144" s="18">
        <v>3886</v>
      </c>
      <c r="I144" s="18">
        <v>2000</v>
      </c>
    </row>
    <row r="145" spans="1:9" hidden="1">
      <c r="A145" s="78" t="s">
        <v>606</v>
      </c>
      <c r="B145" s="5" t="s">
        <v>143</v>
      </c>
      <c r="C145" s="5" t="s">
        <v>436</v>
      </c>
      <c r="D145" s="2" t="s">
        <v>587</v>
      </c>
      <c r="E145" s="8" t="s">
        <v>595</v>
      </c>
      <c r="F145" s="18" t="s">
        <v>601</v>
      </c>
      <c r="G145" s="18">
        <v>8493.64</v>
      </c>
      <c r="H145" s="18">
        <v>8493.64</v>
      </c>
      <c r="I145" s="18">
        <v>0</v>
      </c>
    </row>
    <row r="146" spans="1:9" hidden="1">
      <c r="A146" s="78" t="s">
        <v>606</v>
      </c>
      <c r="B146" s="2" t="s">
        <v>144</v>
      </c>
      <c r="C146" s="2" t="s">
        <v>437</v>
      </c>
      <c r="D146" s="2" t="s">
        <v>587</v>
      </c>
      <c r="E146" s="8" t="s">
        <v>595</v>
      </c>
      <c r="F146" s="8" t="s">
        <v>596</v>
      </c>
      <c r="G146" s="20">
        <v>2703</v>
      </c>
      <c r="H146" s="20">
        <v>3903</v>
      </c>
      <c r="I146" s="18">
        <v>1200</v>
      </c>
    </row>
    <row r="147" spans="1:9" hidden="1">
      <c r="A147" s="78" t="s">
        <v>606</v>
      </c>
      <c r="B147" s="8" t="s">
        <v>145</v>
      </c>
      <c r="C147" s="8" t="s">
        <v>438</v>
      </c>
      <c r="D147" s="2" t="s">
        <v>587</v>
      </c>
      <c r="E147" s="8" t="s">
        <v>595</v>
      </c>
      <c r="F147" s="8" t="s">
        <v>596</v>
      </c>
      <c r="G147" s="21">
        <v>19831</v>
      </c>
      <c r="H147" s="21">
        <v>21831</v>
      </c>
      <c r="I147" s="18">
        <v>2000</v>
      </c>
    </row>
    <row r="148" spans="1:9" hidden="1">
      <c r="A148" s="78" t="s">
        <v>606</v>
      </c>
      <c r="B148" s="8" t="s">
        <v>146</v>
      </c>
      <c r="C148" s="8" t="s">
        <v>439</v>
      </c>
      <c r="D148" s="2" t="s">
        <v>586</v>
      </c>
      <c r="E148" s="8" t="s">
        <v>592</v>
      </c>
      <c r="F148" s="18" t="s">
        <v>601</v>
      </c>
      <c r="G148" s="18">
        <v>9280</v>
      </c>
      <c r="H148" s="18">
        <v>9680</v>
      </c>
      <c r="I148" s="18">
        <v>400</v>
      </c>
    </row>
    <row r="149" spans="1:9" hidden="1">
      <c r="A149" s="78" t="s">
        <v>606</v>
      </c>
      <c r="B149" s="8" t="s">
        <v>147</v>
      </c>
      <c r="C149" s="8" t="s">
        <v>440</v>
      </c>
      <c r="D149" s="2" t="s">
        <v>587</v>
      </c>
      <c r="E149" s="8" t="s">
        <v>594</v>
      </c>
      <c r="F149" s="8" t="s">
        <v>599</v>
      </c>
      <c r="G149" s="21">
        <v>7358</v>
      </c>
      <c r="H149" s="21">
        <v>7858</v>
      </c>
      <c r="I149" s="18">
        <v>500</v>
      </c>
    </row>
    <row r="150" spans="1:9" hidden="1">
      <c r="A150" s="78" t="s">
        <v>606</v>
      </c>
      <c r="B150" s="8" t="s">
        <v>148</v>
      </c>
      <c r="C150" s="8" t="s">
        <v>441</v>
      </c>
      <c r="D150" s="2" t="s">
        <v>587</v>
      </c>
      <c r="E150" s="8" t="s">
        <v>594</v>
      </c>
      <c r="F150" s="8" t="s">
        <v>599</v>
      </c>
      <c r="G150" s="21">
        <v>10000</v>
      </c>
      <c r="H150" s="18">
        <v>10000</v>
      </c>
      <c r="I150" s="18">
        <v>0</v>
      </c>
    </row>
    <row r="151" spans="1:9" hidden="1">
      <c r="A151" s="78" t="s">
        <v>606</v>
      </c>
      <c r="B151" s="8" t="s">
        <v>149</v>
      </c>
      <c r="C151" s="8" t="s">
        <v>442</v>
      </c>
      <c r="D151" s="2" t="s">
        <v>587</v>
      </c>
      <c r="E151" s="8" t="s">
        <v>595</v>
      </c>
      <c r="F151" s="19" t="s">
        <v>595</v>
      </c>
      <c r="G151" s="21">
        <v>10000</v>
      </c>
      <c r="H151" s="18">
        <v>10000</v>
      </c>
      <c r="I151" s="18">
        <v>0</v>
      </c>
    </row>
    <row r="152" spans="1:9" hidden="1">
      <c r="A152" s="78" t="s">
        <v>606</v>
      </c>
      <c r="B152" s="9" t="s">
        <v>150</v>
      </c>
      <c r="C152" s="9" t="s">
        <v>443</v>
      </c>
      <c r="D152" s="2" t="s">
        <v>587</v>
      </c>
      <c r="E152" s="8" t="s">
        <v>595</v>
      </c>
      <c r="F152" s="18" t="s">
        <v>601</v>
      </c>
      <c r="G152" s="23">
        <v>2736</v>
      </c>
      <c r="H152" s="23">
        <v>4872</v>
      </c>
      <c r="I152" s="18">
        <v>2136</v>
      </c>
    </row>
    <row r="153" spans="1:9" hidden="1">
      <c r="A153" s="78" t="s">
        <v>606</v>
      </c>
      <c r="B153" s="9" t="s">
        <v>151</v>
      </c>
      <c r="C153" s="9" t="s">
        <v>444</v>
      </c>
      <c r="D153" s="2" t="s">
        <v>587</v>
      </c>
      <c r="E153" s="8" t="s">
        <v>595</v>
      </c>
      <c r="F153" s="18" t="s">
        <v>601</v>
      </c>
      <c r="G153" s="23">
        <v>8697</v>
      </c>
      <c r="H153" s="23">
        <v>10000</v>
      </c>
      <c r="I153" s="18">
        <v>1303</v>
      </c>
    </row>
    <row r="154" spans="1:9" hidden="1">
      <c r="A154" s="78" t="s">
        <v>606</v>
      </c>
      <c r="B154" s="2" t="s">
        <v>152</v>
      </c>
      <c r="C154" s="2" t="s">
        <v>445</v>
      </c>
      <c r="D154" s="2" t="s">
        <v>587</v>
      </c>
      <c r="E154" s="8" t="s">
        <v>595</v>
      </c>
      <c r="F154" s="19" t="s">
        <v>595</v>
      </c>
      <c r="G154" s="23">
        <v>5981</v>
      </c>
      <c r="H154" s="23">
        <v>7870</v>
      </c>
      <c r="I154" s="18">
        <v>1889</v>
      </c>
    </row>
    <row r="155" spans="1:9">
      <c r="A155" s="78" t="s">
        <v>606</v>
      </c>
      <c r="B155" s="8" t="s">
        <v>153</v>
      </c>
      <c r="C155" s="8" t="s">
        <v>446</v>
      </c>
      <c r="D155" s="8" t="s">
        <v>589</v>
      </c>
      <c r="E155" s="8" t="s">
        <v>593</v>
      </c>
      <c r="F155" s="8" t="s">
        <v>596</v>
      </c>
      <c r="G155" s="21">
        <v>17300</v>
      </c>
      <c r="H155" s="21">
        <v>19300</v>
      </c>
      <c r="I155" s="18">
        <v>2000</v>
      </c>
    </row>
    <row r="156" spans="1:9" hidden="1">
      <c r="A156" s="78" t="s">
        <v>606</v>
      </c>
      <c r="B156" s="9" t="s">
        <v>154</v>
      </c>
      <c r="C156" s="9" t="s">
        <v>447</v>
      </c>
      <c r="D156" s="2" t="s">
        <v>587</v>
      </c>
      <c r="E156" s="9" t="s">
        <v>594</v>
      </c>
      <c r="F156" s="18" t="s">
        <v>601</v>
      </c>
      <c r="G156" s="23">
        <v>5140</v>
      </c>
      <c r="H156" s="23">
        <v>6340</v>
      </c>
      <c r="I156" s="18">
        <v>1200</v>
      </c>
    </row>
    <row r="157" spans="1:9" hidden="1">
      <c r="A157" s="78" t="s">
        <v>606</v>
      </c>
      <c r="B157" s="8" t="s">
        <v>155</v>
      </c>
      <c r="C157" s="8" t="s">
        <v>448</v>
      </c>
      <c r="D157" s="2" t="s">
        <v>588</v>
      </c>
      <c r="E157" s="8" t="s">
        <v>595</v>
      </c>
      <c r="F157" s="19" t="s">
        <v>595</v>
      </c>
      <c r="G157" s="21">
        <v>7060</v>
      </c>
      <c r="H157" s="21">
        <v>8360</v>
      </c>
      <c r="I157" s="18">
        <v>1300</v>
      </c>
    </row>
    <row r="158" spans="1:9" hidden="1">
      <c r="A158" s="78" t="s">
        <v>606</v>
      </c>
      <c r="B158" s="8" t="s">
        <v>156</v>
      </c>
      <c r="C158" s="8" t="s">
        <v>449</v>
      </c>
      <c r="D158" s="2" t="s">
        <v>587</v>
      </c>
      <c r="E158" s="8" t="s">
        <v>594</v>
      </c>
      <c r="F158" s="8" t="s">
        <v>596</v>
      </c>
      <c r="G158" s="18">
        <v>2245</v>
      </c>
      <c r="H158" s="18">
        <v>4245</v>
      </c>
      <c r="I158" s="18">
        <v>2000</v>
      </c>
    </row>
    <row r="159" spans="1:9" hidden="1">
      <c r="A159" s="78" t="s">
        <v>606</v>
      </c>
      <c r="B159" s="8" t="s">
        <v>157</v>
      </c>
      <c r="C159" s="8" t="s">
        <v>450</v>
      </c>
      <c r="D159" s="2" t="s">
        <v>587</v>
      </c>
      <c r="E159" s="8" t="s">
        <v>595</v>
      </c>
      <c r="F159" s="8" t="s">
        <v>596</v>
      </c>
      <c r="G159" s="21">
        <v>6582</v>
      </c>
      <c r="H159" s="21">
        <v>7182</v>
      </c>
      <c r="I159" s="18">
        <v>600</v>
      </c>
    </row>
    <row r="160" spans="1:9" hidden="1">
      <c r="A160" s="78" t="s">
        <v>606</v>
      </c>
      <c r="B160" s="5" t="s">
        <v>158</v>
      </c>
      <c r="C160" s="5" t="s">
        <v>451</v>
      </c>
      <c r="D160" s="2" t="s">
        <v>587</v>
      </c>
      <c r="E160" s="8" t="s">
        <v>595</v>
      </c>
      <c r="F160" s="18" t="s">
        <v>601</v>
      </c>
      <c r="G160" s="21">
        <v>5340</v>
      </c>
      <c r="H160" s="21">
        <v>5940</v>
      </c>
      <c r="I160" s="18">
        <v>600</v>
      </c>
    </row>
    <row r="161" spans="1:9">
      <c r="A161" s="78" t="s">
        <v>606</v>
      </c>
      <c r="B161" s="8" t="s">
        <v>159</v>
      </c>
      <c r="C161" s="8" t="s">
        <v>452</v>
      </c>
      <c r="D161" s="2" t="s">
        <v>586</v>
      </c>
      <c r="E161" s="8" t="s">
        <v>593</v>
      </c>
      <c r="F161" s="8" t="s">
        <v>593</v>
      </c>
      <c r="G161" s="21">
        <v>10000</v>
      </c>
      <c r="H161" s="18">
        <v>10000</v>
      </c>
      <c r="I161" s="18">
        <v>0</v>
      </c>
    </row>
    <row r="162" spans="1:9">
      <c r="A162" s="78" t="s">
        <v>606</v>
      </c>
      <c r="B162" s="8" t="s">
        <v>160</v>
      </c>
      <c r="C162" s="8" t="s">
        <v>453</v>
      </c>
      <c r="D162" s="2" t="s">
        <v>586</v>
      </c>
      <c r="E162" s="8" t="s">
        <v>593</v>
      </c>
      <c r="F162" s="8" t="s">
        <v>593</v>
      </c>
      <c r="G162" s="21">
        <v>10000</v>
      </c>
      <c r="H162" s="18">
        <v>10000</v>
      </c>
      <c r="I162" s="18">
        <v>0</v>
      </c>
    </row>
    <row r="163" spans="1:9" hidden="1">
      <c r="A163" s="78" t="s">
        <v>606</v>
      </c>
      <c r="B163" s="8" t="s">
        <v>161</v>
      </c>
      <c r="C163" s="8" t="s">
        <v>454</v>
      </c>
      <c r="D163" s="2" t="s">
        <v>588</v>
      </c>
      <c r="E163" s="8" t="s">
        <v>595</v>
      </c>
      <c r="F163" s="19" t="s">
        <v>595</v>
      </c>
      <c r="G163" s="21">
        <v>8190</v>
      </c>
      <c r="H163" s="21">
        <v>9190</v>
      </c>
      <c r="I163" s="18">
        <v>1000</v>
      </c>
    </row>
    <row r="164" spans="1:9" hidden="1">
      <c r="A164" s="78" t="s">
        <v>606</v>
      </c>
      <c r="B164" s="5" t="s">
        <v>162</v>
      </c>
      <c r="C164" s="5" t="s">
        <v>337</v>
      </c>
      <c r="D164" s="2" t="s">
        <v>587</v>
      </c>
      <c r="E164" s="8" t="s">
        <v>592</v>
      </c>
      <c r="F164" s="18" t="s">
        <v>592</v>
      </c>
      <c r="G164" s="21">
        <v>3000</v>
      </c>
      <c r="H164" s="21">
        <v>3500</v>
      </c>
      <c r="I164" s="18">
        <v>500</v>
      </c>
    </row>
    <row r="165" spans="1:9">
      <c r="A165" s="78" t="s">
        <v>606</v>
      </c>
      <c r="B165" s="8" t="s">
        <v>163</v>
      </c>
      <c r="C165" s="8" t="s">
        <v>455</v>
      </c>
      <c r="D165" s="2" t="s">
        <v>588</v>
      </c>
      <c r="E165" s="8" t="s">
        <v>593</v>
      </c>
      <c r="F165" s="8" t="s">
        <v>593</v>
      </c>
      <c r="G165" s="21">
        <v>8098</v>
      </c>
      <c r="H165" s="21">
        <v>9098</v>
      </c>
      <c r="I165" s="18">
        <v>1000</v>
      </c>
    </row>
    <row r="166" spans="1:9" hidden="1">
      <c r="A166" s="78" t="s">
        <v>606</v>
      </c>
      <c r="B166" s="8" t="s">
        <v>164</v>
      </c>
      <c r="C166" s="8" t="s">
        <v>456</v>
      </c>
      <c r="D166" s="2" t="s">
        <v>587</v>
      </c>
      <c r="E166" s="8" t="s">
        <v>594</v>
      </c>
      <c r="F166" s="19" t="s">
        <v>594</v>
      </c>
      <c r="G166" s="21">
        <v>4720</v>
      </c>
      <c r="H166" s="21">
        <v>5120</v>
      </c>
      <c r="I166" s="18">
        <v>400</v>
      </c>
    </row>
    <row r="167" spans="1:9" hidden="1">
      <c r="A167" s="78" t="s">
        <v>606</v>
      </c>
      <c r="B167" s="5" t="s">
        <v>165</v>
      </c>
      <c r="C167" s="5" t="s">
        <v>457</v>
      </c>
      <c r="D167" s="2" t="s">
        <v>587</v>
      </c>
      <c r="E167" s="8" t="s">
        <v>592</v>
      </c>
      <c r="F167" s="18" t="s">
        <v>592</v>
      </c>
      <c r="G167" s="21">
        <v>7077</v>
      </c>
      <c r="H167" s="21">
        <v>7577</v>
      </c>
      <c r="I167" s="18">
        <v>500</v>
      </c>
    </row>
    <row r="168" spans="1:9">
      <c r="A168" s="78" t="s">
        <v>606</v>
      </c>
      <c r="B168" s="8" t="s">
        <v>166</v>
      </c>
      <c r="C168" s="8" t="s">
        <v>458</v>
      </c>
      <c r="D168" s="2" t="s">
        <v>588</v>
      </c>
      <c r="E168" s="8" t="s">
        <v>593</v>
      </c>
      <c r="F168" s="8" t="s">
        <v>593</v>
      </c>
      <c r="G168" s="21">
        <v>8000</v>
      </c>
      <c r="H168" s="21">
        <v>9000</v>
      </c>
      <c r="I168" s="18">
        <v>1000</v>
      </c>
    </row>
    <row r="169" spans="1:9">
      <c r="A169" s="78" t="s">
        <v>606</v>
      </c>
      <c r="B169" s="8" t="s">
        <v>167</v>
      </c>
      <c r="C169" s="8" t="s">
        <v>459</v>
      </c>
      <c r="D169" s="2" t="s">
        <v>587</v>
      </c>
      <c r="E169" s="8" t="s">
        <v>593</v>
      </c>
      <c r="F169" s="8" t="s">
        <v>599</v>
      </c>
      <c r="G169" s="21">
        <v>10679</v>
      </c>
      <c r="H169" s="21">
        <v>17679</v>
      </c>
      <c r="I169" s="18">
        <v>7000</v>
      </c>
    </row>
    <row r="170" spans="1:9" hidden="1">
      <c r="A170" s="78" t="s">
        <v>606</v>
      </c>
      <c r="B170" s="8" t="s">
        <v>168</v>
      </c>
      <c r="C170" s="8" t="s">
        <v>460</v>
      </c>
      <c r="D170" s="2" t="s">
        <v>587</v>
      </c>
      <c r="E170" s="8" t="s">
        <v>594</v>
      </c>
      <c r="F170" s="8" t="s">
        <v>599</v>
      </c>
      <c r="G170" s="21">
        <v>6134</v>
      </c>
      <c r="H170" s="21">
        <v>8134</v>
      </c>
      <c r="I170" s="18">
        <v>2000</v>
      </c>
    </row>
    <row r="171" spans="1:9">
      <c r="A171" s="78" t="s">
        <v>606</v>
      </c>
      <c r="B171" s="8" t="s">
        <v>169</v>
      </c>
      <c r="C171" s="8" t="s">
        <v>461</v>
      </c>
      <c r="D171" s="2" t="s">
        <v>587</v>
      </c>
      <c r="E171" s="8" t="s">
        <v>593</v>
      </c>
      <c r="F171" s="8" t="s">
        <v>599</v>
      </c>
      <c r="G171" s="21">
        <v>1518</v>
      </c>
      <c r="H171" s="21">
        <v>2524</v>
      </c>
      <c r="I171" s="18">
        <v>1006</v>
      </c>
    </row>
    <row r="172" spans="1:9" hidden="1">
      <c r="A172" s="78" t="s">
        <v>606</v>
      </c>
      <c r="B172" s="8" t="s">
        <v>170</v>
      </c>
      <c r="C172" s="5" t="s">
        <v>462</v>
      </c>
      <c r="D172" s="2" t="s">
        <v>588</v>
      </c>
      <c r="E172" s="8" t="s">
        <v>594</v>
      </c>
      <c r="F172" s="19" t="s">
        <v>594</v>
      </c>
      <c r="G172" s="21">
        <v>8099</v>
      </c>
      <c r="H172" s="21">
        <v>9099</v>
      </c>
      <c r="I172" s="18">
        <v>1000</v>
      </c>
    </row>
    <row r="173" spans="1:9" hidden="1">
      <c r="A173" s="78" t="s">
        <v>606</v>
      </c>
      <c r="B173" s="6" t="s">
        <v>171</v>
      </c>
      <c r="C173" s="6" t="s">
        <v>463</v>
      </c>
      <c r="D173" s="2" t="s">
        <v>586</v>
      </c>
      <c r="E173" s="8" t="s">
        <v>592</v>
      </c>
      <c r="F173" s="18" t="s">
        <v>601</v>
      </c>
      <c r="G173" s="21">
        <v>10000</v>
      </c>
      <c r="H173" s="18">
        <v>10000</v>
      </c>
      <c r="I173" s="18">
        <v>0</v>
      </c>
    </row>
    <row r="174" spans="1:9" hidden="1">
      <c r="A174" s="78" t="s">
        <v>606</v>
      </c>
      <c r="B174" s="8" t="s">
        <v>172</v>
      </c>
      <c r="C174" s="5" t="s">
        <v>464</v>
      </c>
      <c r="D174" s="2" t="s">
        <v>587</v>
      </c>
      <c r="E174" s="8" t="s">
        <v>592</v>
      </c>
      <c r="F174" s="18" t="s">
        <v>592</v>
      </c>
      <c r="G174" s="21">
        <v>9436</v>
      </c>
      <c r="H174" s="21">
        <v>9436</v>
      </c>
      <c r="I174" s="18">
        <v>0</v>
      </c>
    </row>
    <row r="175" spans="1:9" hidden="1">
      <c r="A175" s="78" t="s">
        <v>606</v>
      </c>
      <c r="B175" s="8" t="s">
        <v>173</v>
      </c>
      <c r="C175" s="8" t="s">
        <v>465</v>
      </c>
      <c r="D175" s="2" t="s">
        <v>588</v>
      </c>
      <c r="E175" s="8" t="s">
        <v>594</v>
      </c>
      <c r="F175" s="19" t="s">
        <v>594</v>
      </c>
      <c r="G175" s="21">
        <v>6163</v>
      </c>
      <c r="H175" s="21">
        <v>9163</v>
      </c>
      <c r="I175" s="18">
        <v>3000</v>
      </c>
    </row>
    <row r="176" spans="1:9" hidden="1">
      <c r="A176" s="78" t="s">
        <v>606</v>
      </c>
      <c r="B176" s="8" t="s">
        <v>174</v>
      </c>
      <c r="C176" s="8" t="s">
        <v>466</v>
      </c>
      <c r="D176" s="2" t="s">
        <v>588</v>
      </c>
      <c r="E176" s="8" t="s">
        <v>595</v>
      </c>
      <c r="F176" s="19" t="s">
        <v>595</v>
      </c>
      <c r="G176" s="21">
        <v>15974</v>
      </c>
      <c r="H176" s="21">
        <v>21974</v>
      </c>
      <c r="I176" s="18">
        <v>6000</v>
      </c>
    </row>
    <row r="177" spans="1:9" hidden="1">
      <c r="A177" s="78" t="s">
        <v>606</v>
      </c>
      <c r="B177" s="8" t="s">
        <v>175</v>
      </c>
      <c r="C177" s="8" t="s">
        <v>467</v>
      </c>
      <c r="D177" s="2" t="s">
        <v>587</v>
      </c>
      <c r="E177" s="8" t="s">
        <v>595</v>
      </c>
      <c r="F177" s="19" t="s">
        <v>595</v>
      </c>
      <c r="G177" s="21">
        <v>6364</v>
      </c>
      <c r="H177" s="21">
        <v>10000</v>
      </c>
      <c r="I177" s="18">
        <v>3636</v>
      </c>
    </row>
    <row r="178" spans="1:9">
      <c r="A178" s="78" t="s">
        <v>606</v>
      </c>
      <c r="B178" s="6" t="s">
        <v>176</v>
      </c>
      <c r="C178" s="6" t="s">
        <v>468</v>
      </c>
      <c r="D178" s="2" t="s">
        <v>587</v>
      </c>
      <c r="E178" s="8" t="s">
        <v>593</v>
      </c>
      <c r="F178" s="18" t="s">
        <v>601</v>
      </c>
      <c r="G178" s="21">
        <v>6773</v>
      </c>
      <c r="H178" s="21">
        <v>9442</v>
      </c>
      <c r="I178" s="18">
        <v>2669</v>
      </c>
    </row>
    <row r="179" spans="1:9" ht="30" hidden="1">
      <c r="A179" s="78" t="s">
        <v>606</v>
      </c>
      <c r="B179" s="8" t="s">
        <v>177</v>
      </c>
      <c r="C179" s="8" t="s">
        <v>469</v>
      </c>
      <c r="D179" s="2" t="s">
        <v>586</v>
      </c>
      <c r="E179" s="8" t="s">
        <v>592</v>
      </c>
      <c r="F179" s="18" t="s">
        <v>592</v>
      </c>
      <c r="G179" s="21">
        <v>7380</v>
      </c>
      <c r="H179" s="21">
        <v>9870</v>
      </c>
      <c r="I179" s="18">
        <v>2490</v>
      </c>
    </row>
    <row r="180" spans="1:9">
      <c r="A180" s="78" t="s">
        <v>606</v>
      </c>
      <c r="B180" s="8" t="s">
        <v>178</v>
      </c>
      <c r="C180" s="8" t="s">
        <v>470</v>
      </c>
      <c r="D180" s="2" t="s">
        <v>588</v>
      </c>
      <c r="E180" s="8" t="s">
        <v>593</v>
      </c>
      <c r="F180" s="8" t="s">
        <v>593</v>
      </c>
      <c r="G180" s="21">
        <v>9740</v>
      </c>
      <c r="H180" s="21">
        <v>9740</v>
      </c>
      <c r="I180" s="18">
        <v>0</v>
      </c>
    </row>
    <row r="181" spans="1:9">
      <c r="A181" s="78" t="s">
        <v>606</v>
      </c>
      <c r="B181" s="8" t="s">
        <v>179</v>
      </c>
      <c r="C181" s="8" t="s">
        <v>471</v>
      </c>
      <c r="D181" s="2" t="s">
        <v>587</v>
      </c>
      <c r="E181" s="8" t="s">
        <v>593</v>
      </c>
      <c r="F181" s="8" t="s">
        <v>593</v>
      </c>
      <c r="G181" s="21">
        <v>3847</v>
      </c>
      <c r="H181" s="21">
        <v>7147</v>
      </c>
      <c r="I181" s="18">
        <v>3300</v>
      </c>
    </row>
    <row r="182" spans="1:9" hidden="1">
      <c r="A182" s="78" t="s">
        <v>606</v>
      </c>
      <c r="B182" s="5" t="s">
        <v>180</v>
      </c>
      <c r="C182" s="5" t="s">
        <v>472</v>
      </c>
      <c r="D182" s="2" t="s">
        <v>586</v>
      </c>
      <c r="E182" s="8" t="s">
        <v>592</v>
      </c>
      <c r="F182" s="18" t="s">
        <v>601</v>
      </c>
      <c r="G182" s="21">
        <v>6450</v>
      </c>
      <c r="H182" s="21">
        <v>9125</v>
      </c>
      <c r="I182" s="18">
        <v>2675</v>
      </c>
    </row>
    <row r="183" spans="1:9" hidden="1">
      <c r="A183" s="78" t="s">
        <v>606</v>
      </c>
      <c r="B183" s="5" t="s">
        <v>181</v>
      </c>
      <c r="C183" s="5" t="s">
        <v>473</v>
      </c>
      <c r="D183" s="2" t="s">
        <v>587</v>
      </c>
      <c r="E183" s="8" t="s">
        <v>592</v>
      </c>
      <c r="F183" s="18" t="s">
        <v>601</v>
      </c>
      <c r="G183" s="21">
        <v>5898</v>
      </c>
      <c r="H183" s="21">
        <v>5898</v>
      </c>
      <c r="I183" s="18">
        <v>0</v>
      </c>
    </row>
    <row r="184" spans="1:9" hidden="1">
      <c r="A184" s="78" t="s">
        <v>606</v>
      </c>
      <c r="B184" s="8" t="s">
        <v>182</v>
      </c>
      <c r="C184" s="8" t="s">
        <v>474</v>
      </c>
      <c r="D184" s="2" t="s">
        <v>586</v>
      </c>
      <c r="E184" s="8" t="s">
        <v>595</v>
      </c>
      <c r="F184" s="8" t="s">
        <v>596</v>
      </c>
      <c r="G184" s="21">
        <v>19000</v>
      </c>
      <c r="H184" s="21">
        <v>22000</v>
      </c>
      <c r="I184" s="18">
        <v>3000</v>
      </c>
    </row>
    <row r="185" spans="1:9" hidden="1">
      <c r="A185" s="78" t="s">
        <v>606</v>
      </c>
      <c r="B185" s="6" t="s">
        <v>183</v>
      </c>
      <c r="C185" s="6" t="s">
        <v>475</v>
      </c>
      <c r="D185" s="2" t="s">
        <v>588</v>
      </c>
      <c r="E185" s="6" t="s">
        <v>594</v>
      </c>
      <c r="F185" s="18" t="s">
        <v>601</v>
      </c>
      <c r="G185" s="21">
        <v>8339</v>
      </c>
      <c r="H185" s="21">
        <v>9129</v>
      </c>
      <c r="I185" s="18">
        <v>790</v>
      </c>
    </row>
    <row r="186" spans="1:9">
      <c r="A186" s="78" t="s">
        <v>606</v>
      </c>
      <c r="B186" s="8" t="s">
        <v>184</v>
      </c>
      <c r="C186" s="8" t="s">
        <v>476</v>
      </c>
      <c r="D186" s="2" t="s">
        <v>587</v>
      </c>
      <c r="E186" s="8" t="s">
        <v>593</v>
      </c>
      <c r="F186" s="8" t="s">
        <v>599</v>
      </c>
      <c r="G186" s="21">
        <v>19057</v>
      </c>
      <c r="H186" s="21">
        <v>21457</v>
      </c>
      <c r="I186" s="18">
        <v>2400</v>
      </c>
    </row>
    <row r="187" spans="1:9">
      <c r="A187" s="78" t="s">
        <v>606</v>
      </c>
      <c r="B187" s="8" t="s">
        <v>185</v>
      </c>
      <c r="C187" s="8" t="s">
        <v>477</v>
      </c>
      <c r="D187" s="2" t="s">
        <v>586</v>
      </c>
      <c r="E187" s="8" t="s">
        <v>593</v>
      </c>
      <c r="F187" s="8" t="s">
        <v>593</v>
      </c>
      <c r="G187" s="21">
        <v>7600</v>
      </c>
      <c r="H187" s="21">
        <v>8500</v>
      </c>
      <c r="I187" s="18">
        <v>900</v>
      </c>
    </row>
    <row r="188" spans="1:9" hidden="1">
      <c r="A188" s="78" t="s">
        <v>606</v>
      </c>
      <c r="B188" s="4" t="s">
        <v>186</v>
      </c>
      <c r="C188" s="4" t="s">
        <v>478</v>
      </c>
      <c r="D188" s="2" t="s">
        <v>587</v>
      </c>
      <c r="E188" s="8" t="s">
        <v>595</v>
      </c>
      <c r="F188" s="18" t="s">
        <v>601</v>
      </c>
      <c r="G188" s="21">
        <v>4481.6400000000003</v>
      </c>
      <c r="H188" s="21">
        <v>4981</v>
      </c>
      <c r="I188" s="18">
        <v>499.35999999999967</v>
      </c>
    </row>
    <row r="189" spans="1:9">
      <c r="A189" s="78" t="s">
        <v>606</v>
      </c>
      <c r="B189" s="8" t="s">
        <v>187</v>
      </c>
      <c r="C189" s="8" t="s">
        <v>479</v>
      </c>
      <c r="D189" s="2" t="s">
        <v>586</v>
      </c>
      <c r="E189" s="8" t="s">
        <v>593</v>
      </c>
      <c r="F189" s="8" t="s">
        <v>593</v>
      </c>
      <c r="G189" s="21">
        <v>8000</v>
      </c>
      <c r="H189" s="21">
        <v>8955</v>
      </c>
      <c r="I189" s="18">
        <v>955</v>
      </c>
    </row>
    <row r="190" spans="1:9">
      <c r="A190" s="78" t="s">
        <v>606</v>
      </c>
      <c r="B190" s="2" t="s">
        <v>188</v>
      </c>
      <c r="C190" s="2" t="s">
        <v>480</v>
      </c>
      <c r="D190" s="2" t="s">
        <v>587</v>
      </c>
      <c r="E190" s="8" t="s">
        <v>593</v>
      </c>
      <c r="F190" s="8" t="s">
        <v>599</v>
      </c>
      <c r="G190" s="21">
        <v>8127</v>
      </c>
      <c r="H190" s="21">
        <v>8727</v>
      </c>
      <c r="I190" s="18">
        <v>600</v>
      </c>
    </row>
    <row r="191" spans="1:9" hidden="1">
      <c r="A191" s="78" t="s">
        <v>606</v>
      </c>
      <c r="B191" s="5" t="s">
        <v>189</v>
      </c>
      <c r="C191" s="5" t="s">
        <v>481</v>
      </c>
      <c r="D191" s="2" t="s">
        <v>587</v>
      </c>
      <c r="E191" s="8" t="s">
        <v>592</v>
      </c>
      <c r="F191" s="8" t="s">
        <v>599</v>
      </c>
      <c r="G191" s="21">
        <v>10000</v>
      </c>
      <c r="H191" s="18">
        <v>10000</v>
      </c>
      <c r="I191" s="18">
        <v>0</v>
      </c>
    </row>
    <row r="192" spans="1:9" hidden="1">
      <c r="A192" s="78" t="s">
        <v>606</v>
      </c>
      <c r="B192" s="8" t="s">
        <v>190</v>
      </c>
      <c r="C192" s="8" t="s">
        <v>482</v>
      </c>
      <c r="D192" s="2" t="s">
        <v>587</v>
      </c>
      <c r="E192" s="8" t="s">
        <v>594</v>
      </c>
      <c r="F192" s="8" t="s">
        <v>599</v>
      </c>
      <c r="G192" s="21">
        <v>6441</v>
      </c>
      <c r="H192" s="21">
        <v>6841</v>
      </c>
      <c r="I192" s="18">
        <v>400</v>
      </c>
    </row>
    <row r="193" spans="1:9">
      <c r="A193" s="78" t="s">
        <v>606</v>
      </c>
      <c r="B193" s="8" t="s">
        <v>191</v>
      </c>
      <c r="C193" s="8" t="s">
        <v>483</v>
      </c>
      <c r="D193" s="2" t="s">
        <v>587</v>
      </c>
      <c r="E193" s="8" t="s">
        <v>593</v>
      </c>
      <c r="F193" s="8" t="s">
        <v>599</v>
      </c>
      <c r="G193" s="21">
        <v>6596.2</v>
      </c>
      <c r="H193" s="21">
        <v>6596.2</v>
      </c>
      <c r="I193" s="18">
        <v>0</v>
      </c>
    </row>
    <row r="194" spans="1:9">
      <c r="A194" s="78" t="s">
        <v>606</v>
      </c>
      <c r="B194" s="8" t="s">
        <v>192</v>
      </c>
      <c r="C194" s="8" t="s">
        <v>484</v>
      </c>
      <c r="D194" s="2" t="s">
        <v>587</v>
      </c>
      <c r="E194" s="8" t="s">
        <v>593</v>
      </c>
      <c r="F194" s="8" t="s">
        <v>599</v>
      </c>
      <c r="G194" s="21">
        <v>5843</v>
      </c>
      <c r="H194" s="21">
        <v>5843</v>
      </c>
      <c r="I194" s="18">
        <v>0</v>
      </c>
    </row>
    <row r="195" spans="1:9" hidden="1">
      <c r="A195" s="78" t="s">
        <v>606</v>
      </c>
      <c r="B195" s="8" t="s">
        <v>193</v>
      </c>
      <c r="C195" s="8" t="s">
        <v>485</v>
      </c>
      <c r="D195" s="2" t="s">
        <v>587</v>
      </c>
      <c r="E195" s="8" t="s">
        <v>594</v>
      </c>
      <c r="F195" s="8" t="s">
        <v>596</v>
      </c>
      <c r="G195" s="21">
        <v>3643</v>
      </c>
      <c r="H195" s="21">
        <v>4743</v>
      </c>
      <c r="I195" s="18">
        <v>1100</v>
      </c>
    </row>
    <row r="196" spans="1:9" hidden="1">
      <c r="A196" s="78" t="s">
        <v>606</v>
      </c>
      <c r="B196" s="8" t="s">
        <v>194</v>
      </c>
      <c r="C196" s="8" t="s">
        <v>486</v>
      </c>
      <c r="D196" s="2" t="s">
        <v>587</v>
      </c>
      <c r="E196" s="8" t="s">
        <v>595</v>
      </c>
      <c r="F196" s="19" t="s">
        <v>595</v>
      </c>
      <c r="G196" s="21">
        <v>13098</v>
      </c>
      <c r="H196" s="21">
        <v>18098</v>
      </c>
      <c r="I196" s="18">
        <v>5000</v>
      </c>
    </row>
    <row r="197" spans="1:9">
      <c r="A197" s="78" t="s">
        <v>606</v>
      </c>
      <c r="B197" s="8" t="s">
        <v>195</v>
      </c>
      <c r="C197" s="8" t="s">
        <v>487</v>
      </c>
      <c r="D197" s="2" t="s">
        <v>586</v>
      </c>
      <c r="E197" s="8" t="s">
        <v>593</v>
      </c>
      <c r="F197" s="8" t="s">
        <v>593</v>
      </c>
      <c r="G197" s="21">
        <v>9870</v>
      </c>
      <c r="H197" s="21">
        <v>9870</v>
      </c>
      <c r="I197" s="18">
        <v>0</v>
      </c>
    </row>
    <row r="198" spans="1:9">
      <c r="A198" s="78" t="s">
        <v>606</v>
      </c>
      <c r="B198" s="8" t="s">
        <v>196</v>
      </c>
      <c r="C198" s="8" t="s">
        <v>488</v>
      </c>
      <c r="D198" s="2" t="s">
        <v>587</v>
      </c>
      <c r="E198" s="8" t="s">
        <v>593</v>
      </c>
      <c r="F198" s="8" t="s">
        <v>599</v>
      </c>
      <c r="G198" s="21">
        <v>7928</v>
      </c>
      <c r="H198" s="21">
        <v>7928</v>
      </c>
      <c r="I198" s="18">
        <v>0</v>
      </c>
    </row>
    <row r="199" spans="1:9">
      <c r="A199" s="78" t="s">
        <v>606</v>
      </c>
      <c r="B199" s="8" t="s">
        <v>197</v>
      </c>
      <c r="C199" s="8" t="s">
        <v>489</v>
      </c>
      <c r="D199" s="2" t="s">
        <v>587</v>
      </c>
      <c r="E199" s="8" t="s">
        <v>593</v>
      </c>
      <c r="F199" s="8" t="s">
        <v>599</v>
      </c>
      <c r="G199" s="18">
        <v>5540</v>
      </c>
      <c r="H199" s="18">
        <v>8540</v>
      </c>
      <c r="I199" s="18">
        <v>3000</v>
      </c>
    </row>
    <row r="200" spans="1:9" hidden="1">
      <c r="A200" s="78" t="s">
        <v>606</v>
      </c>
      <c r="B200" s="5" t="s">
        <v>198</v>
      </c>
      <c r="C200" s="5" t="s">
        <v>490</v>
      </c>
      <c r="D200" s="2" t="s">
        <v>587</v>
      </c>
      <c r="E200" s="8" t="s">
        <v>595</v>
      </c>
      <c r="F200" s="18" t="s">
        <v>601</v>
      </c>
      <c r="G200" s="21">
        <v>2236</v>
      </c>
      <c r="H200" s="21">
        <v>4122</v>
      </c>
      <c r="I200" s="18">
        <v>1886</v>
      </c>
    </row>
    <row r="201" spans="1:9" hidden="1">
      <c r="A201" s="78" t="s">
        <v>606</v>
      </c>
      <c r="B201" s="5" t="s">
        <v>199</v>
      </c>
      <c r="C201" s="5" t="s">
        <v>491</v>
      </c>
      <c r="D201" s="2" t="s">
        <v>587</v>
      </c>
      <c r="E201" s="5" t="s">
        <v>594</v>
      </c>
      <c r="F201" s="18" t="s">
        <v>601</v>
      </c>
      <c r="G201" s="21">
        <v>7897</v>
      </c>
      <c r="H201" s="21">
        <v>9197</v>
      </c>
      <c r="I201" s="18">
        <v>1300</v>
      </c>
    </row>
    <row r="202" spans="1:9" hidden="1">
      <c r="A202" s="78" t="s">
        <v>606</v>
      </c>
      <c r="B202" s="8" t="s">
        <v>200</v>
      </c>
      <c r="C202" s="8" t="s">
        <v>492</v>
      </c>
      <c r="D202" s="2" t="s">
        <v>587</v>
      </c>
      <c r="E202" s="8" t="s">
        <v>594</v>
      </c>
      <c r="F202" s="19" t="s">
        <v>594</v>
      </c>
      <c r="G202" s="21">
        <v>10000</v>
      </c>
      <c r="H202" s="18">
        <v>10000</v>
      </c>
      <c r="I202" s="18">
        <v>0</v>
      </c>
    </row>
    <row r="203" spans="1:9">
      <c r="A203" s="78" t="s">
        <v>606</v>
      </c>
      <c r="B203" s="8" t="s">
        <v>201</v>
      </c>
      <c r="C203" s="8" t="s">
        <v>493</v>
      </c>
      <c r="D203" s="2" t="s">
        <v>587</v>
      </c>
      <c r="E203" s="8" t="s">
        <v>593</v>
      </c>
      <c r="F203" s="8" t="s">
        <v>593</v>
      </c>
      <c r="G203" s="21">
        <v>5994</v>
      </c>
      <c r="H203" s="21">
        <v>6994</v>
      </c>
      <c r="I203" s="18">
        <v>1000</v>
      </c>
    </row>
    <row r="204" spans="1:9" hidden="1">
      <c r="A204" s="78" t="s">
        <v>606</v>
      </c>
      <c r="B204" s="5" t="s">
        <v>202</v>
      </c>
      <c r="C204" s="5" t="s">
        <v>494</v>
      </c>
      <c r="D204" s="2" t="s">
        <v>587</v>
      </c>
      <c r="E204" s="8" t="s">
        <v>592</v>
      </c>
      <c r="F204" s="18" t="s">
        <v>592</v>
      </c>
      <c r="G204" s="21">
        <v>4010</v>
      </c>
      <c r="H204" s="21">
        <v>5410</v>
      </c>
      <c r="I204" s="18">
        <v>1400</v>
      </c>
    </row>
    <row r="205" spans="1:9" hidden="1">
      <c r="A205" s="78" t="s">
        <v>606</v>
      </c>
      <c r="B205" s="8" t="s">
        <v>203</v>
      </c>
      <c r="C205" s="6" t="s">
        <v>495</v>
      </c>
      <c r="D205" s="2" t="s">
        <v>587</v>
      </c>
      <c r="E205" s="8" t="s">
        <v>594</v>
      </c>
      <c r="F205" s="19" t="s">
        <v>594</v>
      </c>
      <c r="G205" s="21">
        <v>8000</v>
      </c>
      <c r="H205" s="21">
        <v>9000</v>
      </c>
      <c r="I205" s="18">
        <v>1000</v>
      </c>
    </row>
    <row r="206" spans="1:9" hidden="1">
      <c r="A206" s="78" t="s">
        <v>606</v>
      </c>
      <c r="B206" s="5" t="s">
        <v>204</v>
      </c>
      <c r="C206" s="5" t="s">
        <v>496</v>
      </c>
      <c r="D206" s="2" t="s">
        <v>586</v>
      </c>
      <c r="E206" s="8" t="s">
        <v>592</v>
      </c>
      <c r="F206" s="18" t="s">
        <v>592</v>
      </c>
      <c r="G206" s="21">
        <v>21200</v>
      </c>
      <c r="H206" s="21">
        <v>21200</v>
      </c>
      <c r="I206" s="18">
        <v>0</v>
      </c>
    </row>
    <row r="207" spans="1:9" hidden="1">
      <c r="A207" s="78" t="s">
        <v>606</v>
      </c>
      <c r="B207" s="5" t="s">
        <v>205</v>
      </c>
      <c r="C207" s="5" t="s">
        <v>497</v>
      </c>
      <c r="D207" s="2" t="s">
        <v>588</v>
      </c>
      <c r="E207" s="8" t="s">
        <v>592</v>
      </c>
      <c r="F207" s="8" t="s">
        <v>596</v>
      </c>
      <c r="G207" s="18">
        <v>4725</v>
      </c>
      <c r="H207" s="18">
        <v>6925</v>
      </c>
      <c r="I207" s="18">
        <v>2200</v>
      </c>
    </row>
    <row r="208" spans="1:9" hidden="1">
      <c r="A208" s="78" t="s">
        <v>606</v>
      </c>
      <c r="B208" s="8" t="s">
        <v>206</v>
      </c>
      <c r="C208" s="8" t="s">
        <v>498</v>
      </c>
      <c r="D208" s="2" t="s">
        <v>587</v>
      </c>
      <c r="E208" s="8" t="s">
        <v>595</v>
      </c>
      <c r="F208" s="19" t="s">
        <v>595</v>
      </c>
      <c r="G208" s="21">
        <v>4832</v>
      </c>
      <c r="H208" s="21">
        <v>6132</v>
      </c>
      <c r="I208" s="18">
        <v>1300</v>
      </c>
    </row>
    <row r="209" spans="1:9" hidden="1">
      <c r="A209" s="78" t="s">
        <v>606</v>
      </c>
      <c r="B209" s="5" t="s">
        <v>207</v>
      </c>
      <c r="C209" s="5" t="s">
        <v>499</v>
      </c>
      <c r="D209" s="2" t="s">
        <v>587</v>
      </c>
      <c r="E209" s="8" t="s">
        <v>595</v>
      </c>
      <c r="F209" s="18" t="s">
        <v>601</v>
      </c>
      <c r="G209" s="21">
        <v>12852</v>
      </c>
      <c r="H209" s="18">
        <v>12852</v>
      </c>
      <c r="I209" s="18">
        <v>0</v>
      </c>
    </row>
    <row r="210" spans="1:9">
      <c r="A210" s="78" t="s">
        <v>606</v>
      </c>
      <c r="B210" s="8" t="s">
        <v>208</v>
      </c>
      <c r="C210" s="8" t="s">
        <v>500</v>
      </c>
      <c r="D210" s="2" t="s">
        <v>587</v>
      </c>
      <c r="E210" s="8" t="s">
        <v>593</v>
      </c>
      <c r="F210" s="8" t="s">
        <v>599</v>
      </c>
      <c r="G210" s="21">
        <v>8846</v>
      </c>
      <c r="H210" s="21">
        <v>8846</v>
      </c>
      <c r="I210" s="18">
        <v>0</v>
      </c>
    </row>
    <row r="211" spans="1:9" hidden="1">
      <c r="A211" s="78" t="s">
        <v>606</v>
      </c>
      <c r="B211" s="8" t="s">
        <v>209</v>
      </c>
      <c r="C211" s="8" t="s">
        <v>501</v>
      </c>
      <c r="D211" s="2" t="s">
        <v>587</v>
      </c>
      <c r="E211" s="8" t="s">
        <v>595</v>
      </c>
      <c r="F211" s="19" t="s">
        <v>595</v>
      </c>
      <c r="G211" s="21">
        <v>3934.12</v>
      </c>
      <c r="H211" s="21">
        <v>4434</v>
      </c>
      <c r="I211" s="18">
        <v>499.88000000000011</v>
      </c>
    </row>
    <row r="212" spans="1:9">
      <c r="A212" s="78" t="s">
        <v>606</v>
      </c>
      <c r="B212" s="5" t="s">
        <v>210</v>
      </c>
      <c r="C212" s="5" t="s">
        <v>502</v>
      </c>
      <c r="D212" s="2" t="s">
        <v>586</v>
      </c>
      <c r="E212" s="8" t="s">
        <v>593</v>
      </c>
      <c r="F212" s="18" t="s">
        <v>601</v>
      </c>
      <c r="G212" s="21">
        <v>9600</v>
      </c>
      <c r="H212" s="21">
        <v>9600</v>
      </c>
      <c r="I212" s="18">
        <v>0</v>
      </c>
    </row>
    <row r="213" spans="1:9" hidden="1">
      <c r="A213" s="78" t="s">
        <v>606</v>
      </c>
      <c r="B213" s="8" t="s">
        <v>211</v>
      </c>
      <c r="C213" s="8" t="s">
        <v>503</v>
      </c>
      <c r="D213" s="2" t="s">
        <v>587</v>
      </c>
      <c r="E213" s="8" t="s">
        <v>595</v>
      </c>
      <c r="F213" s="8" t="s">
        <v>596</v>
      </c>
      <c r="G213" s="21">
        <v>8490</v>
      </c>
      <c r="H213" s="21">
        <v>9290</v>
      </c>
      <c r="I213" s="18">
        <v>800</v>
      </c>
    </row>
    <row r="214" spans="1:9">
      <c r="A214" s="78" t="s">
        <v>606</v>
      </c>
      <c r="B214" s="8" t="s">
        <v>212</v>
      </c>
      <c r="C214" s="8" t="s">
        <v>504</v>
      </c>
      <c r="D214" s="2" t="s">
        <v>588</v>
      </c>
      <c r="E214" s="8" t="s">
        <v>593</v>
      </c>
      <c r="F214" s="8" t="s">
        <v>593</v>
      </c>
      <c r="G214" s="18">
        <v>22113</v>
      </c>
      <c r="H214" s="18">
        <v>22113</v>
      </c>
      <c r="I214" s="18">
        <v>0</v>
      </c>
    </row>
    <row r="215" spans="1:9" hidden="1">
      <c r="A215" s="78" t="s">
        <v>606</v>
      </c>
      <c r="B215" s="6" t="s">
        <v>213</v>
      </c>
      <c r="C215" s="6" t="s">
        <v>505</v>
      </c>
      <c r="D215" s="2" t="s">
        <v>587</v>
      </c>
      <c r="E215" s="6" t="s">
        <v>594</v>
      </c>
      <c r="F215" s="18" t="s">
        <v>601</v>
      </c>
      <c r="G215" s="21">
        <v>2431</v>
      </c>
      <c r="H215" s="21">
        <v>3431</v>
      </c>
      <c r="I215" s="18">
        <v>1000</v>
      </c>
    </row>
    <row r="216" spans="1:9" hidden="1">
      <c r="A216" s="78" t="s">
        <v>606</v>
      </c>
      <c r="B216" s="2" t="s">
        <v>214</v>
      </c>
      <c r="C216" s="2" t="s">
        <v>506</v>
      </c>
      <c r="D216" s="2" t="s">
        <v>586</v>
      </c>
      <c r="E216" s="8" t="s">
        <v>595</v>
      </c>
      <c r="F216" s="8" t="s">
        <v>596</v>
      </c>
      <c r="G216" s="21">
        <v>10000</v>
      </c>
      <c r="H216" s="18">
        <v>10000</v>
      </c>
      <c r="I216" s="18">
        <v>0</v>
      </c>
    </row>
    <row r="217" spans="1:9">
      <c r="A217" s="78" t="s">
        <v>606</v>
      </c>
      <c r="B217" s="8" t="s">
        <v>215</v>
      </c>
      <c r="C217" s="8" t="s">
        <v>507</v>
      </c>
      <c r="D217" s="2" t="s">
        <v>586</v>
      </c>
      <c r="E217" s="8" t="s">
        <v>593</v>
      </c>
      <c r="F217" s="8" t="s">
        <v>593</v>
      </c>
      <c r="G217" s="21">
        <v>7300</v>
      </c>
      <c r="H217" s="21">
        <v>8760</v>
      </c>
      <c r="I217" s="18">
        <v>1460</v>
      </c>
    </row>
    <row r="218" spans="1:9" hidden="1">
      <c r="A218" s="78" t="s">
        <v>606</v>
      </c>
      <c r="B218" s="8" t="s">
        <v>216</v>
      </c>
      <c r="C218" s="8" t="s">
        <v>508</v>
      </c>
      <c r="D218" s="2" t="s">
        <v>588</v>
      </c>
      <c r="E218" s="8" t="s">
        <v>595</v>
      </c>
      <c r="F218" s="19" t="s">
        <v>595</v>
      </c>
      <c r="G218" s="18">
        <v>6884</v>
      </c>
      <c r="H218" s="18">
        <v>7884</v>
      </c>
      <c r="I218" s="18">
        <v>1000</v>
      </c>
    </row>
    <row r="219" spans="1:9" hidden="1">
      <c r="A219" s="78" t="s">
        <v>606</v>
      </c>
      <c r="B219" s="8" t="s">
        <v>217</v>
      </c>
      <c r="C219" s="8" t="s">
        <v>509</v>
      </c>
      <c r="D219" s="2" t="s">
        <v>587</v>
      </c>
      <c r="E219" s="8" t="s">
        <v>594</v>
      </c>
      <c r="F219" s="8" t="s">
        <v>596</v>
      </c>
      <c r="G219" s="21">
        <v>5198</v>
      </c>
      <c r="H219" s="21">
        <v>8167</v>
      </c>
      <c r="I219" s="18">
        <v>2969</v>
      </c>
    </row>
    <row r="220" spans="1:9" hidden="1">
      <c r="A220" s="78" t="s">
        <v>606</v>
      </c>
      <c r="B220" s="5" t="s">
        <v>218</v>
      </c>
      <c r="C220" s="5" t="s">
        <v>510</v>
      </c>
      <c r="D220" s="2" t="s">
        <v>587</v>
      </c>
      <c r="E220" s="8" t="s">
        <v>592</v>
      </c>
      <c r="F220" s="8" t="s">
        <v>596</v>
      </c>
      <c r="G220" s="21">
        <v>10832.4</v>
      </c>
      <c r="H220" s="21">
        <v>14832</v>
      </c>
      <c r="I220" s="18">
        <v>3999.6000000000004</v>
      </c>
    </row>
    <row r="221" spans="1:9">
      <c r="A221" s="78" t="s">
        <v>606</v>
      </c>
      <c r="B221" s="8" t="s">
        <v>219</v>
      </c>
      <c r="C221" s="8" t="s">
        <v>511</v>
      </c>
      <c r="D221" s="2" t="s">
        <v>588</v>
      </c>
      <c r="E221" s="8" t="s">
        <v>593</v>
      </c>
      <c r="F221" s="8" t="s">
        <v>593</v>
      </c>
      <c r="G221" s="21">
        <v>9740</v>
      </c>
      <c r="H221" s="21">
        <v>9740</v>
      </c>
      <c r="I221" s="18">
        <v>0</v>
      </c>
    </row>
    <row r="222" spans="1:9" hidden="1">
      <c r="A222" s="78" t="s">
        <v>606</v>
      </c>
      <c r="B222" s="10" t="s">
        <v>220</v>
      </c>
      <c r="C222" s="10" t="s">
        <v>512</v>
      </c>
      <c r="D222" s="2" t="s">
        <v>587</v>
      </c>
      <c r="E222" s="8" t="s">
        <v>592</v>
      </c>
      <c r="F222" s="18" t="s">
        <v>601</v>
      </c>
      <c r="G222" s="18">
        <v>8815</v>
      </c>
      <c r="H222" s="18">
        <v>10000</v>
      </c>
      <c r="I222" s="18">
        <v>1185</v>
      </c>
    </row>
    <row r="223" spans="1:9" hidden="1">
      <c r="A223" s="78" t="s">
        <v>606</v>
      </c>
      <c r="B223" s="5" t="s">
        <v>221</v>
      </c>
      <c r="C223" s="5" t="s">
        <v>513</v>
      </c>
      <c r="D223" s="2" t="s">
        <v>587</v>
      </c>
      <c r="E223" s="8" t="s">
        <v>592</v>
      </c>
      <c r="F223" s="18" t="s">
        <v>592</v>
      </c>
      <c r="G223" s="21">
        <v>2903</v>
      </c>
      <c r="H223" s="21">
        <v>4005</v>
      </c>
      <c r="I223" s="18">
        <v>1102</v>
      </c>
    </row>
    <row r="224" spans="1:9" hidden="1">
      <c r="A224" s="78" t="s">
        <v>606</v>
      </c>
      <c r="B224" s="8" t="s">
        <v>222</v>
      </c>
      <c r="C224" s="8" t="s">
        <v>514</v>
      </c>
      <c r="D224" s="2" t="s">
        <v>587</v>
      </c>
      <c r="E224" s="8" t="s">
        <v>595</v>
      </c>
      <c r="F224" s="19" t="s">
        <v>595</v>
      </c>
      <c r="G224" s="21">
        <v>8358</v>
      </c>
      <c r="H224" s="21">
        <v>9358</v>
      </c>
      <c r="I224" s="18">
        <v>1000</v>
      </c>
    </row>
    <row r="225" spans="1:9" hidden="1">
      <c r="A225" s="78" t="s">
        <v>606</v>
      </c>
      <c r="B225" s="6" t="s">
        <v>223</v>
      </c>
      <c r="C225" s="6" t="s">
        <v>515</v>
      </c>
      <c r="D225" s="2" t="s">
        <v>587</v>
      </c>
      <c r="E225" s="8" t="s">
        <v>592</v>
      </c>
      <c r="F225" s="18" t="s">
        <v>601</v>
      </c>
      <c r="G225" s="21">
        <v>8420</v>
      </c>
      <c r="H225" s="21">
        <v>10000</v>
      </c>
      <c r="I225" s="18">
        <v>1580</v>
      </c>
    </row>
    <row r="226" spans="1:9" hidden="1">
      <c r="A226" s="78" t="s">
        <v>606</v>
      </c>
      <c r="B226" s="5" t="s">
        <v>224</v>
      </c>
      <c r="C226" s="5" t="s">
        <v>516</v>
      </c>
      <c r="D226" s="2" t="s">
        <v>587</v>
      </c>
      <c r="E226" s="5" t="s">
        <v>594</v>
      </c>
      <c r="F226" s="18" t="s">
        <v>601</v>
      </c>
      <c r="G226" s="21">
        <v>2925</v>
      </c>
      <c r="H226" s="21">
        <v>4163</v>
      </c>
      <c r="I226" s="18">
        <v>1238</v>
      </c>
    </row>
    <row r="227" spans="1:9">
      <c r="A227" s="78" t="s">
        <v>606</v>
      </c>
      <c r="B227" s="5" t="s">
        <v>225</v>
      </c>
      <c r="C227" s="5" t="s">
        <v>517</v>
      </c>
      <c r="D227" s="2" t="s">
        <v>587</v>
      </c>
      <c r="E227" s="8" t="s">
        <v>593</v>
      </c>
      <c r="F227" s="18" t="s">
        <v>601</v>
      </c>
      <c r="G227" s="21">
        <v>1713</v>
      </c>
      <c r="H227" s="21">
        <v>3713</v>
      </c>
      <c r="I227" s="18">
        <v>2000</v>
      </c>
    </row>
    <row r="228" spans="1:9">
      <c r="A228" s="78" t="s">
        <v>606</v>
      </c>
      <c r="B228" s="8" t="s">
        <v>226</v>
      </c>
      <c r="C228" s="8" t="s">
        <v>518</v>
      </c>
      <c r="D228" s="2" t="s">
        <v>587</v>
      </c>
      <c r="E228" s="8" t="s">
        <v>593</v>
      </c>
      <c r="F228" s="8" t="s">
        <v>599</v>
      </c>
      <c r="G228" s="21">
        <v>4720</v>
      </c>
      <c r="H228" s="21">
        <v>4720</v>
      </c>
      <c r="I228" s="18">
        <v>0</v>
      </c>
    </row>
    <row r="229" spans="1:9" hidden="1">
      <c r="A229" s="78" t="s">
        <v>606</v>
      </c>
      <c r="B229" s="8" t="s">
        <v>227</v>
      </c>
      <c r="C229" s="8" t="s">
        <v>519</v>
      </c>
      <c r="D229" s="2" t="s">
        <v>587</v>
      </c>
      <c r="E229" s="8" t="s">
        <v>595</v>
      </c>
      <c r="F229" s="19" t="s">
        <v>595</v>
      </c>
      <c r="G229" s="21">
        <v>3738</v>
      </c>
      <c r="H229" s="21">
        <v>4638</v>
      </c>
      <c r="I229" s="18">
        <v>900</v>
      </c>
    </row>
    <row r="230" spans="1:9" hidden="1">
      <c r="A230" s="78" t="s">
        <v>606</v>
      </c>
      <c r="B230" s="2" t="s">
        <v>228</v>
      </c>
      <c r="C230" s="5" t="s">
        <v>520</v>
      </c>
      <c r="D230" s="2" t="s">
        <v>587</v>
      </c>
      <c r="E230" s="8" t="s">
        <v>592</v>
      </c>
      <c r="F230" s="18" t="s">
        <v>592</v>
      </c>
      <c r="G230" s="21">
        <v>10620</v>
      </c>
      <c r="H230" s="18">
        <v>10620</v>
      </c>
      <c r="I230" s="18">
        <v>0</v>
      </c>
    </row>
    <row r="231" spans="1:9" hidden="1">
      <c r="A231" s="78" t="s">
        <v>606</v>
      </c>
      <c r="B231" s="2" t="s">
        <v>229</v>
      </c>
      <c r="C231" s="2" t="s">
        <v>521</v>
      </c>
      <c r="D231" s="2" t="s">
        <v>588</v>
      </c>
      <c r="E231" s="8" t="s">
        <v>594</v>
      </c>
      <c r="F231" s="19" t="s">
        <v>594</v>
      </c>
      <c r="G231" s="21">
        <v>13000</v>
      </c>
      <c r="H231" s="18">
        <v>13000</v>
      </c>
      <c r="I231" s="18">
        <v>0</v>
      </c>
    </row>
    <row r="232" spans="1:9" hidden="1">
      <c r="A232" s="78" t="s">
        <v>606</v>
      </c>
      <c r="B232" s="5" t="s">
        <v>230</v>
      </c>
      <c r="C232" s="8" t="s">
        <v>522</v>
      </c>
      <c r="D232" s="2" t="s">
        <v>588</v>
      </c>
      <c r="E232" s="8" t="s">
        <v>595</v>
      </c>
      <c r="F232" s="8" t="s">
        <v>596</v>
      </c>
      <c r="G232" s="18">
        <v>20000</v>
      </c>
      <c r="H232" s="18">
        <v>21000</v>
      </c>
      <c r="I232" s="18">
        <v>1000</v>
      </c>
    </row>
    <row r="233" spans="1:9" hidden="1">
      <c r="A233" s="78" t="s">
        <v>606</v>
      </c>
      <c r="B233" s="5" t="s">
        <v>231</v>
      </c>
      <c r="C233" s="5" t="s">
        <v>523</v>
      </c>
      <c r="D233" s="2" t="s">
        <v>586</v>
      </c>
      <c r="E233" s="8" t="s">
        <v>595</v>
      </c>
      <c r="F233" s="8" t="s">
        <v>596</v>
      </c>
      <c r="G233" s="21">
        <v>9713</v>
      </c>
      <c r="H233" s="21">
        <v>9715</v>
      </c>
      <c r="I233" s="18">
        <v>2</v>
      </c>
    </row>
    <row r="234" spans="1:9" hidden="1">
      <c r="A234" s="78" t="s">
        <v>606</v>
      </c>
      <c r="B234" s="8" t="s">
        <v>232</v>
      </c>
      <c r="C234" s="8" t="s">
        <v>524</v>
      </c>
      <c r="D234" s="2" t="s">
        <v>586</v>
      </c>
      <c r="E234" s="8" t="s">
        <v>595</v>
      </c>
      <c r="F234" s="8" t="s">
        <v>596</v>
      </c>
      <c r="G234" s="21">
        <v>9500</v>
      </c>
      <c r="H234" s="21">
        <v>10000</v>
      </c>
      <c r="I234" s="18">
        <v>500</v>
      </c>
    </row>
    <row r="235" spans="1:9" hidden="1">
      <c r="A235" s="78" t="s">
        <v>606</v>
      </c>
      <c r="B235" s="5" t="s">
        <v>233</v>
      </c>
      <c r="C235" s="5" t="s">
        <v>525</v>
      </c>
      <c r="D235" s="8" t="s">
        <v>589</v>
      </c>
      <c r="E235" s="8" t="s">
        <v>592</v>
      </c>
      <c r="F235" s="8" t="s">
        <v>596</v>
      </c>
      <c r="G235" s="21">
        <v>16000</v>
      </c>
      <c r="H235" s="21">
        <v>17000</v>
      </c>
      <c r="I235" s="18">
        <v>1000</v>
      </c>
    </row>
    <row r="236" spans="1:9" hidden="1">
      <c r="A236" s="78" t="s">
        <v>606</v>
      </c>
      <c r="B236" s="8" t="s">
        <v>234</v>
      </c>
      <c r="C236" s="8" t="s">
        <v>526</v>
      </c>
      <c r="D236" s="2" t="s">
        <v>586</v>
      </c>
      <c r="E236" s="8" t="s">
        <v>595</v>
      </c>
      <c r="F236" s="8" t="s">
        <v>596</v>
      </c>
      <c r="G236" s="21">
        <v>9500</v>
      </c>
      <c r="H236" s="21">
        <v>10000</v>
      </c>
      <c r="I236" s="18">
        <v>500</v>
      </c>
    </row>
    <row r="237" spans="1:9">
      <c r="A237" s="78" t="s">
        <v>606</v>
      </c>
      <c r="B237" s="8" t="s">
        <v>235</v>
      </c>
      <c r="C237" s="8" t="s">
        <v>527</v>
      </c>
      <c r="D237" s="2" t="s">
        <v>587</v>
      </c>
      <c r="E237" s="8" t="s">
        <v>593</v>
      </c>
      <c r="F237" s="8" t="s">
        <v>593</v>
      </c>
      <c r="G237" s="18">
        <v>3904</v>
      </c>
      <c r="H237" s="18">
        <v>4604</v>
      </c>
      <c r="I237" s="18">
        <v>700</v>
      </c>
    </row>
    <row r="238" spans="1:9" hidden="1">
      <c r="A238" s="78" t="s">
        <v>606</v>
      </c>
      <c r="B238" s="8" t="s">
        <v>236</v>
      </c>
      <c r="C238" s="8" t="s">
        <v>528</v>
      </c>
      <c r="D238" s="2" t="s">
        <v>587</v>
      </c>
      <c r="E238" s="8" t="s">
        <v>595</v>
      </c>
      <c r="F238" s="19" t="s">
        <v>595</v>
      </c>
      <c r="G238" s="21">
        <v>10000</v>
      </c>
      <c r="H238" s="18">
        <v>10000</v>
      </c>
      <c r="I238" s="18">
        <v>0</v>
      </c>
    </row>
    <row r="239" spans="1:9" hidden="1">
      <c r="A239" s="78" t="s">
        <v>606</v>
      </c>
      <c r="B239" s="8" t="s">
        <v>237</v>
      </c>
      <c r="C239" s="8" t="s">
        <v>529</v>
      </c>
      <c r="D239" s="2" t="s">
        <v>587</v>
      </c>
      <c r="E239" s="8" t="s">
        <v>595</v>
      </c>
      <c r="F239" s="8" t="s">
        <v>593</v>
      </c>
      <c r="G239" s="18">
        <v>9746</v>
      </c>
      <c r="H239" s="18">
        <v>9950</v>
      </c>
      <c r="I239" s="18">
        <v>204</v>
      </c>
    </row>
    <row r="240" spans="1:9" hidden="1">
      <c r="A240" s="78" t="s">
        <v>606</v>
      </c>
      <c r="B240" s="6" t="s">
        <v>238</v>
      </c>
      <c r="C240" s="5" t="s">
        <v>530</v>
      </c>
      <c r="D240" s="2" t="s">
        <v>587</v>
      </c>
      <c r="E240" s="8" t="s">
        <v>595</v>
      </c>
      <c r="F240" s="18" t="s">
        <v>601</v>
      </c>
      <c r="G240" s="21">
        <v>1355</v>
      </c>
      <c r="H240" s="21">
        <v>2355</v>
      </c>
      <c r="I240" s="18">
        <v>1000</v>
      </c>
    </row>
    <row r="241" spans="1:9" hidden="1">
      <c r="A241" s="78" t="s">
        <v>606</v>
      </c>
      <c r="B241" s="8" t="s">
        <v>239</v>
      </c>
      <c r="C241" s="8" t="s">
        <v>531</v>
      </c>
      <c r="D241" s="2" t="s">
        <v>587</v>
      </c>
      <c r="E241" s="8" t="s">
        <v>595</v>
      </c>
      <c r="F241" s="8" t="s">
        <v>593</v>
      </c>
      <c r="G241" s="18">
        <v>6544</v>
      </c>
      <c r="H241" s="18">
        <v>8400</v>
      </c>
      <c r="I241" s="18">
        <v>1856</v>
      </c>
    </row>
    <row r="242" spans="1:9">
      <c r="A242" s="78" t="s">
        <v>606</v>
      </c>
      <c r="B242" s="8" t="s">
        <v>240</v>
      </c>
      <c r="C242" s="8" t="s">
        <v>532</v>
      </c>
      <c r="D242" s="2" t="s">
        <v>586</v>
      </c>
      <c r="E242" s="8" t="s">
        <v>593</v>
      </c>
      <c r="F242" s="8" t="s">
        <v>596</v>
      </c>
      <c r="G242" s="21">
        <v>19500</v>
      </c>
      <c r="H242" s="21">
        <v>20500</v>
      </c>
      <c r="I242" s="18">
        <v>1000</v>
      </c>
    </row>
    <row r="243" spans="1:9" hidden="1">
      <c r="A243" s="78" t="s">
        <v>606</v>
      </c>
      <c r="B243" s="5" t="s">
        <v>241</v>
      </c>
      <c r="C243" s="5" t="s">
        <v>533</v>
      </c>
      <c r="D243" s="2" t="s">
        <v>587</v>
      </c>
      <c r="E243" s="8" t="s">
        <v>592</v>
      </c>
      <c r="F243" s="18" t="s">
        <v>601</v>
      </c>
      <c r="G243" s="21">
        <v>7156.6</v>
      </c>
      <c r="H243" s="21">
        <v>7156.6</v>
      </c>
      <c r="I243" s="18">
        <v>0</v>
      </c>
    </row>
    <row r="244" spans="1:9" hidden="1">
      <c r="A244" s="78" t="s">
        <v>606</v>
      </c>
      <c r="B244" s="6" t="s">
        <v>242</v>
      </c>
      <c r="C244" s="6" t="s">
        <v>534</v>
      </c>
      <c r="D244" s="2" t="s">
        <v>586</v>
      </c>
      <c r="E244" s="8" t="s">
        <v>592</v>
      </c>
      <c r="F244" s="18" t="s">
        <v>601</v>
      </c>
      <c r="G244" s="21">
        <v>10000</v>
      </c>
      <c r="H244" s="18">
        <v>10000</v>
      </c>
      <c r="I244" s="18">
        <v>0</v>
      </c>
    </row>
    <row r="245" spans="1:9" hidden="1">
      <c r="A245" s="78" t="s">
        <v>606</v>
      </c>
      <c r="B245" s="5" t="s">
        <v>243</v>
      </c>
      <c r="C245" s="5" t="s">
        <v>535</v>
      </c>
      <c r="D245" s="2" t="s">
        <v>587</v>
      </c>
      <c r="E245" s="8" t="s">
        <v>594</v>
      </c>
      <c r="F245" s="19" t="s">
        <v>594</v>
      </c>
      <c r="G245" s="21">
        <v>8732</v>
      </c>
      <c r="H245" s="21">
        <v>9332</v>
      </c>
      <c r="I245" s="18">
        <v>600</v>
      </c>
    </row>
    <row r="246" spans="1:9" hidden="1">
      <c r="A246" s="78" t="s">
        <v>606</v>
      </c>
      <c r="B246" s="5" t="s">
        <v>244</v>
      </c>
      <c r="C246" s="5" t="s">
        <v>536</v>
      </c>
      <c r="D246" s="2" t="s">
        <v>587</v>
      </c>
      <c r="E246" s="8" t="s">
        <v>592</v>
      </c>
      <c r="F246" s="18" t="s">
        <v>601</v>
      </c>
      <c r="G246" s="23">
        <v>8850</v>
      </c>
      <c r="H246" s="23">
        <v>8850</v>
      </c>
      <c r="I246" s="18">
        <v>0</v>
      </c>
    </row>
    <row r="247" spans="1:9">
      <c r="A247" s="78" t="s">
        <v>606</v>
      </c>
      <c r="B247" s="8" t="s">
        <v>245</v>
      </c>
      <c r="C247" s="8" t="s">
        <v>537</v>
      </c>
      <c r="D247" s="2" t="s">
        <v>587</v>
      </c>
      <c r="E247" s="8" t="s">
        <v>593</v>
      </c>
      <c r="F247" s="8" t="s">
        <v>593</v>
      </c>
      <c r="G247" s="23">
        <v>7900</v>
      </c>
      <c r="H247" s="23">
        <v>7900</v>
      </c>
      <c r="I247" s="18">
        <v>0</v>
      </c>
    </row>
    <row r="248" spans="1:9" hidden="1">
      <c r="A248" s="78" t="s">
        <v>606</v>
      </c>
      <c r="B248" s="8" t="s">
        <v>246</v>
      </c>
      <c r="C248" s="8" t="s">
        <v>538</v>
      </c>
      <c r="D248" s="2" t="s">
        <v>587</v>
      </c>
      <c r="E248" s="8" t="s">
        <v>594</v>
      </c>
      <c r="F248" s="19" t="s">
        <v>594</v>
      </c>
      <c r="G248" s="23">
        <v>2607</v>
      </c>
      <c r="H248" s="23">
        <v>3607</v>
      </c>
      <c r="I248" s="18">
        <v>1000</v>
      </c>
    </row>
    <row r="249" spans="1:9" hidden="1">
      <c r="A249" s="78" t="s">
        <v>606</v>
      </c>
      <c r="B249" s="8" t="s">
        <v>247</v>
      </c>
      <c r="C249" s="8" t="s">
        <v>539</v>
      </c>
      <c r="D249" s="2" t="s">
        <v>587</v>
      </c>
      <c r="E249" s="8" t="s">
        <v>592</v>
      </c>
      <c r="F249" s="8" t="s">
        <v>596</v>
      </c>
      <c r="G249" s="18">
        <v>7763</v>
      </c>
      <c r="H249" s="18">
        <v>9864</v>
      </c>
      <c r="I249" s="18">
        <v>2101</v>
      </c>
    </row>
    <row r="250" spans="1:9">
      <c r="A250" s="78" t="s">
        <v>606</v>
      </c>
      <c r="B250" s="8" t="s">
        <v>248</v>
      </c>
      <c r="C250" s="8" t="s">
        <v>540</v>
      </c>
      <c r="D250" s="2" t="s">
        <v>587</v>
      </c>
      <c r="E250" s="8" t="s">
        <v>593</v>
      </c>
      <c r="F250" s="8" t="s">
        <v>596</v>
      </c>
      <c r="G250" s="18">
        <v>8024</v>
      </c>
      <c r="H250" s="18">
        <v>8847</v>
      </c>
      <c r="I250" s="18">
        <v>823</v>
      </c>
    </row>
    <row r="251" spans="1:9" hidden="1">
      <c r="A251" s="78" t="s">
        <v>606</v>
      </c>
      <c r="B251" s="2" t="s">
        <v>249</v>
      </c>
      <c r="C251" s="2" t="s">
        <v>541</v>
      </c>
      <c r="D251" s="2" t="s">
        <v>587</v>
      </c>
      <c r="E251" s="8" t="s">
        <v>595</v>
      </c>
      <c r="F251" s="19" t="s">
        <v>595</v>
      </c>
      <c r="G251" s="18">
        <v>4295</v>
      </c>
      <c r="H251" s="18">
        <v>4895</v>
      </c>
      <c r="I251" s="18">
        <v>600</v>
      </c>
    </row>
    <row r="252" spans="1:9" hidden="1">
      <c r="A252" s="78" t="s">
        <v>606</v>
      </c>
      <c r="B252" s="8" t="s">
        <v>250</v>
      </c>
      <c r="C252" s="8" t="s">
        <v>542</v>
      </c>
      <c r="D252" s="2" t="s">
        <v>587</v>
      </c>
      <c r="E252" s="8" t="s">
        <v>595</v>
      </c>
      <c r="F252" s="19" t="s">
        <v>595</v>
      </c>
      <c r="G252" s="21">
        <v>2749</v>
      </c>
      <c r="H252" s="21">
        <v>4147</v>
      </c>
      <c r="I252" s="18">
        <v>1398</v>
      </c>
    </row>
    <row r="253" spans="1:9">
      <c r="A253" s="78" t="s">
        <v>606</v>
      </c>
      <c r="B253" s="8" t="s">
        <v>251</v>
      </c>
      <c r="C253" s="8" t="s">
        <v>543</v>
      </c>
      <c r="D253" s="2" t="s">
        <v>586</v>
      </c>
      <c r="E253" s="8" t="s">
        <v>593</v>
      </c>
      <c r="F253" s="8" t="s">
        <v>593</v>
      </c>
      <c r="G253" s="21">
        <v>9765</v>
      </c>
      <c r="H253" s="21">
        <v>9765</v>
      </c>
      <c r="I253" s="18">
        <v>0</v>
      </c>
    </row>
    <row r="254" spans="1:9" hidden="1">
      <c r="A254" s="78" t="s">
        <v>606</v>
      </c>
      <c r="B254" s="5" t="s">
        <v>252</v>
      </c>
      <c r="C254" s="5" t="s">
        <v>544</v>
      </c>
      <c r="D254" s="2" t="s">
        <v>586</v>
      </c>
      <c r="E254" s="8" t="s">
        <v>595</v>
      </c>
      <c r="F254" s="18" t="s">
        <v>601</v>
      </c>
      <c r="G254" s="21">
        <v>10000</v>
      </c>
      <c r="H254" s="18">
        <v>10000</v>
      </c>
      <c r="I254" s="18">
        <v>0</v>
      </c>
    </row>
    <row r="255" spans="1:9" hidden="1">
      <c r="A255" s="78" t="s">
        <v>606</v>
      </c>
      <c r="B255" s="9" t="s">
        <v>253</v>
      </c>
      <c r="C255" s="9" t="s">
        <v>545</v>
      </c>
      <c r="D255" s="2" t="s">
        <v>586</v>
      </c>
      <c r="E255" s="8" t="s">
        <v>595</v>
      </c>
      <c r="F255" s="18" t="s">
        <v>601</v>
      </c>
      <c r="G255" s="23">
        <v>10233</v>
      </c>
      <c r="H255" s="18">
        <v>10233</v>
      </c>
      <c r="I255" s="18">
        <v>0</v>
      </c>
    </row>
    <row r="256" spans="1:9">
      <c r="A256" s="78" t="s">
        <v>606</v>
      </c>
      <c r="B256" s="8" t="s">
        <v>254</v>
      </c>
      <c r="C256" s="8" t="s">
        <v>546</v>
      </c>
      <c r="D256" s="2" t="s">
        <v>587</v>
      </c>
      <c r="E256" s="8" t="s">
        <v>593</v>
      </c>
      <c r="F256" s="8" t="s">
        <v>599</v>
      </c>
      <c r="G256" s="21">
        <v>4956</v>
      </c>
      <c r="H256" s="21">
        <v>4956</v>
      </c>
      <c r="I256" s="18">
        <v>0</v>
      </c>
    </row>
    <row r="257" spans="1:9">
      <c r="A257" s="78" t="s">
        <v>606</v>
      </c>
      <c r="B257" s="8" t="s">
        <v>255</v>
      </c>
      <c r="C257" s="8" t="s">
        <v>547</v>
      </c>
      <c r="D257" s="2" t="s">
        <v>587</v>
      </c>
      <c r="E257" s="8" t="s">
        <v>593</v>
      </c>
      <c r="F257" s="8" t="s">
        <v>599</v>
      </c>
      <c r="G257" s="21">
        <v>4954</v>
      </c>
      <c r="H257" s="21">
        <v>5454</v>
      </c>
      <c r="I257" s="18">
        <v>500</v>
      </c>
    </row>
    <row r="258" spans="1:9">
      <c r="A258" s="78" t="s">
        <v>606</v>
      </c>
      <c r="B258" s="8" t="s">
        <v>256</v>
      </c>
      <c r="C258" s="8" t="s">
        <v>548</v>
      </c>
      <c r="D258" s="2" t="s">
        <v>588</v>
      </c>
      <c r="E258" s="8" t="s">
        <v>593</v>
      </c>
      <c r="F258" s="8" t="s">
        <v>599</v>
      </c>
      <c r="G258" s="21">
        <v>6166</v>
      </c>
      <c r="H258" s="21">
        <v>8666</v>
      </c>
      <c r="I258" s="18">
        <v>2500</v>
      </c>
    </row>
    <row r="259" spans="1:9" hidden="1">
      <c r="A259" s="78" t="s">
        <v>606</v>
      </c>
      <c r="B259" s="8" t="s">
        <v>257</v>
      </c>
      <c r="C259" s="8" t="s">
        <v>549</v>
      </c>
      <c r="D259" s="2" t="s">
        <v>587</v>
      </c>
      <c r="E259" s="8" t="s">
        <v>594</v>
      </c>
      <c r="F259" s="8" t="s">
        <v>599</v>
      </c>
      <c r="G259" s="21">
        <v>6302</v>
      </c>
      <c r="H259" s="21">
        <v>8401</v>
      </c>
      <c r="I259" s="18">
        <v>2099</v>
      </c>
    </row>
    <row r="260" spans="1:9">
      <c r="A260" s="78" t="s">
        <v>606</v>
      </c>
      <c r="B260" s="8" t="s">
        <v>258</v>
      </c>
      <c r="C260" s="8" t="s">
        <v>550</v>
      </c>
      <c r="D260" s="2" t="s">
        <v>587</v>
      </c>
      <c r="E260" s="8" t="s">
        <v>593</v>
      </c>
      <c r="F260" s="8" t="s">
        <v>599</v>
      </c>
      <c r="G260" s="21">
        <v>5898</v>
      </c>
      <c r="H260" s="21">
        <v>5898</v>
      </c>
      <c r="I260" s="18">
        <v>0</v>
      </c>
    </row>
    <row r="261" spans="1:9" hidden="1">
      <c r="A261" s="78" t="s">
        <v>606</v>
      </c>
      <c r="B261" s="5" t="s">
        <v>259</v>
      </c>
      <c r="C261" s="5" t="s">
        <v>551</v>
      </c>
      <c r="D261" s="2" t="s">
        <v>587</v>
      </c>
      <c r="E261" s="16" t="s">
        <v>594</v>
      </c>
      <c r="F261" s="19" t="s">
        <v>594</v>
      </c>
      <c r="G261" s="21">
        <v>4799</v>
      </c>
      <c r="H261" s="21">
        <v>6122</v>
      </c>
      <c r="I261" s="18">
        <v>1323</v>
      </c>
    </row>
    <row r="262" spans="1:9" hidden="1">
      <c r="A262" s="78" t="s">
        <v>606</v>
      </c>
      <c r="B262" s="8" t="s">
        <v>260</v>
      </c>
      <c r="C262" s="8" t="s">
        <v>552</v>
      </c>
      <c r="D262" s="2" t="s">
        <v>587</v>
      </c>
      <c r="E262" s="8" t="s">
        <v>592</v>
      </c>
      <c r="F262" s="8" t="s">
        <v>596</v>
      </c>
      <c r="G262" s="18">
        <v>13747</v>
      </c>
      <c r="H262" s="18">
        <v>13747</v>
      </c>
      <c r="I262" s="18">
        <v>0</v>
      </c>
    </row>
    <row r="263" spans="1:9" hidden="1">
      <c r="A263" s="78" t="s">
        <v>606</v>
      </c>
      <c r="B263" s="8" t="s">
        <v>261</v>
      </c>
      <c r="C263" s="8" t="s">
        <v>553</v>
      </c>
      <c r="D263" s="2" t="s">
        <v>587</v>
      </c>
      <c r="E263" s="8" t="s">
        <v>592</v>
      </c>
      <c r="F263" s="8" t="s">
        <v>596</v>
      </c>
      <c r="G263" s="18">
        <v>13747</v>
      </c>
      <c r="H263" s="18">
        <v>13747</v>
      </c>
      <c r="I263" s="18">
        <v>0</v>
      </c>
    </row>
    <row r="264" spans="1:9" hidden="1">
      <c r="A264" s="78" t="s">
        <v>606</v>
      </c>
      <c r="B264" s="8" t="s">
        <v>262</v>
      </c>
      <c r="C264" s="8" t="s">
        <v>554</v>
      </c>
      <c r="D264" s="2" t="s">
        <v>587</v>
      </c>
      <c r="E264" s="8" t="s">
        <v>592</v>
      </c>
      <c r="F264" s="8" t="s">
        <v>596</v>
      </c>
      <c r="G264" s="18">
        <v>0</v>
      </c>
      <c r="H264" s="18">
        <v>0</v>
      </c>
      <c r="I264" s="18">
        <v>0</v>
      </c>
    </row>
    <row r="265" spans="1:9" hidden="1">
      <c r="A265" s="78" t="s">
        <v>606</v>
      </c>
      <c r="B265" s="8" t="s">
        <v>263</v>
      </c>
      <c r="C265" s="8" t="s">
        <v>555</v>
      </c>
      <c r="D265" s="2" t="s">
        <v>588</v>
      </c>
      <c r="E265" s="8" t="s">
        <v>595</v>
      </c>
      <c r="F265" s="19" t="s">
        <v>595</v>
      </c>
      <c r="G265" s="21">
        <v>8278</v>
      </c>
      <c r="H265" s="21">
        <v>9543</v>
      </c>
      <c r="I265" s="18">
        <v>1265</v>
      </c>
    </row>
    <row r="266" spans="1:9" hidden="1">
      <c r="A266" s="78" t="s">
        <v>606</v>
      </c>
      <c r="B266" s="5" t="s">
        <v>264</v>
      </c>
      <c r="C266" s="5" t="s">
        <v>556</v>
      </c>
      <c r="D266" s="2" t="s">
        <v>587</v>
      </c>
      <c r="E266" s="8" t="s">
        <v>594</v>
      </c>
      <c r="F266" s="19" t="s">
        <v>594</v>
      </c>
      <c r="G266" s="21">
        <v>9027</v>
      </c>
      <c r="H266" s="21">
        <v>9425</v>
      </c>
      <c r="I266" s="18">
        <v>398</v>
      </c>
    </row>
    <row r="267" spans="1:9" hidden="1">
      <c r="A267" s="78" t="s">
        <v>606</v>
      </c>
      <c r="B267" s="5" t="s">
        <v>265</v>
      </c>
      <c r="C267" s="5" t="s">
        <v>557</v>
      </c>
      <c r="D267" s="2" t="s">
        <v>587</v>
      </c>
      <c r="E267" s="8" t="s">
        <v>594</v>
      </c>
      <c r="F267" s="19" t="s">
        <v>594</v>
      </c>
      <c r="G267" s="21">
        <v>10000</v>
      </c>
      <c r="H267" s="18">
        <v>10000</v>
      </c>
      <c r="I267" s="18">
        <v>0</v>
      </c>
    </row>
    <row r="268" spans="1:9" hidden="1">
      <c r="A268" s="78" t="s">
        <v>606</v>
      </c>
      <c r="B268" s="5" t="s">
        <v>266</v>
      </c>
      <c r="C268" s="5" t="s">
        <v>558</v>
      </c>
      <c r="D268" s="2" t="s">
        <v>587</v>
      </c>
      <c r="E268" s="8" t="s">
        <v>594</v>
      </c>
      <c r="F268" s="19" t="s">
        <v>594</v>
      </c>
      <c r="G268" s="21">
        <v>10000</v>
      </c>
      <c r="H268" s="18">
        <v>10000</v>
      </c>
      <c r="I268" s="18">
        <v>0</v>
      </c>
    </row>
    <row r="269" spans="1:9" hidden="1">
      <c r="A269" s="78" t="s">
        <v>606</v>
      </c>
      <c r="B269" s="8" t="s">
        <v>267</v>
      </c>
      <c r="C269" s="8" t="s">
        <v>559</v>
      </c>
      <c r="D269" s="2" t="s">
        <v>587</v>
      </c>
      <c r="E269" s="8" t="s">
        <v>595</v>
      </c>
      <c r="F269" s="19" t="s">
        <v>595</v>
      </c>
      <c r="G269" s="21">
        <v>8496</v>
      </c>
      <c r="H269" s="21">
        <v>8496</v>
      </c>
      <c r="I269" s="18">
        <v>0</v>
      </c>
    </row>
    <row r="270" spans="1:9" hidden="1">
      <c r="A270" s="78" t="s">
        <v>606</v>
      </c>
      <c r="B270" s="9" t="s">
        <v>268</v>
      </c>
      <c r="C270" s="9" t="s">
        <v>560</v>
      </c>
      <c r="D270" s="2" t="s">
        <v>586</v>
      </c>
      <c r="E270" s="8" t="s">
        <v>592</v>
      </c>
      <c r="F270" s="18" t="s">
        <v>601</v>
      </c>
      <c r="G270" s="23">
        <v>9450</v>
      </c>
      <c r="H270" s="23">
        <v>9750</v>
      </c>
      <c r="I270" s="18">
        <v>300</v>
      </c>
    </row>
    <row r="271" spans="1:9" hidden="1">
      <c r="A271" s="78" t="s">
        <v>606</v>
      </c>
      <c r="B271" s="8" t="s">
        <v>269</v>
      </c>
      <c r="C271" s="8" t="s">
        <v>561</v>
      </c>
      <c r="D271" s="2" t="s">
        <v>587</v>
      </c>
      <c r="E271" s="8" t="s">
        <v>594</v>
      </c>
      <c r="F271" s="19" t="s">
        <v>594</v>
      </c>
      <c r="G271" s="21">
        <v>4481</v>
      </c>
      <c r="H271" s="21">
        <v>4981</v>
      </c>
      <c r="I271" s="18">
        <v>500</v>
      </c>
    </row>
    <row r="272" spans="1:9" hidden="1">
      <c r="A272" s="78" t="s">
        <v>606</v>
      </c>
      <c r="B272" s="8" t="s">
        <v>270</v>
      </c>
      <c r="C272" s="8" t="s">
        <v>562</v>
      </c>
      <c r="D272" s="2" t="s">
        <v>588</v>
      </c>
      <c r="E272" s="8" t="s">
        <v>594</v>
      </c>
      <c r="F272" s="19" t="s">
        <v>594</v>
      </c>
      <c r="G272" s="21">
        <v>7319</v>
      </c>
      <c r="H272" s="21">
        <v>9119</v>
      </c>
      <c r="I272" s="18">
        <v>1800</v>
      </c>
    </row>
    <row r="273" spans="1:9" hidden="1">
      <c r="A273" s="78" t="s">
        <v>606</v>
      </c>
      <c r="B273" s="5" t="s">
        <v>271</v>
      </c>
      <c r="C273" s="5" t="s">
        <v>563</v>
      </c>
      <c r="D273" s="2" t="s">
        <v>588</v>
      </c>
      <c r="E273" s="8" t="s">
        <v>592</v>
      </c>
      <c r="F273" s="8" t="s">
        <v>596</v>
      </c>
      <c r="G273" s="21">
        <v>7350</v>
      </c>
      <c r="H273" s="21">
        <v>8211</v>
      </c>
      <c r="I273" s="18">
        <v>861</v>
      </c>
    </row>
    <row r="274" spans="1:9" hidden="1">
      <c r="A274" s="78" t="s">
        <v>606</v>
      </c>
      <c r="B274" s="2" t="s">
        <v>272</v>
      </c>
      <c r="C274" s="2" t="s">
        <v>564</v>
      </c>
      <c r="D274" s="2" t="s">
        <v>588</v>
      </c>
      <c r="E274" s="8" t="s">
        <v>594</v>
      </c>
      <c r="F274" s="8" t="s">
        <v>596</v>
      </c>
      <c r="G274" s="21">
        <v>7339</v>
      </c>
      <c r="H274" s="21">
        <v>9036</v>
      </c>
      <c r="I274" s="18">
        <v>1697</v>
      </c>
    </row>
    <row r="275" spans="1:9" hidden="1">
      <c r="A275" s="78" t="s">
        <v>606</v>
      </c>
      <c r="B275" s="11" t="s">
        <v>273</v>
      </c>
      <c r="C275" s="8" t="s">
        <v>565</v>
      </c>
      <c r="D275" s="2" t="s">
        <v>587</v>
      </c>
      <c r="E275" s="8" t="s">
        <v>595</v>
      </c>
      <c r="F275" s="19" t="s">
        <v>595</v>
      </c>
      <c r="G275" s="21">
        <v>20768</v>
      </c>
      <c r="H275" s="21">
        <v>20768</v>
      </c>
      <c r="I275" s="18">
        <v>0</v>
      </c>
    </row>
    <row r="276" spans="1:9" hidden="1">
      <c r="A276" s="78" t="s">
        <v>606</v>
      </c>
      <c r="B276" s="11" t="s">
        <v>274</v>
      </c>
      <c r="C276" s="11" t="s">
        <v>566</v>
      </c>
      <c r="D276" s="2" t="s">
        <v>587</v>
      </c>
      <c r="E276" s="8" t="s">
        <v>592</v>
      </c>
      <c r="F276" s="8" t="s">
        <v>596</v>
      </c>
      <c r="G276" s="21">
        <v>11328</v>
      </c>
      <c r="H276" s="21">
        <v>11328</v>
      </c>
      <c r="I276" s="18">
        <v>0</v>
      </c>
    </row>
    <row r="277" spans="1:9" hidden="1">
      <c r="A277" s="78" t="s">
        <v>606</v>
      </c>
      <c r="B277" s="5" t="s">
        <v>275</v>
      </c>
      <c r="C277" s="5" t="s">
        <v>567</v>
      </c>
      <c r="D277" s="2" t="s">
        <v>587</v>
      </c>
      <c r="E277" s="8" t="s">
        <v>592</v>
      </c>
      <c r="F277" s="8" t="s">
        <v>596</v>
      </c>
      <c r="G277" s="21">
        <v>6426</v>
      </c>
      <c r="H277" s="21">
        <v>7126</v>
      </c>
      <c r="I277" s="18">
        <v>700</v>
      </c>
    </row>
    <row r="278" spans="1:9">
      <c r="A278" s="78" t="s">
        <v>606</v>
      </c>
      <c r="B278" s="8" t="s">
        <v>276</v>
      </c>
      <c r="C278" s="8" t="s">
        <v>568</v>
      </c>
      <c r="D278" s="2" t="s">
        <v>588</v>
      </c>
      <c r="E278" s="8" t="s">
        <v>593</v>
      </c>
      <c r="F278" s="8" t="s">
        <v>596</v>
      </c>
      <c r="G278" s="21">
        <v>8540</v>
      </c>
      <c r="H278" s="21">
        <v>9140</v>
      </c>
      <c r="I278" s="18">
        <v>600</v>
      </c>
    </row>
    <row r="279" spans="1:9" hidden="1">
      <c r="A279" s="78" t="s">
        <v>606</v>
      </c>
      <c r="B279" s="5" t="s">
        <v>277</v>
      </c>
      <c r="C279" s="5" t="s">
        <v>569</v>
      </c>
      <c r="D279" s="2" t="s">
        <v>587</v>
      </c>
      <c r="E279" s="8" t="s">
        <v>594</v>
      </c>
      <c r="F279" s="8" t="s">
        <v>596</v>
      </c>
      <c r="G279" s="21">
        <v>2909</v>
      </c>
      <c r="H279" s="21">
        <v>4606</v>
      </c>
      <c r="I279" s="18">
        <v>1697</v>
      </c>
    </row>
    <row r="280" spans="1:9" hidden="1">
      <c r="A280" s="78" t="s">
        <v>606</v>
      </c>
      <c r="B280" s="5" t="s">
        <v>278</v>
      </c>
      <c r="C280" s="5" t="s">
        <v>570</v>
      </c>
      <c r="D280" s="2" t="s">
        <v>587</v>
      </c>
      <c r="E280" s="8" t="s">
        <v>592</v>
      </c>
      <c r="F280" s="8" t="s">
        <v>596</v>
      </c>
      <c r="G280" s="21">
        <v>4148</v>
      </c>
      <c r="H280" s="21">
        <v>5174</v>
      </c>
      <c r="I280" s="18">
        <v>1026</v>
      </c>
    </row>
    <row r="281" spans="1:9">
      <c r="A281" s="78" t="s">
        <v>606</v>
      </c>
      <c r="B281" s="8" t="s">
        <v>279</v>
      </c>
      <c r="C281" s="8" t="s">
        <v>571</v>
      </c>
      <c r="D281" s="2" t="s">
        <v>587</v>
      </c>
      <c r="E281" s="8" t="s">
        <v>593</v>
      </c>
      <c r="F281" s="8" t="s">
        <v>593</v>
      </c>
      <c r="G281" s="21">
        <v>2808</v>
      </c>
      <c r="H281" s="21">
        <v>3808</v>
      </c>
      <c r="I281" s="18">
        <v>1000</v>
      </c>
    </row>
    <row r="282" spans="1:9" hidden="1">
      <c r="A282" s="78" t="s">
        <v>606</v>
      </c>
      <c r="B282" s="8" t="s">
        <v>280</v>
      </c>
      <c r="C282" s="8" t="s">
        <v>572</v>
      </c>
      <c r="D282" s="2" t="s">
        <v>587</v>
      </c>
      <c r="E282" s="8" t="s">
        <v>592</v>
      </c>
      <c r="F282" s="8" t="s">
        <v>593</v>
      </c>
      <c r="G282" s="21">
        <v>2522</v>
      </c>
      <c r="H282" s="21">
        <v>2866</v>
      </c>
      <c r="I282" s="18">
        <v>344</v>
      </c>
    </row>
    <row r="283" spans="1:9" hidden="1">
      <c r="A283" s="78" t="s">
        <v>606</v>
      </c>
      <c r="B283" s="8" t="s">
        <v>281</v>
      </c>
      <c r="C283" s="8" t="s">
        <v>573</v>
      </c>
      <c r="D283" s="2" t="s">
        <v>587</v>
      </c>
      <c r="E283" s="8" t="s">
        <v>595</v>
      </c>
      <c r="F283" s="19" t="s">
        <v>595</v>
      </c>
      <c r="G283" s="21">
        <v>7830</v>
      </c>
      <c r="H283" s="21">
        <v>9430</v>
      </c>
      <c r="I283" s="18">
        <v>1600</v>
      </c>
    </row>
    <row r="284" spans="1:9" hidden="1">
      <c r="A284" s="78" t="s">
        <v>606</v>
      </c>
      <c r="B284" s="8" t="s">
        <v>282</v>
      </c>
      <c r="C284" s="8" t="s">
        <v>574</v>
      </c>
      <c r="D284" s="2" t="s">
        <v>586</v>
      </c>
      <c r="E284" s="8" t="s">
        <v>594</v>
      </c>
      <c r="F284" s="19" t="s">
        <v>594</v>
      </c>
      <c r="G284" s="21">
        <v>9950</v>
      </c>
      <c r="H284" s="21">
        <v>9950</v>
      </c>
      <c r="I284" s="18">
        <v>0</v>
      </c>
    </row>
    <row r="285" spans="1:9" hidden="1">
      <c r="A285" s="78" t="s">
        <v>606</v>
      </c>
      <c r="B285" s="8" t="s">
        <v>283</v>
      </c>
      <c r="C285" s="8" t="s">
        <v>575</v>
      </c>
      <c r="D285" s="2" t="s">
        <v>586</v>
      </c>
      <c r="E285" s="8" t="s">
        <v>595</v>
      </c>
      <c r="F285" s="19" t="s">
        <v>595</v>
      </c>
      <c r="G285" s="21">
        <v>10000</v>
      </c>
      <c r="H285" s="18">
        <v>10000</v>
      </c>
      <c r="I285" s="18">
        <v>0</v>
      </c>
    </row>
    <row r="286" spans="1:9" hidden="1">
      <c r="A286" s="78" t="s">
        <v>606</v>
      </c>
      <c r="B286" s="5" t="s">
        <v>284</v>
      </c>
      <c r="C286" s="5" t="s">
        <v>576</v>
      </c>
      <c r="D286" s="2" t="s">
        <v>587</v>
      </c>
      <c r="E286" s="8" t="s">
        <v>592</v>
      </c>
      <c r="F286" s="8" t="s">
        <v>596</v>
      </c>
      <c r="G286" s="21">
        <v>6619.8</v>
      </c>
      <c r="H286" s="21">
        <v>7727</v>
      </c>
      <c r="I286" s="18">
        <v>1107.1999999999998</v>
      </c>
    </row>
    <row r="287" spans="1:9" hidden="1">
      <c r="A287" s="78" t="s">
        <v>606</v>
      </c>
      <c r="B287" s="8" t="s">
        <v>285</v>
      </c>
      <c r="C287" s="8" t="s">
        <v>577</v>
      </c>
      <c r="D287" s="2" t="s">
        <v>588</v>
      </c>
      <c r="E287" s="8" t="s">
        <v>592</v>
      </c>
      <c r="F287" s="8" t="s">
        <v>593</v>
      </c>
      <c r="G287" s="18">
        <v>12285</v>
      </c>
      <c r="H287" s="18">
        <v>12285</v>
      </c>
      <c r="I287" s="18">
        <v>0</v>
      </c>
    </row>
    <row r="288" spans="1:9" hidden="1">
      <c r="A288" s="78" t="s">
        <v>606</v>
      </c>
      <c r="B288" s="8" t="s">
        <v>286</v>
      </c>
      <c r="C288" s="8" t="s">
        <v>578</v>
      </c>
      <c r="D288" s="2" t="s">
        <v>587</v>
      </c>
      <c r="E288" s="8" t="s">
        <v>595</v>
      </c>
      <c r="F288" s="8" t="s">
        <v>593</v>
      </c>
      <c r="G288" s="18">
        <v>5546</v>
      </c>
      <c r="H288" s="18">
        <v>5546</v>
      </c>
      <c r="I288" s="18">
        <v>0</v>
      </c>
    </row>
    <row r="289" spans="1:9" hidden="1">
      <c r="A289" s="78" t="s">
        <v>606</v>
      </c>
      <c r="B289" s="8" t="s">
        <v>287</v>
      </c>
      <c r="C289" s="8" t="s">
        <v>579</v>
      </c>
      <c r="D289" s="2" t="s">
        <v>587</v>
      </c>
      <c r="E289" s="8" t="s">
        <v>595</v>
      </c>
      <c r="F289" s="19" t="s">
        <v>595</v>
      </c>
      <c r="G289" s="21">
        <v>9169</v>
      </c>
      <c r="H289" s="21">
        <v>9969</v>
      </c>
      <c r="I289" s="18">
        <v>800</v>
      </c>
    </row>
    <row r="290" spans="1:9" hidden="1">
      <c r="A290" s="78" t="s">
        <v>606</v>
      </c>
      <c r="B290" s="8" t="s">
        <v>288</v>
      </c>
      <c r="C290" s="8" t="s">
        <v>580</v>
      </c>
      <c r="D290" s="2" t="s">
        <v>587</v>
      </c>
      <c r="E290" s="8" t="s">
        <v>595</v>
      </c>
      <c r="F290" s="19" t="s">
        <v>595</v>
      </c>
      <c r="G290" s="21">
        <v>17818</v>
      </c>
      <c r="H290" s="21">
        <v>19818</v>
      </c>
      <c r="I290" s="18">
        <v>2000</v>
      </c>
    </row>
    <row r="291" spans="1:9" hidden="1">
      <c r="A291" s="78" t="s">
        <v>606</v>
      </c>
      <c r="B291" s="8" t="s">
        <v>289</v>
      </c>
      <c r="C291" s="8" t="s">
        <v>581</v>
      </c>
      <c r="D291" s="2" t="s">
        <v>587</v>
      </c>
      <c r="E291" s="8" t="s">
        <v>596</v>
      </c>
      <c r="F291" s="8" t="s">
        <v>596</v>
      </c>
      <c r="G291" s="21">
        <v>20296</v>
      </c>
      <c r="H291" s="21">
        <v>21596</v>
      </c>
      <c r="I291" s="18">
        <v>1300</v>
      </c>
    </row>
    <row r="292" spans="1:9" hidden="1">
      <c r="A292" s="78" t="s">
        <v>606</v>
      </c>
      <c r="B292" s="8" t="s">
        <v>290</v>
      </c>
      <c r="C292" s="8" t="s">
        <v>582</v>
      </c>
      <c r="D292" s="2" t="s">
        <v>587</v>
      </c>
      <c r="E292" s="8" t="s">
        <v>594</v>
      </c>
      <c r="F292" s="19" t="s">
        <v>594</v>
      </c>
      <c r="G292" s="21">
        <v>7080</v>
      </c>
      <c r="H292" s="21">
        <v>7480</v>
      </c>
      <c r="I292" s="18">
        <v>400</v>
      </c>
    </row>
    <row r="293" spans="1:9" hidden="1">
      <c r="A293" s="78" t="s">
        <v>606</v>
      </c>
      <c r="B293" s="11" t="s">
        <v>291</v>
      </c>
      <c r="C293" s="11" t="s">
        <v>583</v>
      </c>
      <c r="D293" s="2" t="s">
        <v>587</v>
      </c>
      <c r="E293" s="8" t="s">
        <v>594</v>
      </c>
      <c r="F293" s="19" t="s">
        <v>594</v>
      </c>
      <c r="G293" s="21">
        <v>7549</v>
      </c>
      <c r="H293" s="21">
        <v>7549</v>
      </c>
      <c r="I293" s="18">
        <v>0</v>
      </c>
    </row>
    <row r="294" spans="1:9" hidden="1">
      <c r="A294" s="78" t="s">
        <v>606</v>
      </c>
      <c r="B294" s="11" t="s">
        <v>292</v>
      </c>
      <c r="C294" s="11" t="s">
        <v>584</v>
      </c>
      <c r="D294" s="2" t="s">
        <v>587</v>
      </c>
      <c r="E294" s="8" t="s">
        <v>592</v>
      </c>
      <c r="F294" s="18" t="s">
        <v>592</v>
      </c>
      <c r="G294" s="21">
        <v>4516</v>
      </c>
      <c r="H294" s="21">
        <v>4916</v>
      </c>
      <c r="I294" s="18">
        <v>400</v>
      </c>
    </row>
    <row r="295" spans="1:9">
      <c r="A295" s="78" t="s">
        <v>606</v>
      </c>
      <c r="B295" s="8" t="s">
        <v>293</v>
      </c>
      <c r="C295" s="8" t="s">
        <v>310</v>
      </c>
      <c r="D295" s="8" t="s">
        <v>590</v>
      </c>
      <c r="E295" s="8" t="s">
        <v>593</v>
      </c>
      <c r="F295" s="8" t="s">
        <v>593</v>
      </c>
      <c r="G295" s="23">
        <v>20000</v>
      </c>
      <c r="H295" s="23">
        <v>21500</v>
      </c>
      <c r="I295" s="18">
        <v>1500</v>
      </c>
    </row>
    <row r="296" spans="1:9">
      <c r="A296" s="78" t="s">
        <v>607</v>
      </c>
      <c r="B296" s="2" t="s">
        <v>608</v>
      </c>
      <c r="C296" s="2" t="s">
        <v>750</v>
      </c>
      <c r="D296" s="2" t="s">
        <v>588</v>
      </c>
      <c r="E296" s="8" t="s">
        <v>593</v>
      </c>
      <c r="F296" s="8" t="s">
        <v>593</v>
      </c>
      <c r="G296" s="20">
        <v>10000</v>
      </c>
      <c r="H296" s="20">
        <v>10000</v>
      </c>
      <c r="I296" s="20">
        <f>H296-G296</f>
        <v>0</v>
      </c>
    </row>
    <row r="297" spans="1:9">
      <c r="A297" s="78" t="s">
        <v>607</v>
      </c>
      <c r="B297" s="2" t="s">
        <v>609</v>
      </c>
      <c r="C297" s="2" t="s">
        <v>751</v>
      </c>
      <c r="D297" s="2" t="s">
        <v>586</v>
      </c>
      <c r="E297" s="8" t="s">
        <v>593</v>
      </c>
      <c r="F297" s="8" t="s">
        <v>596</v>
      </c>
      <c r="G297" s="20">
        <v>8600</v>
      </c>
      <c r="H297" s="20">
        <v>9600</v>
      </c>
      <c r="I297" s="20">
        <f t="shared" ref="I297:I360" si="0">H297-G297</f>
        <v>1000</v>
      </c>
    </row>
    <row r="298" spans="1:9" hidden="1">
      <c r="A298" s="78" t="s">
        <v>607</v>
      </c>
      <c r="B298" s="2" t="s">
        <v>610</v>
      </c>
      <c r="C298" s="2" t="s">
        <v>752</v>
      </c>
      <c r="D298" s="2" t="s">
        <v>587</v>
      </c>
      <c r="E298" s="8" t="s">
        <v>595</v>
      </c>
      <c r="F298" s="19" t="s">
        <v>595</v>
      </c>
      <c r="G298" s="20">
        <v>4076</v>
      </c>
      <c r="H298" s="20">
        <v>6776</v>
      </c>
      <c r="I298" s="20">
        <f t="shared" si="0"/>
        <v>2700</v>
      </c>
    </row>
    <row r="299" spans="1:9" hidden="1">
      <c r="A299" s="78" t="s">
        <v>607</v>
      </c>
      <c r="B299" s="2" t="s">
        <v>611</v>
      </c>
      <c r="C299" s="2" t="s">
        <v>753</v>
      </c>
      <c r="D299" s="2" t="s">
        <v>587</v>
      </c>
      <c r="E299" s="2" t="s">
        <v>594</v>
      </c>
      <c r="F299" s="8" t="s">
        <v>596</v>
      </c>
      <c r="G299" s="20">
        <v>2223.9</v>
      </c>
      <c r="H299" s="20">
        <v>4223</v>
      </c>
      <c r="I299" s="20">
        <f t="shared" si="0"/>
        <v>1999.1</v>
      </c>
    </row>
    <row r="300" spans="1:9" hidden="1">
      <c r="A300" s="78" t="s">
        <v>607</v>
      </c>
      <c r="B300" s="2" t="s">
        <v>612</v>
      </c>
      <c r="C300" s="2" t="s">
        <v>754</v>
      </c>
      <c r="D300" s="2" t="s">
        <v>587</v>
      </c>
      <c r="E300" s="2" t="s">
        <v>594</v>
      </c>
      <c r="F300" s="19" t="s">
        <v>594</v>
      </c>
      <c r="G300" s="20">
        <v>8491.25</v>
      </c>
      <c r="H300" s="20">
        <v>9491</v>
      </c>
      <c r="I300" s="20">
        <f t="shared" si="0"/>
        <v>999.75</v>
      </c>
    </row>
    <row r="301" spans="1:9" hidden="1">
      <c r="A301" s="78" t="s">
        <v>607</v>
      </c>
      <c r="B301" s="4" t="s">
        <v>613</v>
      </c>
      <c r="C301" s="4" t="s">
        <v>755</v>
      </c>
      <c r="D301" s="2" t="s">
        <v>587</v>
      </c>
      <c r="E301" s="2" t="s">
        <v>594</v>
      </c>
      <c r="F301" s="8" t="s">
        <v>599</v>
      </c>
      <c r="G301" s="20">
        <v>9665</v>
      </c>
      <c r="H301" s="20">
        <v>9665</v>
      </c>
      <c r="I301" s="20">
        <f t="shared" si="0"/>
        <v>0</v>
      </c>
    </row>
    <row r="302" spans="1:9" hidden="1">
      <c r="A302" s="78" t="s">
        <v>607</v>
      </c>
      <c r="B302" s="2" t="s">
        <v>614</v>
      </c>
      <c r="C302" s="2" t="s">
        <v>756</v>
      </c>
      <c r="D302" s="2" t="s">
        <v>587</v>
      </c>
      <c r="E302" s="8" t="s">
        <v>592</v>
      </c>
      <c r="F302" s="8" t="s">
        <v>596</v>
      </c>
      <c r="G302" s="20">
        <v>5154</v>
      </c>
      <c r="H302" s="20">
        <v>5154</v>
      </c>
      <c r="I302" s="20">
        <f t="shared" si="0"/>
        <v>0</v>
      </c>
    </row>
    <row r="303" spans="1:9" hidden="1">
      <c r="A303" s="78" t="s">
        <v>607</v>
      </c>
      <c r="B303" s="2" t="s">
        <v>615</v>
      </c>
      <c r="C303" s="2" t="s">
        <v>757</v>
      </c>
      <c r="D303" s="2" t="s">
        <v>587</v>
      </c>
      <c r="E303" s="2" t="s">
        <v>594</v>
      </c>
      <c r="F303" s="8" t="s">
        <v>596</v>
      </c>
      <c r="G303" s="20">
        <v>3938</v>
      </c>
      <c r="H303" s="20">
        <v>5938</v>
      </c>
      <c r="I303" s="20">
        <f t="shared" si="0"/>
        <v>2000</v>
      </c>
    </row>
    <row r="304" spans="1:9">
      <c r="A304" s="78" t="s">
        <v>607</v>
      </c>
      <c r="B304" s="2" t="s">
        <v>616</v>
      </c>
      <c r="C304" s="2" t="s">
        <v>758</v>
      </c>
      <c r="D304" s="2" t="s">
        <v>586</v>
      </c>
      <c r="E304" s="8" t="s">
        <v>593</v>
      </c>
      <c r="F304" s="8" t="s">
        <v>596</v>
      </c>
      <c r="G304" s="20">
        <v>8350</v>
      </c>
      <c r="H304" s="20">
        <v>9350</v>
      </c>
      <c r="I304" s="20">
        <f t="shared" si="0"/>
        <v>1000</v>
      </c>
    </row>
    <row r="305" spans="1:9" hidden="1">
      <c r="A305" s="78" t="s">
        <v>607</v>
      </c>
      <c r="B305" s="2" t="s">
        <v>617</v>
      </c>
      <c r="C305" s="2" t="s">
        <v>759</v>
      </c>
      <c r="D305" s="2" t="s">
        <v>588</v>
      </c>
      <c r="E305" s="2" t="s">
        <v>594</v>
      </c>
      <c r="F305" s="8" t="s">
        <v>596</v>
      </c>
      <c r="G305" s="20">
        <v>8280</v>
      </c>
      <c r="H305" s="20">
        <v>9485</v>
      </c>
      <c r="I305" s="20">
        <f t="shared" si="0"/>
        <v>1205</v>
      </c>
    </row>
    <row r="306" spans="1:9" hidden="1">
      <c r="A306" s="78" t="s">
        <v>607</v>
      </c>
      <c r="B306" s="2" t="s">
        <v>618</v>
      </c>
      <c r="C306" s="2" t="s">
        <v>760</v>
      </c>
      <c r="D306" s="2" t="s">
        <v>587</v>
      </c>
      <c r="E306" s="2" t="s">
        <v>594</v>
      </c>
      <c r="F306" s="8" t="s">
        <v>599</v>
      </c>
      <c r="G306" s="19">
        <v>5754</v>
      </c>
      <c r="H306" s="20">
        <v>7754</v>
      </c>
      <c r="I306" s="20">
        <f t="shared" si="0"/>
        <v>2000</v>
      </c>
    </row>
    <row r="307" spans="1:9" hidden="1">
      <c r="A307" s="78" t="s">
        <v>607</v>
      </c>
      <c r="B307" s="2" t="s">
        <v>619</v>
      </c>
      <c r="C307" s="2" t="s">
        <v>761</v>
      </c>
      <c r="D307" s="2" t="s">
        <v>587</v>
      </c>
      <c r="E307" s="2" t="s">
        <v>594</v>
      </c>
      <c r="F307" s="8" t="s">
        <v>599</v>
      </c>
      <c r="G307" s="19">
        <f>8566+75</f>
        <v>8641</v>
      </c>
      <c r="H307" s="20">
        <v>10000</v>
      </c>
      <c r="I307" s="20">
        <f t="shared" si="0"/>
        <v>1359</v>
      </c>
    </row>
    <row r="308" spans="1:9" hidden="1">
      <c r="A308" s="78" t="s">
        <v>607</v>
      </c>
      <c r="B308" s="2" t="s">
        <v>620</v>
      </c>
      <c r="C308" s="2" t="s">
        <v>762</v>
      </c>
      <c r="D308" s="2" t="s">
        <v>588</v>
      </c>
      <c r="E308" s="8" t="s">
        <v>592</v>
      </c>
      <c r="F308" s="18" t="s">
        <v>601</v>
      </c>
      <c r="G308" s="20">
        <v>7000</v>
      </c>
      <c r="H308" s="20">
        <v>8000</v>
      </c>
      <c r="I308" s="20">
        <f t="shared" si="0"/>
        <v>1000</v>
      </c>
    </row>
    <row r="309" spans="1:9" hidden="1">
      <c r="A309" s="78" t="s">
        <v>607</v>
      </c>
      <c r="B309" s="4" t="s">
        <v>621</v>
      </c>
      <c r="C309" s="4" t="s">
        <v>763</v>
      </c>
      <c r="D309" s="2" t="s">
        <v>587</v>
      </c>
      <c r="E309" s="2" t="s">
        <v>594</v>
      </c>
      <c r="F309" s="18" t="s">
        <v>601</v>
      </c>
      <c r="G309" s="20">
        <v>4336.5</v>
      </c>
      <c r="H309" s="20">
        <v>6336</v>
      </c>
      <c r="I309" s="20">
        <f t="shared" si="0"/>
        <v>1999.5</v>
      </c>
    </row>
    <row r="310" spans="1:9" hidden="1">
      <c r="A310" s="78" t="s">
        <v>607</v>
      </c>
      <c r="B310" s="2" t="s">
        <v>622</v>
      </c>
      <c r="C310" s="2" t="s">
        <v>764</v>
      </c>
      <c r="D310" s="2" t="s">
        <v>587</v>
      </c>
      <c r="E310" s="2" t="s">
        <v>594</v>
      </c>
      <c r="F310" s="8" t="s">
        <v>596</v>
      </c>
      <c r="G310" s="20">
        <f>3000+3088</f>
        <v>6088</v>
      </c>
      <c r="H310" s="20">
        <v>8088</v>
      </c>
      <c r="I310" s="20">
        <f t="shared" si="0"/>
        <v>2000</v>
      </c>
    </row>
    <row r="311" spans="1:9" hidden="1">
      <c r="A311" s="78" t="s">
        <v>607</v>
      </c>
      <c r="B311" s="2" t="s">
        <v>623</v>
      </c>
      <c r="C311" s="2" t="s">
        <v>765</v>
      </c>
      <c r="D311" s="2" t="s">
        <v>587</v>
      </c>
      <c r="E311" s="8" t="s">
        <v>595</v>
      </c>
      <c r="F311" s="19" t="s">
        <v>595</v>
      </c>
      <c r="G311" s="20">
        <v>4314</v>
      </c>
      <c r="H311" s="20">
        <v>7714</v>
      </c>
      <c r="I311" s="20">
        <f t="shared" si="0"/>
        <v>3400</v>
      </c>
    </row>
    <row r="312" spans="1:9">
      <c r="A312" s="78" t="s">
        <v>607</v>
      </c>
      <c r="B312" s="2" t="s">
        <v>624</v>
      </c>
      <c r="C312" s="2" t="s">
        <v>500</v>
      </c>
      <c r="D312" s="2" t="s">
        <v>587</v>
      </c>
      <c r="E312" s="8" t="s">
        <v>593</v>
      </c>
      <c r="F312" s="18" t="s">
        <v>601</v>
      </c>
      <c r="G312" s="20">
        <v>4580.59</v>
      </c>
      <c r="H312" s="20">
        <v>5580</v>
      </c>
      <c r="I312" s="20">
        <f t="shared" si="0"/>
        <v>999.40999999999985</v>
      </c>
    </row>
    <row r="313" spans="1:9" hidden="1">
      <c r="A313" s="78" t="s">
        <v>607</v>
      </c>
      <c r="B313" s="2" t="s">
        <v>625</v>
      </c>
      <c r="C313" s="2" t="s">
        <v>766</v>
      </c>
      <c r="D313" s="2" t="s">
        <v>587</v>
      </c>
      <c r="E313" s="2" t="s">
        <v>594</v>
      </c>
      <c r="F313" s="18" t="s">
        <v>601</v>
      </c>
      <c r="G313" s="20">
        <v>9894</v>
      </c>
      <c r="H313" s="20">
        <v>9894</v>
      </c>
      <c r="I313" s="20">
        <f t="shared" si="0"/>
        <v>0</v>
      </c>
    </row>
    <row r="314" spans="1:9" hidden="1">
      <c r="A314" s="78" t="s">
        <v>607</v>
      </c>
      <c r="B314" s="2" t="s">
        <v>626</v>
      </c>
      <c r="C314" s="2" t="s">
        <v>767</v>
      </c>
      <c r="D314" s="2" t="s">
        <v>587</v>
      </c>
      <c r="E314" s="8" t="s">
        <v>595</v>
      </c>
      <c r="F314" s="19" t="s">
        <v>595</v>
      </c>
      <c r="G314" s="20">
        <f>6750+6053</f>
        <v>12803</v>
      </c>
      <c r="H314" s="20">
        <v>10000</v>
      </c>
      <c r="I314" s="20">
        <f t="shared" si="0"/>
        <v>-2803</v>
      </c>
    </row>
    <row r="315" spans="1:9" hidden="1">
      <c r="A315" s="78" t="s">
        <v>607</v>
      </c>
      <c r="B315" s="2" t="s">
        <v>627</v>
      </c>
      <c r="C315" s="2" t="s">
        <v>768</v>
      </c>
      <c r="D315" s="2" t="s">
        <v>586</v>
      </c>
      <c r="E315" s="8" t="s">
        <v>595</v>
      </c>
      <c r="F315" s="18" t="s">
        <v>601</v>
      </c>
      <c r="G315" s="20">
        <v>10000</v>
      </c>
      <c r="H315" s="20">
        <v>10000</v>
      </c>
      <c r="I315" s="20">
        <f t="shared" si="0"/>
        <v>0</v>
      </c>
    </row>
    <row r="316" spans="1:9">
      <c r="A316" s="78" t="s">
        <v>607</v>
      </c>
      <c r="B316" s="4" t="s">
        <v>254</v>
      </c>
      <c r="C316" s="4" t="s">
        <v>546</v>
      </c>
      <c r="D316" s="2" t="s">
        <v>587</v>
      </c>
      <c r="E316" s="8" t="s">
        <v>593</v>
      </c>
      <c r="F316" s="8" t="s">
        <v>593</v>
      </c>
      <c r="G316" s="19">
        <f>5000+12000</f>
        <v>17000</v>
      </c>
      <c r="H316" s="20">
        <v>17000</v>
      </c>
      <c r="I316" s="20">
        <f t="shared" si="0"/>
        <v>0</v>
      </c>
    </row>
    <row r="317" spans="1:9" hidden="1">
      <c r="A317" s="78" t="s">
        <v>607</v>
      </c>
      <c r="B317" s="2" t="s">
        <v>628</v>
      </c>
      <c r="C317" s="2" t="s">
        <v>769</v>
      </c>
      <c r="D317" s="2" t="s">
        <v>587</v>
      </c>
      <c r="E317" s="2" t="s">
        <v>594</v>
      </c>
      <c r="F317" s="19" t="s">
        <v>594</v>
      </c>
      <c r="G317" s="20">
        <v>3301</v>
      </c>
      <c r="H317" s="20">
        <v>5801</v>
      </c>
      <c r="I317" s="20">
        <f t="shared" si="0"/>
        <v>2500</v>
      </c>
    </row>
    <row r="318" spans="1:9" hidden="1">
      <c r="A318" s="78" t="s">
        <v>607</v>
      </c>
      <c r="B318" s="2" t="s">
        <v>629</v>
      </c>
      <c r="C318" s="2" t="s">
        <v>770</v>
      </c>
      <c r="D318" s="2" t="s">
        <v>587</v>
      </c>
      <c r="E318" s="2" t="s">
        <v>594</v>
      </c>
      <c r="F318" s="19" t="s">
        <v>594</v>
      </c>
      <c r="G318" s="20">
        <v>2350</v>
      </c>
      <c r="H318" s="20">
        <v>4350</v>
      </c>
      <c r="I318" s="20">
        <f t="shared" si="0"/>
        <v>2000</v>
      </c>
    </row>
    <row r="319" spans="1:9" hidden="1">
      <c r="A319" s="78" t="s">
        <v>607</v>
      </c>
      <c r="B319" s="2" t="s">
        <v>630</v>
      </c>
      <c r="C319" s="2" t="s">
        <v>771</v>
      </c>
      <c r="D319" s="2" t="s">
        <v>587</v>
      </c>
      <c r="E319" s="2" t="s">
        <v>594</v>
      </c>
      <c r="F319" s="8" t="s">
        <v>596</v>
      </c>
      <c r="G319" s="19">
        <f>8420+2731+1163</f>
        <v>12314</v>
      </c>
      <c r="H319" s="20">
        <v>12314</v>
      </c>
      <c r="I319" s="20">
        <f t="shared" si="0"/>
        <v>0</v>
      </c>
    </row>
    <row r="320" spans="1:9" hidden="1">
      <c r="A320" s="78" t="s">
        <v>607</v>
      </c>
      <c r="B320" s="2" t="s">
        <v>631</v>
      </c>
      <c r="C320" s="2" t="s">
        <v>772</v>
      </c>
      <c r="D320" s="2" t="s">
        <v>586</v>
      </c>
      <c r="E320" s="8" t="s">
        <v>595</v>
      </c>
      <c r="F320" s="8" t="s">
        <v>596</v>
      </c>
      <c r="G320" s="20">
        <v>9200</v>
      </c>
      <c r="H320" s="20">
        <v>9950</v>
      </c>
      <c r="I320" s="20">
        <f t="shared" si="0"/>
        <v>750</v>
      </c>
    </row>
    <row r="321" spans="1:9">
      <c r="A321" s="78" t="s">
        <v>607</v>
      </c>
      <c r="B321" s="2" t="s">
        <v>632</v>
      </c>
      <c r="C321" s="2" t="s">
        <v>773</v>
      </c>
      <c r="D321" s="2" t="s">
        <v>587</v>
      </c>
      <c r="E321" s="8" t="s">
        <v>593</v>
      </c>
      <c r="F321" s="8" t="s">
        <v>599</v>
      </c>
      <c r="G321" s="20">
        <f>8466+1361</f>
        <v>9827</v>
      </c>
      <c r="H321" s="20">
        <v>9827</v>
      </c>
      <c r="I321" s="20">
        <f t="shared" si="0"/>
        <v>0</v>
      </c>
    </row>
    <row r="322" spans="1:9" hidden="1">
      <c r="A322" s="78" t="s">
        <v>607</v>
      </c>
      <c r="B322" s="2" t="s">
        <v>633</v>
      </c>
      <c r="C322" s="2" t="s">
        <v>774</v>
      </c>
      <c r="D322" s="2" t="s">
        <v>587</v>
      </c>
      <c r="E322" s="8" t="s">
        <v>595</v>
      </c>
      <c r="F322" s="19" t="s">
        <v>595</v>
      </c>
      <c r="G322" s="20">
        <v>9504</v>
      </c>
      <c r="H322" s="20">
        <v>9504</v>
      </c>
      <c r="I322" s="20">
        <f t="shared" si="0"/>
        <v>0</v>
      </c>
    </row>
    <row r="323" spans="1:9" hidden="1">
      <c r="A323" s="78" t="s">
        <v>607</v>
      </c>
      <c r="B323" s="2" t="s">
        <v>634</v>
      </c>
      <c r="C323" s="2" t="s">
        <v>775</v>
      </c>
      <c r="D323" s="2" t="s">
        <v>587</v>
      </c>
      <c r="E323" s="8" t="s">
        <v>595</v>
      </c>
      <c r="F323" s="19" t="s">
        <v>595</v>
      </c>
      <c r="G323" s="20">
        <v>3820</v>
      </c>
      <c r="H323" s="20">
        <v>4820</v>
      </c>
      <c r="I323" s="20">
        <f t="shared" si="0"/>
        <v>1000</v>
      </c>
    </row>
    <row r="324" spans="1:9">
      <c r="A324" s="78" t="s">
        <v>607</v>
      </c>
      <c r="B324" s="4" t="s">
        <v>635</v>
      </c>
      <c r="C324" s="4" t="s">
        <v>776</v>
      </c>
      <c r="D324" s="2" t="s">
        <v>586</v>
      </c>
      <c r="E324" s="8" t="s">
        <v>593</v>
      </c>
      <c r="F324" s="8" t="s">
        <v>593</v>
      </c>
      <c r="G324" s="20">
        <v>6100</v>
      </c>
      <c r="H324" s="20">
        <v>8755</v>
      </c>
      <c r="I324" s="20">
        <f t="shared" si="0"/>
        <v>2655</v>
      </c>
    </row>
    <row r="325" spans="1:9">
      <c r="A325" s="78" t="s">
        <v>607</v>
      </c>
      <c r="B325" s="4" t="s">
        <v>636</v>
      </c>
      <c r="C325" s="2" t="s">
        <v>777</v>
      </c>
      <c r="D325" s="2" t="s">
        <v>586</v>
      </c>
      <c r="E325" s="8" t="s">
        <v>593</v>
      </c>
      <c r="F325" s="8" t="s">
        <v>593</v>
      </c>
      <c r="G325" s="20">
        <v>6600</v>
      </c>
      <c r="H325" s="20">
        <v>9675</v>
      </c>
      <c r="I325" s="20">
        <f t="shared" si="0"/>
        <v>3075</v>
      </c>
    </row>
    <row r="326" spans="1:9">
      <c r="A326" s="78" t="s">
        <v>607</v>
      </c>
      <c r="B326" s="2" t="s">
        <v>637</v>
      </c>
      <c r="C326" s="2" t="s">
        <v>778</v>
      </c>
      <c r="D326" s="2" t="s">
        <v>586</v>
      </c>
      <c r="E326" s="8" t="s">
        <v>593</v>
      </c>
      <c r="F326" s="8" t="s">
        <v>593</v>
      </c>
      <c r="G326" s="20">
        <v>8800</v>
      </c>
      <c r="H326" s="20">
        <v>9500</v>
      </c>
      <c r="I326" s="20">
        <f t="shared" si="0"/>
        <v>700</v>
      </c>
    </row>
    <row r="327" spans="1:9">
      <c r="A327" s="78" t="s">
        <v>607</v>
      </c>
      <c r="B327" s="2" t="s">
        <v>638</v>
      </c>
      <c r="C327" s="2" t="s">
        <v>779</v>
      </c>
      <c r="D327" s="2" t="s">
        <v>587</v>
      </c>
      <c r="E327" s="8" t="s">
        <v>593</v>
      </c>
      <c r="F327" s="8" t="s">
        <v>593</v>
      </c>
      <c r="G327" s="20">
        <v>2950</v>
      </c>
      <c r="H327" s="20">
        <v>5950</v>
      </c>
      <c r="I327" s="20">
        <f t="shared" si="0"/>
        <v>3000</v>
      </c>
    </row>
    <row r="328" spans="1:9">
      <c r="A328" s="78" t="s">
        <v>607</v>
      </c>
      <c r="B328" s="2" t="s">
        <v>639</v>
      </c>
      <c r="C328" s="2" t="s">
        <v>780</v>
      </c>
      <c r="D328" s="2" t="s">
        <v>587</v>
      </c>
      <c r="E328" s="8" t="s">
        <v>593</v>
      </c>
      <c r="F328" s="8" t="s">
        <v>593</v>
      </c>
      <c r="G328" s="20">
        <v>2981</v>
      </c>
      <c r="H328" s="20">
        <v>4981</v>
      </c>
      <c r="I328" s="20">
        <f t="shared" si="0"/>
        <v>2000</v>
      </c>
    </row>
    <row r="329" spans="1:9">
      <c r="A329" s="78" t="s">
        <v>607</v>
      </c>
      <c r="B329" s="4" t="s">
        <v>640</v>
      </c>
      <c r="C329" s="4" t="s">
        <v>781</v>
      </c>
      <c r="D329" s="2" t="s">
        <v>587</v>
      </c>
      <c r="E329" s="8" t="s">
        <v>593</v>
      </c>
      <c r="F329" s="8" t="s">
        <v>593</v>
      </c>
      <c r="G329" s="20">
        <v>7502</v>
      </c>
      <c r="H329" s="20">
        <v>8502</v>
      </c>
      <c r="I329" s="20">
        <f t="shared" si="0"/>
        <v>1000</v>
      </c>
    </row>
    <row r="330" spans="1:9" hidden="1">
      <c r="A330" s="78" t="s">
        <v>607</v>
      </c>
      <c r="B330" s="2" t="s">
        <v>274</v>
      </c>
      <c r="C330" s="2" t="s">
        <v>566</v>
      </c>
      <c r="D330" s="2" t="s">
        <v>587</v>
      </c>
      <c r="E330" s="8" t="s">
        <v>592</v>
      </c>
      <c r="F330" s="8" t="s">
        <v>596</v>
      </c>
      <c r="G330" s="20">
        <v>10620</v>
      </c>
      <c r="H330" s="20">
        <v>10620</v>
      </c>
      <c r="I330" s="20">
        <f t="shared" si="0"/>
        <v>0</v>
      </c>
    </row>
    <row r="331" spans="1:9" hidden="1">
      <c r="A331" s="78" t="s">
        <v>607</v>
      </c>
      <c r="B331" s="2" t="s">
        <v>641</v>
      </c>
      <c r="C331" s="2" t="s">
        <v>782</v>
      </c>
      <c r="D331" s="2" t="s">
        <v>587</v>
      </c>
      <c r="E331" s="8" t="s">
        <v>592</v>
      </c>
      <c r="F331" s="8" t="s">
        <v>596</v>
      </c>
      <c r="G331" s="20">
        <v>3791</v>
      </c>
      <c r="H331" s="20">
        <v>4891</v>
      </c>
      <c r="I331" s="20">
        <f t="shared" si="0"/>
        <v>1100</v>
      </c>
    </row>
    <row r="332" spans="1:9" hidden="1">
      <c r="A332" s="78" t="s">
        <v>607</v>
      </c>
      <c r="B332" s="2" t="s">
        <v>642</v>
      </c>
      <c r="C332" s="2" t="s">
        <v>783</v>
      </c>
      <c r="D332" s="2" t="s">
        <v>587</v>
      </c>
      <c r="E332" s="2" t="s">
        <v>594</v>
      </c>
      <c r="F332" s="8" t="s">
        <v>596</v>
      </c>
      <c r="G332" s="20">
        <v>3420</v>
      </c>
      <c r="H332" s="20">
        <v>4120</v>
      </c>
      <c r="I332" s="20">
        <f t="shared" si="0"/>
        <v>700</v>
      </c>
    </row>
    <row r="333" spans="1:9" hidden="1">
      <c r="A333" s="78" t="s">
        <v>607</v>
      </c>
      <c r="B333" s="2" t="s">
        <v>643</v>
      </c>
      <c r="C333" s="2" t="s">
        <v>784</v>
      </c>
      <c r="D333" s="2" t="s">
        <v>588</v>
      </c>
      <c r="E333" s="8" t="s">
        <v>592</v>
      </c>
      <c r="F333" s="18" t="s">
        <v>592</v>
      </c>
      <c r="G333" s="20">
        <v>8140</v>
      </c>
      <c r="H333" s="20">
        <v>9140</v>
      </c>
      <c r="I333" s="20">
        <f t="shared" si="0"/>
        <v>1000</v>
      </c>
    </row>
    <row r="334" spans="1:9" hidden="1">
      <c r="A334" s="78" t="s">
        <v>607</v>
      </c>
      <c r="B334" s="4" t="s">
        <v>644</v>
      </c>
      <c r="C334" s="4" t="s">
        <v>785</v>
      </c>
      <c r="D334" s="2" t="s">
        <v>586</v>
      </c>
      <c r="E334" s="8" t="s">
        <v>595</v>
      </c>
      <c r="F334" s="18" t="s">
        <v>601</v>
      </c>
      <c r="G334" s="20">
        <v>7905</v>
      </c>
      <c r="H334" s="20">
        <v>9125</v>
      </c>
      <c r="I334" s="20">
        <f t="shared" si="0"/>
        <v>1220</v>
      </c>
    </row>
    <row r="335" spans="1:9" hidden="1">
      <c r="A335" s="78" t="s">
        <v>607</v>
      </c>
      <c r="B335" s="2" t="s">
        <v>645</v>
      </c>
      <c r="C335" s="2" t="s">
        <v>786</v>
      </c>
      <c r="D335" s="2" t="s">
        <v>587</v>
      </c>
      <c r="E335" s="2" t="s">
        <v>594</v>
      </c>
      <c r="F335" s="19" t="s">
        <v>594</v>
      </c>
      <c r="G335" s="20">
        <v>7429.28</v>
      </c>
      <c r="H335" s="20">
        <v>8429</v>
      </c>
      <c r="I335" s="20">
        <f t="shared" si="0"/>
        <v>999.72000000000025</v>
      </c>
    </row>
    <row r="336" spans="1:9" hidden="1">
      <c r="A336" s="78" t="s">
        <v>607</v>
      </c>
      <c r="B336" s="2" t="s">
        <v>646</v>
      </c>
      <c r="C336" s="2" t="s">
        <v>787</v>
      </c>
      <c r="D336" s="2" t="s">
        <v>587</v>
      </c>
      <c r="E336" s="8" t="s">
        <v>592</v>
      </c>
      <c r="F336" s="18" t="s">
        <v>592</v>
      </c>
      <c r="G336" s="20">
        <v>4120</v>
      </c>
      <c r="H336" s="20">
        <v>5120</v>
      </c>
      <c r="I336" s="20">
        <f t="shared" si="0"/>
        <v>1000</v>
      </c>
    </row>
    <row r="337" spans="1:9" hidden="1">
      <c r="A337" s="78" t="s">
        <v>607</v>
      </c>
      <c r="B337" s="4" t="s">
        <v>647</v>
      </c>
      <c r="C337" s="4" t="s">
        <v>788</v>
      </c>
      <c r="D337" s="2" t="s">
        <v>587</v>
      </c>
      <c r="E337" s="8" t="s">
        <v>592</v>
      </c>
      <c r="F337" s="18" t="s">
        <v>592</v>
      </c>
      <c r="G337" s="19">
        <f>60+8402</f>
        <v>8462</v>
      </c>
      <c r="H337" s="20">
        <v>9581</v>
      </c>
      <c r="I337" s="20">
        <f t="shared" si="0"/>
        <v>1119</v>
      </c>
    </row>
    <row r="338" spans="1:9" hidden="1">
      <c r="A338" s="78" t="s">
        <v>607</v>
      </c>
      <c r="B338" s="2" t="s">
        <v>648</v>
      </c>
      <c r="C338" s="2" t="s">
        <v>789</v>
      </c>
      <c r="D338" s="2" t="s">
        <v>587</v>
      </c>
      <c r="E338" s="2" t="s">
        <v>594</v>
      </c>
      <c r="F338" s="8" t="s">
        <v>596</v>
      </c>
      <c r="G338" s="20">
        <v>4248</v>
      </c>
      <c r="H338" s="20">
        <v>5248</v>
      </c>
      <c r="I338" s="20">
        <f t="shared" si="0"/>
        <v>1000</v>
      </c>
    </row>
    <row r="339" spans="1:9" hidden="1">
      <c r="A339" s="78" t="s">
        <v>607</v>
      </c>
      <c r="B339" s="2" t="s">
        <v>649</v>
      </c>
      <c r="C339" s="2" t="s">
        <v>790</v>
      </c>
      <c r="D339" s="2" t="s">
        <v>586</v>
      </c>
      <c r="E339" s="8" t="s">
        <v>595</v>
      </c>
      <c r="F339" s="8" t="s">
        <v>596</v>
      </c>
      <c r="G339" s="20">
        <v>10000</v>
      </c>
      <c r="H339" s="20">
        <v>10000</v>
      </c>
      <c r="I339" s="20">
        <f t="shared" si="0"/>
        <v>0</v>
      </c>
    </row>
    <row r="340" spans="1:9" hidden="1">
      <c r="A340" s="78" t="s">
        <v>607</v>
      </c>
      <c r="B340" s="2" t="s">
        <v>650</v>
      </c>
      <c r="C340" s="2" t="s">
        <v>791</v>
      </c>
      <c r="D340" s="2" t="s">
        <v>587</v>
      </c>
      <c r="E340" s="8" t="s">
        <v>592</v>
      </c>
      <c r="F340" s="18" t="s">
        <v>601</v>
      </c>
      <c r="G340" s="19">
        <v>3222</v>
      </c>
      <c r="H340" s="20">
        <v>4222</v>
      </c>
      <c r="I340" s="20">
        <f t="shared" si="0"/>
        <v>1000</v>
      </c>
    </row>
    <row r="341" spans="1:9" hidden="1">
      <c r="A341" s="78" t="s">
        <v>607</v>
      </c>
      <c r="B341" s="2" t="s">
        <v>651</v>
      </c>
      <c r="C341" s="2" t="s">
        <v>792</v>
      </c>
      <c r="D341" s="2" t="s">
        <v>587</v>
      </c>
      <c r="E341" s="2" t="s">
        <v>594</v>
      </c>
      <c r="F341" s="18" t="s">
        <v>601</v>
      </c>
      <c r="G341" s="20">
        <f>3000+3800+40</f>
        <v>6840</v>
      </c>
      <c r="H341" s="20">
        <v>8840</v>
      </c>
      <c r="I341" s="20">
        <f t="shared" si="0"/>
        <v>2000</v>
      </c>
    </row>
    <row r="342" spans="1:9" hidden="1">
      <c r="A342" s="78" t="s">
        <v>607</v>
      </c>
      <c r="B342" s="2" t="s">
        <v>652</v>
      </c>
      <c r="C342" s="2" t="s">
        <v>793</v>
      </c>
      <c r="D342" s="2" t="s">
        <v>587</v>
      </c>
      <c r="E342" s="2" t="s">
        <v>594</v>
      </c>
      <c r="F342" s="8" t="s">
        <v>596</v>
      </c>
      <c r="G342" s="20">
        <v>1610</v>
      </c>
      <c r="H342" s="20">
        <v>3610</v>
      </c>
      <c r="I342" s="20">
        <f t="shared" si="0"/>
        <v>2000</v>
      </c>
    </row>
    <row r="343" spans="1:9" hidden="1">
      <c r="A343" s="78" t="s">
        <v>607</v>
      </c>
      <c r="B343" s="2" t="s">
        <v>653</v>
      </c>
      <c r="C343" s="2" t="s">
        <v>794</v>
      </c>
      <c r="D343" s="2" t="s">
        <v>587</v>
      </c>
      <c r="E343" s="2" t="s">
        <v>594</v>
      </c>
      <c r="F343" s="8" t="s">
        <v>596</v>
      </c>
      <c r="G343" s="20">
        <v>8025</v>
      </c>
      <c r="H343" s="20">
        <v>9025</v>
      </c>
      <c r="I343" s="20">
        <f t="shared" si="0"/>
        <v>1000</v>
      </c>
    </row>
    <row r="344" spans="1:9" hidden="1">
      <c r="A344" s="78" t="s">
        <v>607</v>
      </c>
      <c r="B344" s="2" t="s">
        <v>654</v>
      </c>
      <c r="C344" s="2" t="s">
        <v>795</v>
      </c>
      <c r="D344" s="2" t="s">
        <v>586</v>
      </c>
      <c r="E344" s="8" t="s">
        <v>592</v>
      </c>
      <c r="F344" s="8" t="s">
        <v>596</v>
      </c>
      <c r="G344" s="20">
        <v>10000</v>
      </c>
      <c r="H344" s="20">
        <v>10000</v>
      </c>
      <c r="I344" s="20">
        <f t="shared" si="0"/>
        <v>0</v>
      </c>
    </row>
    <row r="345" spans="1:9" hidden="1">
      <c r="A345" s="78" t="s">
        <v>607</v>
      </c>
      <c r="B345" s="2" t="s">
        <v>655</v>
      </c>
      <c r="C345" s="2" t="s">
        <v>796</v>
      </c>
      <c r="D345" s="2" t="s">
        <v>587</v>
      </c>
      <c r="E345" s="2" t="s">
        <v>594</v>
      </c>
      <c r="F345" s="18" t="s">
        <v>601</v>
      </c>
      <c r="G345" s="19">
        <f>200+7291</f>
        <v>7491</v>
      </c>
      <c r="H345" s="20">
        <v>10000</v>
      </c>
      <c r="I345" s="20">
        <f t="shared" si="0"/>
        <v>2509</v>
      </c>
    </row>
    <row r="346" spans="1:9">
      <c r="A346" s="78" t="s">
        <v>607</v>
      </c>
      <c r="B346" s="2" t="s">
        <v>656</v>
      </c>
      <c r="C346" s="2" t="s">
        <v>797</v>
      </c>
      <c r="D346" s="2" t="s">
        <v>587</v>
      </c>
      <c r="E346" s="8" t="s">
        <v>593</v>
      </c>
      <c r="F346" s="8" t="s">
        <v>599</v>
      </c>
      <c r="G346" s="20">
        <v>4718</v>
      </c>
      <c r="H346" s="20">
        <v>5718</v>
      </c>
      <c r="I346" s="20">
        <f t="shared" si="0"/>
        <v>1000</v>
      </c>
    </row>
    <row r="347" spans="1:9">
      <c r="A347" s="78" t="s">
        <v>607</v>
      </c>
      <c r="B347" s="2" t="s">
        <v>657</v>
      </c>
      <c r="C347" s="2" t="s">
        <v>798</v>
      </c>
      <c r="D347" s="2" t="s">
        <v>586</v>
      </c>
      <c r="E347" s="8" t="s">
        <v>593</v>
      </c>
      <c r="F347" s="18" t="s">
        <v>601</v>
      </c>
      <c r="G347" s="20">
        <v>8050</v>
      </c>
      <c r="H347" s="20">
        <v>9050</v>
      </c>
      <c r="I347" s="20">
        <f t="shared" si="0"/>
        <v>1000</v>
      </c>
    </row>
    <row r="348" spans="1:9" hidden="1">
      <c r="A348" s="78" t="s">
        <v>607</v>
      </c>
      <c r="B348" s="2" t="s">
        <v>658</v>
      </c>
      <c r="C348" s="2" t="s">
        <v>799</v>
      </c>
      <c r="D348" s="2" t="s">
        <v>587</v>
      </c>
      <c r="E348" s="8" t="s">
        <v>592</v>
      </c>
      <c r="F348" s="18" t="s">
        <v>601</v>
      </c>
      <c r="G348" s="20">
        <v>7076</v>
      </c>
      <c r="H348" s="20">
        <v>8776</v>
      </c>
      <c r="I348" s="20">
        <f t="shared" si="0"/>
        <v>1700</v>
      </c>
    </row>
    <row r="349" spans="1:9" hidden="1">
      <c r="A349" s="78" t="s">
        <v>607</v>
      </c>
      <c r="B349" s="2" t="s">
        <v>659</v>
      </c>
      <c r="C349" s="2" t="s">
        <v>800</v>
      </c>
      <c r="D349" s="2" t="s">
        <v>588</v>
      </c>
      <c r="E349" s="8" t="s">
        <v>592</v>
      </c>
      <c r="F349" s="8" t="s">
        <v>599</v>
      </c>
      <c r="G349" s="20">
        <v>3000</v>
      </c>
      <c r="H349" s="20">
        <v>5000</v>
      </c>
      <c r="I349" s="20">
        <f t="shared" si="0"/>
        <v>2000</v>
      </c>
    </row>
    <row r="350" spans="1:9" hidden="1">
      <c r="A350" s="78" t="s">
        <v>607</v>
      </c>
      <c r="B350" s="2" t="s">
        <v>660</v>
      </c>
      <c r="C350" s="2" t="s">
        <v>801</v>
      </c>
      <c r="D350" s="2" t="s">
        <v>587</v>
      </c>
      <c r="E350" s="8" t="s">
        <v>592</v>
      </c>
      <c r="F350" s="18" t="s">
        <v>592</v>
      </c>
      <c r="G350" s="20">
        <v>17700</v>
      </c>
      <c r="H350" s="20">
        <v>21700</v>
      </c>
      <c r="I350" s="20">
        <f t="shared" si="0"/>
        <v>4000</v>
      </c>
    </row>
    <row r="351" spans="1:9" hidden="1">
      <c r="A351" s="78" t="s">
        <v>607</v>
      </c>
      <c r="B351" s="2" t="s">
        <v>661</v>
      </c>
      <c r="C351" s="2" t="s">
        <v>802</v>
      </c>
      <c r="D351" s="2" t="s">
        <v>587</v>
      </c>
      <c r="E351" s="8" t="s">
        <v>592</v>
      </c>
      <c r="F351" s="18" t="s">
        <v>592</v>
      </c>
      <c r="G351" s="20">
        <v>6816</v>
      </c>
      <c r="H351" s="20">
        <v>8816</v>
      </c>
      <c r="I351" s="20">
        <f t="shared" si="0"/>
        <v>2000</v>
      </c>
    </row>
    <row r="352" spans="1:9" hidden="1">
      <c r="A352" s="78" t="s">
        <v>607</v>
      </c>
      <c r="B352" s="2" t="s">
        <v>662</v>
      </c>
      <c r="C352" s="2" t="s">
        <v>803</v>
      </c>
      <c r="D352" s="2" t="s">
        <v>587</v>
      </c>
      <c r="E352" s="8" t="s">
        <v>592</v>
      </c>
      <c r="F352" s="18" t="s">
        <v>592</v>
      </c>
      <c r="G352" s="20">
        <v>3537</v>
      </c>
      <c r="H352" s="20">
        <v>5537</v>
      </c>
      <c r="I352" s="20">
        <f t="shared" si="0"/>
        <v>2000</v>
      </c>
    </row>
    <row r="353" spans="1:9">
      <c r="A353" s="78" t="s">
        <v>607</v>
      </c>
      <c r="B353" s="2" t="s">
        <v>663</v>
      </c>
      <c r="C353" s="2" t="s">
        <v>804</v>
      </c>
      <c r="D353" s="2" t="s">
        <v>589</v>
      </c>
      <c r="E353" s="8" t="s">
        <v>593</v>
      </c>
      <c r="F353" s="8" t="s">
        <v>596</v>
      </c>
      <c r="G353" s="20">
        <v>21750</v>
      </c>
      <c r="H353" s="20">
        <v>21750</v>
      </c>
      <c r="I353" s="20">
        <f t="shared" si="0"/>
        <v>0</v>
      </c>
    </row>
    <row r="354" spans="1:9" hidden="1">
      <c r="A354" s="78" t="s">
        <v>607</v>
      </c>
      <c r="B354" s="2" t="s">
        <v>664</v>
      </c>
      <c r="C354" s="2" t="s">
        <v>805</v>
      </c>
      <c r="D354" s="2" t="s">
        <v>586</v>
      </c>
      <c r="E354" s="8" t="s">
        <v>595</v>
      </c>
      <c r="F354" s="8" t="s">
        <v>596</v>
      </c>
      <c r="G354" s="20">
        <v>10000</v>
      </c>
      <c r="H354" s="20">
        <v>10000</v>
      </c>
      <c r="I354" s="20">
        <f t="shared" si="0"/>
        <v>0</v>
      </c>
    </row>
    <row r="355" spans="1:9">
      <c r="A355" s="78" t="s">
        <v>607</v>
      </c>
      <c r="B355" s="2" t="s">
        <v>665</v>
      </c>
      <c r="C355" s="2" t="s">
        <v>806</v>
      </c>
      <c r="D355" s="2" t="s">
        <v>587</v>
      </c>
      <c r="E355" s="8" t="s">
        <v>593</v>
      </c>
      <c r="F355" s="8" t="s">
        <v>599</v>
      </c>
      <c r="G355" s="20">
        <v>4213</v>
      </c>
      <c r="H355" s="20">
        <v>5913</v>
      </c>
      <c r="I355" s="20">
        <f t="shared" si="0"/>
        <v>1700</v>
      </c>
    </row>
    <row r="356" spans="1:9" hidden="1">
      <c r="A356" s="78" t="s">
        <v>607</v>
      </c>
      <c r="B356" s="2" t="s">
        <v>666</v>
      </c>
      <c r="C356" s="2" t="s">
        <v>807</v>
      </c>
      <c r="D356" s="2" t="s">
        <v>586</v>
      </c>
      <c r="E356" s="8" t="s">
        <v>595</v>
      </c>
      <c r="F356" s="18" t="s">
        <v>601</v>
      </c>
      <c r="G356" s="20">
        <f>8400+945</f>
        <v>9345</v>
      </c>
      <c r="H356" s="20">
        <v>9765</v>
      </c>
      <c r="I356" s="20">
        <f t="shared" si="0"/>
        <v>420</v>
      </c>
    </row>
    <row r="357" spans="1:9" hidden="1">
      <c r="A357" s="78" t="s">
        <v>607</v>
      </c>
      <c r="B357" s="2" t="s">
        <v>667</v>
      </c>
      <c r="C357" s="2" t="s">
        <v>808</v>
      </c>
      <c r="D357" s="2" t="s">
        <v>587</v>
      </c>
      <c r="E357" s="2" t="s">
        <v>594</v>
      </c>
      <c r="F357" s="8" t="s">
        <v>599</v>
      </c>
      <c r="G357" s="20">
        <v>5192</v>
      </c>
      <c r="H357" s="20">
        <v>5192</v>
      </c>
      <c r="I357" s="20">
        <f t="shared" si="0"/>
        <v>0</v>
      </c>
    </row>
    <row r="358" spans="1:9" hidden="1">
      <c r="A358" s="78" t="s">
        <v>607</v>
      </c>
      <c r="B358" s="2" t="s">
        <v>668</v>
      </c>
      <c r="C358" s="2" t="s">
        <v>809</v>
      </c>
      <c r="D358" s="2" t="s">
        <v>587</v>
      </c>
      <c r="E358" s="2" t="s">
        <v>594</v>
      </c>
      <c r="F358" s="8" t="s">
        <v>599</v>
      </c>
      <c r="G358" s="20">
        <v>10000</v>
      </c>
      <c r="H358" s="20">
        <v>10000</v>
      </c>
      <c r="I358" s="20">
        <f t="shared" si="0"/>
        <v>0</v>
      </c>
    </row>
    <row r="359" spans="1:9" hidden="1">
      <c r="A359" s="78" t="s">
        <v>607</v>
      </c>
      <c r="B359" s="2" t="s">
        <v>669</v>
      </c>
      <c r="C359" s="2" t="s">
        <v>810</v>
      </c>
      <c r="D359" s="2" t="s">
        <v>587</v>
      </c>
      <c r="E359" s="8" t="s">
        <v>592</v>
      </c>
      <c r="F359" s="8" t="s">
        <v>599</v>
      </c>
      <c r="G359" s="20">
        <v>4196</v>
      </c>
      <c r="H359" s="20">
        <v>5196</v>
      </c>
      <c r="I359" s="20">
        <f t="shared" si="0"/>
        <v>1000</v>
      </c>
    </row>
    <row r="360" spans="1:9">
      <c r="A360" s="78" t="s">
        <v>607</v>
      </c>
      <c r="B360" s="2" t="s">
        <v>670</v>
      </c>
      <c r="C360" s="2" t="s">
        <v>811</v>
      </c>
      <c r="D360" s="2" t="s">
        <v>587</v>
      </c>
      <c r="E360" s="8" t="s">
        <v>593</v>
      </c>
      <c r="F360" s="8" t="s">
        <v>599</v>
      </c>
      <c r="G360" s="20">
        <v>12744</v>
      </c>
      <c r="H360" s="20">
        <v>12744</v>
      </c>
      <c r="I360" s="20">
        <f t="shared" si="0"/>
        <v>0</v>
      </c>
    </row>
    <row r="361" spans="1:9">
      <c r="A361" s="78" t="s">
        <v>607</v>
      </c>
      <c r="B361" s="2" t="s">
        <v>671</v>
      </c>
      <c r="C361" s="2" t="s">
        <v>812</v>
      </c>
      <c r="D361" s="2" t="s">
        <v>587</v>
      </c>
      <c r="E361" s="8" t="s">
        <v>593</v>
      </c>
      <c r="F361" s="8" t="s">
        <v>599</v>
      </c>
      <c r="G361" s="19">
        <f>100+5645</f>
        <v>5745</v>
      </c>
      <c r="H361" s="20">
        <v>7619</v>
      </c>
      <c r="I361" s="20">
        <f t="shared" ref="I361:I424" si="1">H361-G361</f>
        <v>1874</v>
      </c>
    </row>
    <row r="362" spans="1:9" hidden="1">
      <c r="A362" s="78" t="s">
        <v>607</v>
      </c>
      <c r="B362" s="2" t="s">
        <v>672</v>
      </c>
      <c r="C362" s="2" t="s">
        <v>813</v>
      </c>
      <c r="D362" s="2" t="s">
        <v>587</v>
      </c>
      <c r="E362" s="8" t="s">
        <v>595</v>
      </c>
      <c r="F362" s="19" t="s">
        <v>595</v>
      </c>
      <c r="G362" s="20">
        <v>6743</v>
      </c>
      <c r="H362" s="20">
        <v>8743</v>
      </c>
      <c r="I362" s="20">
        <f t="shared" si="1"/>
        <v>2000</v>
      </c>
    </row>
    <row r="363" spans="1:9" hidden="1">
      <c r="A363" s="78" t="s">
        <v>607</v>
      </c>
      <c r="B363" s="2" t="s">
        <v>673</v>
      </c>
      <c r="C363" s="2" t="s">
        <v>814</v>
      </c>
      <c r="D363" s="2" t="s">
        <v>587</v>
      </c>
      <c r="E363" s="8" t="s">
        <v>592</v>
      </c>
      <c r="F363" s="18" t="s">
        <v>592</v>
      </c>
      <c r="G363" s="20">
        <v>14035</v>
      </c>
      <c r="H363" s="20">
        <v>14035</v>
      </c>
      <c r="I363" s="20">
        <f t="shared" si="1"/>
        <v>0</v>
      </c>
    </row>
    <row r="364" spans="1:9" hidden="1">
      <c r="A364" s="78" t="s">
        <v>607</v>
      </c>
      <c r="B364" s="2" t="s">
        <v>674</v>
      </c>
      <c r="C364" s="2" t="s">
        <v>815</v>
      </c>
      <c r="D364" s="2" t="s">
        <v>587</v>
      </c>
      <c r="E364" s="8" t="s">
        <v>595</v>
      </c>
      <c r="F364" s="19" t="s">
        <v>595</v>
      </c>
      <c r="G364" s="20">
        <v>2304</v>
      </c>
      <c r="H364" s="20">
        <v>4304</v>
      </c>
      <c r="I364" s="20">
        <f t="shared" si="1"/>
        <v>2000</v>
      </c>
    </row>
    <row r="365" spans="1:9" hidden="1">
      <c r="A365" s="78" t="s">
        <v>607</v>
      </c>
      <c r="B365" s="2" t="s">
        <v>675</v>
      </c>
      <c r="C365" s="2" t="s">
        <v>816</v>
      </c>
      <c r="D365" s="2" t="s">
        <v>587</v>
      </c>
      <c r="E365" s="8" t="s">
        <v>595</v>
      </c>
      <c r="F365" s="19" t="s">
        <v>595</v>
      </c>
      <c r="G365" s="20">
        <v>5266</v>
      </c>
      <c r="H365" s="20">
        <v>7266</v>
      </c>
      <c r="I365" s="20">
        <f t="shared" si="1"/>
        <v>2000</v>
      </c>
    </row>
    <row r="366" spans="1:9" hidden="1">
      <c r="A366" s="78" t="s">
        <v>607</v>
      </c>
      <c r="B366" s="2" t="s">
        <v>676</v>
      </c>
      <c r="C366" s="2" t="s">
        <v>817</v>
      </c>
      <c r="D366" s="2" t="s">
        <v>587</v>
      </c>
      <c r="E366" s="8" t="s">
        <v>595</v>
      </c>
      <c r="F366" s="19" t="s">
        <v>595</v>
      </c>
      <c r="G366" s="20">
        <v>9364</v>
      </c>
      <c r="H366" s="20">
        <v>10000</v>
      </c>
      <c r="I366" s="20">
        <f t="shared" si="1"/>
        <v>636</v>
      </c>
    </row>
    <row r="367" spans="1:9" hidden="1">
      <c r="A367" s="78" t="s">
        <v>607</v>
      </c>
      <c r="B367" s="7" t="s">
        <v>677</v>
      </c>
      <c r="C367" s="7" t="s">
        <v>818</v>
      </c>
      <c r="D367" s="2" t="s">
        <v>588</v>
      </c>
      <c r="E367" s="8" t="s">
        <v>595</v>
      </c>
      <c r="F367" s="19" t="s">
        <v>595</v>
      </c>
      <c r="G367" s="20">
        <v>13028.7</v>
      </c>
      <c r="H367" s="20">
        <v>13029</v>
      </c>
      <c r="I367" s="20">
        <f t="shared" si="1"/>
        <v>0.2999999999992724</v>
      </c>
    </row>
    <row r="368" spans="1:9" hidden="1">
      <c r="A368" s="78" t="s">
        <v>607</v>
      </c>
      <c r="B368" s="2" t="s">
        <v>678</v>
      </c>
      <c r="C368" s="2" t="s">
        <v>819</v>
      </c>
      <c r="D368" s="2" t="s">
        <v>587</v>
      </c>
      <c r="E368" s="8" t="s">
        <v>595</v>
      </c>
      <c r="F368" s="19" t="s">
        <v>595</v>
      </c>
      <c r="G368" s="20">
        <v>7080</v>
      </c>
      <c r="H368" s="20">
        <v>8199</v>
      </c>
      <c r="I368" s="20">
        <f t="shared" si="1"/>
        <v>1119</v>
      </c>
    </row>
    <row r="369" spans="1:9" hidden="1">
      <c r="A369" s="78" t="s">
        <v>607</v>
      </c>
      <c r="B369" s="2" t="s">
        <v>679</v>
      </c>
      <c r="C369" s="2" t="s">
        <v>820</v>
      </c>
      <c r="D369" s="2" t="s">
        <v>587</v>
      </c>
      <c r="E369" s="8" t="s">
        <v>595</v>
      </c>
      <c r="F369" s="19" t="s">
        <v>595</v>
      </c>
      <c r="G369" s="20">
        <v>4843</v>
      </c>
      <c r="H369" s="20">
        <v>7192</v>
      </c>
      <c r="I369" s="20">
        <f t="shared" si="1"/>
        <v>2349</v>
      </c>
    </row>
    <row r="370" spans="1:9" hidden="1">
      <c r="A370" s="78" t="s">
        <v>607</v>
      </c>
      <c r="B370" s="2" t="s">
        <v>680</v>
      </c>
      <c r="C370" s="2" t="s">
        <v>821</v>
      </c>
      <c r="D370" s="2" t="s">
        <v>587</v>
      </c>
      <c r="E370" s="2" t="s">
        <v>594</v>
      </c>
      <c r="F370" s="19" t="s">
        <v>594</v>
      </c>
      <c r="G370" s="20">
        <v>7164</v>
      </c>
      <c r="H370" s="20">
        <v>8765</v>
      </c>
      <c r="I370" s="20">
        <f t="shared" si="1"/>
        <v>1601</v>
      </c>
    </row>
    <row r="371" spans="1:9" hidden="1">
      <c r="A371" s="78" t="s">
        <v>607</v>
      </c>
      <c r="B371" s="2" t="s">
        <v>681</v>
      </c>
      <c r="C371" s="2" t="s">
        <v>822</v>
      </c>
      <c r="D371" s="2" t="s">
        <v>588</v>
      </c>
      <c r="E371" s="2" t="s">
        <v>594</v>
      </c>
      <c r="F371" s="8" t="s">
        <v>596</v>
      </c>
      <c r="G371" s="20">
        <v>6720</v>
      </c>
      <c r="H371" s="20">
        <v>8720</v>
      </c>
      <c r="I371" s="20">
        <f t="shared" si="1"/>
        <v>2000</v>
      </c>
    </row>
    <row r="372" spans="1:9" hidden="1">
      <c r="A372" s="78" t="s">
        <v>607</v>
      </c>
      <c r="B372" s="2" t="s">
        <v>682</v>
      </c>
      <c r="C372" s="2" t="s">
        <v>823</v>
      </c>
      <c r="D372" s="2" t="s">
        <v>587</v>
      </c>
      <c r="E372" s="8" t="s">
        <v>595</v>
      </c>
      <c r="F372" s="8" t="s">
        <v>596</v>
      </c>
      <c r="G372" s="20">
        <v>7522</v>
      </c>
      <c r="H372" s="20">
        <v>9122</v>
      </c>
      <c r="I372" s="20">
        <f t="shared" si="1"/>
        <v>1600</v>
      </c>
    </row>
    <row r="373" spans="1:9" hidden="1">
      <c r="A373" s="78" t="s">
        <v>607</v>
      </c>
      <c r="B373" s="2" t="s">
        <v>683</v>
      </c>
      <c r="C373" s="2" t="s">
        <v>824</v>
      </c>
      <c r="D373" s="2" t="s">
        <v>587</v>
      </c>
      <c r="E373" s="2" t="s">
        <v>594</v>
      </c>
      <c r="F373" s="8" t="s">
        <v>596</v>
      </c>
      <c r="G373" s="20">
        <v>9500</v>
      </c>
      <c r="H373" s="20">
        <v>9500</v>
      </c>
      <c r="I373" s="20">
        <f t="shared" si="1"/>
        <v>0</v>
      </c>
    </row>
    <row r="374" spans="1:9" hidden="1">
      <c r="A374" s="78" t="s">
        <v>607</v>
      </c>
      <c r="B374" s="2" t="s">
        <v>684</v>
      </c>
      <c r="C374" s="2" t="s">
        <v>825</v>
      </c>
      <c r="D374" s="2" t="s">
        <v>587</v>
      </c>
      <c r="E374" s="8" t="s">
        <v>595</v>
      </c>
      <c r="F374" s="8" t="s">
        <v>596</v>
      </c>
      <c r="G374" s="20">
        <v>3207</v>
      </c>
      <c r="H374" s="20">
        <v>4207</v>
      </c>
      <c r="I374" s="20">
        <f t="shared" si="1"/>
        <v>1000</v>
      </c>
    </row>
    <row r="375" spans="1:9" hidden="1">
      <c r="A375" s="78" t="s">
        <v>607</v>
      </c>
      <c r="B375" s="3" t="s">
        <v>685</v>
      </c>
      <c r="C375" s="3" t="s">
        <v>826</v>
      </c>
      <c r="D375" s="2" t="s">
        <v>587</v>
      </c>
      <c r="E375" s="3" t="s">
        <v>594</v>
      </c>
      <c r="F375" s="19" t="s">
        <v>594</v>
      </c>
      <c r="G375" s="20">
        <v>6075</v>
      </c>
      <c r="H375" s="20">
        <v>8075</v>
      </c>
      <c r="I375" s="20">
        <f t="shared" si="1"/>
        <v>2000</v>
      </c>
    </row>
    <row r="376" spans="1:9" hidden="1">
      <c r="A376" s="78" t="s">
        <v>607</v>
      </c>
      <c r="B376" s="2" t="s">
        <v>686</v>
      </c>
      <c r="C376" s="2" t="s">
        <v>827</v>
      </c>
      <c r="D376" s="2" t="s">
        <v>587</v>
      </c>
      <c r="E376" s="2" t="s">
        <v>594</v>
      </c>
      <c r="F376" s="18" t="s">
        <v>601</v>
      </c>
      <c r="G376" s="20">
        <v>4090</v>
      </c>
      <c r="H376" s="20">
        <v>6090</v>
      </c>
      <c r="I376" s="20">
        <f t="shared" si="1"/>
        <v>2000</v>
      </c>
    </row>
    <row r="377" spans="1:9" hidden="1">
      <c r="A377" s="78" t="s">
        <v>607</v>
      </c>
      <c r="B377" s="2" t="s">
        <v>687</v>
      </c>
      <c r="C377" s="2" t="s">
        <v>828</v>
      </c>
      <c r="D377" s="2" t="s">
        <v>587</v>
      </c>
      <c r="E377" s="8" t="s">
        <v>595</v>
      </c>
      <c r="F377" s="19" t="s">
        <v>595</v>
      </c>
      <c r="G377" s="20">
        <v>2811</v>
      </c>
      <c r="H377" s="20">
        <v>4811</v>
      </c>
      <c r="I377" s="20">
        <f t="shared" si="1"/>
        <v>2000</v>
      </c>
    </row>
    <row r="378" spans="1:9" hidden="1">
      <c r="A378" s="78" t="s">
        <v>607</v>
      </c>
      <c r="B378" s="2" t="s">
        <v>688</v>
      </c>
      <c r="C378" s="2" t="s">
        <v>829</v>
      </c>
      <c r="D378" s="2" t="s">
        <v>588</v>
      </c>
      <c r="E378" s="8" t="s">
        <v>592</v>
      </c>
      <c r="F378" s="18" t="s">
        <v>592</v>
      </c>
      <c r="G378" s="20">
        <f>8055+450</f>
        <v>8505</v>
      </c>
      <c r="H378" s="20">
        <v>9505</v>
      </c>
      <c r="I378" s="20">
        <f t="shared" si="1"/>
        <v>1000</v>
      </c>
    </row>
    <row r="379" spans="1:9" hidden="1">
      <c r="A379" s="78" t="s">
        <v>607</v>
      </c>
      <c r="B379" s="2" t="s">
        <v>689</v>
      </c>
      <c r="C379" s="2" t="s">
        <v>830</v>
      </c>
      <c r="D379" s="2" t="s">
        <v>588</v>
      </c>
      <c r="E379" s="8" t="s">
        <v>595</v>
      </c>
      <c r="F379" s="19" t="s">
        <v>595</v>
      </c>
      <c r="G379" s="20">
        <v>20000</v>
      </c>
      <c r="H379" s="20">
        <v>22000</v>
      </c>
      <c r="I379" s="20">
        <f t="shared" si="1"/>
        <v>2000</v>
      </c>
    </row>
    <row r="380" spans="1:9" hidden="1">
      <c r="A380" s="78" t="s">
        <v>607</v>
      </c>
      <c r="B380" s="2" t="s">
        <v>690</v>
      </c>
      <c r="C380" s="2" t="s">
        <v>831</v>
      </c>
      <c r="D380" s="2" t="s">
        <v>587</v>
      </c>
      <c r="E380" s="8" t="s">
        <v>592</v>
      </c>
      <c r="F380" s="18" t="s">
        <v>592</v>
      </c>
      <c r="G380" s="20">
        <v>9381</v>
      </c>
      <c r="H380" s="20">
        <v>9881</v>
      </c>
      <c r="I380" s="20">
        <f t="shared" si="1"/>
        <v>500</v>
      </c>
    </row>
    <row r="381" spans="1:9" hidden="1">
      <c r="A381" s="78" t="s">
        <v>607</v>
      </c>
      <c r="B381" s="2" t="s">
        <v>691</v>
      </c>
      <c r="C381" s="2" t="s">
        <v>832</v>
      </c>
      <c r="D381" s="2" t="s">
        <v>588</v>
      </c>
      <c r="E381" s="8" t="s">
        <v>592</v>
      </c>
      <c r="F381" s="18" t="s">
        <v>592</v>
      </c>
      <c r="G381" s="20">
        <v>16380</v>
      </c>
      <c r="H381" s="20">
        <v>13000</v>
      </c>
      <c r="I381" s="20">
        <f t="shared" si="1"/>
        <v>-3380</v>
      </c>
    </row>
    <row r="382" spans="1:9" hidden="1">
      <c r="A382" s="78" t="s">
        <v>607</v>
      </c>
      <c r="B382" s="2" t="s">
        <v>692</v>
      </c>
      <c r="C382" s="2" t="s">
        <v>833</v>
      </c>
      <c r="D382" s="2" t="s">
        <v>587</v>
      </c>
      <c r="E382" s="8" t="s">
        <v>595</v>
      </c>
      <c r="F382" s="19" t="s">
        <v>595</v>
      </c>
      <c r="G382" s="20">
        <v>9346</v>
      </c>
      <c r="H382" s="20">
        <v>10000</v>
      </c>
      <c r="I382" s="20">
        <f t="shared" si="1"/>
        <v>654</v>
      </c>
    </row>
    <row r="383" spans="1:9" hidden="1">
      <c r="A383" s="78" t="s">
        <v>607</v>
      </c>
      <c r="B383" s="2" t="s">
        <v>693</v>
      </c>
      <c r="C383" s="2" t="s">
        <v>834</v>
      </c>
      <c r="D383" s="2" t="s">
        <v>586</v>
      </c>
      <c r="E383" s="8" t="s">
        <v>595</v>
      </c>
      <c r="F383" s="19" t="s">
        <v>595</v>
      </c>
      <c r="G383" s="20">
        <v>10000</v>
      </c>
      <c r="H383" s="20">
        <v>10000</v>
      </c>
      <c r="I383" s="20">
        <f t="shared" si="1"/>
        <v>0</v>
      </c>
    </row>
    <row r="384" spans="1:9">
      <c r="A384" s="78" t="s">
        <v>607</v>
      </c>
      <c r="B384" s="3" t="s">
        <v>694</v>
      </c>
      <c r="C384" s="3" t="s">
        <v>835</v>
      </c>
      <c r="D384" s="2" t="s">
        <v>587</v>
      </c>
      <c r="E384" s="8" t="s">
        <v>593</v>
      </c>
      <c r="F384" s="8" t="s">
        <v>593</v>
      </c>
      <c r="G384" s="20">
        <v>4394</v>
      </c>
      <c r="H384" s="20">
        <v>6394</v>
      </c>
      <c r="I384" s="20">
        <f t="shared" si="1"/>
        <v>2000</v>
      </c>
    </row>
    <row r="385" spans="1:9">
      <c r="A385" s="78" t="s">
        <v>607</v>
      </c>
      <c r="B385" s="3" t="s">
        <v>695</v>
      </c>
      <c r="C385" s="3" t="s">
        <v>836</v>
      </c>
      <c r="D385" s="2" t="s">
        <v>587</v>
      </c>
      <c r="E385" s="8" t="s">
        <v>593</v>
      </c>
      <c r="F385" s="8" t="s">
        <v>593</v>
      </c>
      <c r="G385" s="20">
        <v>3430</v>
      </c>
      <c r="H385" s="20">
        <v>5430</v>
      </c>
      <c r="I385" s="20">
        <f t="shared" si="1"/>
        <v>2000</v>
      </c>
    </row>
    <row r="386" spans="1:9">
      <c r="A386" s="78" t="s">
        <v>607</v>
      </c>
      <c r="B386" s="2" t="s">
        <v>696</v>
      </c>
      <c r="C386" s="4" t="s">
        <v>837</v>
      </c>
      <c r="D386" s="2" t="s">
        <v>587</v>
      </c>
      <c r="E386" s="8" t="s">
        <v>593</v>
      </c>
      <c r="F386" s="8" t="s">
        <v>593</v>
      </c>
      <c r="G386" s="20">
        <v>2441</v>
      </c>
      <c r="H386" s="20">
        <v>4441</v>
      </c>
      <c r="I386" s="20">
        <f t="shared" si="1"/>
        <v>2000</v>
      </c>
    </row>
    <row r="387" spans="1:9" hidden="1">
      <c r="A387" s="78" t="s">
        <v>607</v>
      </c>
      <c r="B387" s="2" t="s">
        <v>697</v>
      </c>
      <c r="C387" s="2" t="s">
        <v>838</v>
      </c>
      <c r="D387" s="2" t="s">
        <v>587</v>
      </c>
      <c r="E387" s="8" t="s">
        <v>595</v>
      </c>
      <c r="F387" s="19" t="s">
        <v>595</v>
      </c>
      <c r="G387" s="20">
        <v>7021</v>
      </c>
      <c r="H387" s="20">
        <v>9021</v>
      </c>
      <c r="I387" s="20">
        <f t="shared" si="1"/>
        <v>2000</v>
      </c>
    </row>
    <row r="388" spans="1:9">
      <c r="A388" s="78" t="s">
        <v>607</v>
      </c>
      <c r="B388" s="2" t="s">
        <v>698</v>
      </c>
      <c r="C388" s="2" t="s">
        <v>839</v>
      </c>
      <c r="D388" s="2" t="s">
        <v>587</v>
      </c>
      <c r="E388" s="8" t="s">
        <v>593</v>
      </c>
      <c r="F388" s="8" t="s">
        <v>593</v>
      </c>
      <c r="G388" s="20">
        <v>4000</v>
      </c>
      <c r="H388" s="20">
        <v>6000</v>
      </c>
      <c r="I388" s="20">
        <f t="shared" si="1"/>
        <v>2000</v>
      </c>
    </row>
    <row r="389" spans="1:9">
      <c r="A389" s="78" t="s">
        <v>607</v>
      </c>
      <c r="B389" s="2" t="s">
        <v>699</v>
      </c>
      <c r="C389" s="2" t="s">
        <v>840</v>
      </c>
      <c r="D389" s="2" t="s">
        <v>587</v>
      </c>
      <c r="E389" s="8" t="s">
        <v>593</v>
      </c>
      <c r="F389" s="8" t="s">
        <v>593</v>
      </c>
      <c r="G389" s="20">
        <v>4720</v>
      </c>
      <c r="H389" s="20">
        <v>6720</v>
      </c>
      <c r="I389" s="20">
        <f t="shared" si="1"/>
        <v>2000</v>
      </c>
    </row>
    <row r="390" spans="1:9">
      <c r="A390" s="78" t="s">
        <v>607</v>
      </c>
      <c r="B390" s="2" t="s">
        <v>700</v>
      </c>
      <c r="C390" s="2" t="s">
        <v>841</v>
      </c>
      <c r="D390" s="2" t="s">
        <v>587</v>
      </c>
      <c r="E390" s="8" t="s">
        <v>593</v>
      </c>
      <c r="F390" s="8" t="s">
        <v>593</v>
      </c>
      <c r="G390" s="20">
        <v>4720</v>
      </c>
      <c r="H390" s="20">
        <v>6720</v>
      </c>
      <c r="I390" s="20">
        <f t="shared" si="1"/>
        <v>2000</v>
      </c>
    </row>
    <row r="391" spans="1:9" hidden="1">
      <c r="A391" s="78" t="s">
        <v>607</v>
      </c>
      <c r="B391" s="2" t="s">
        <v>701</v>
      </c>
      <c r="C391" s="2" t="s">
        <v>842</v>
      </c>
      <c r="D391" s="2" t="s">
        <v>587</v>
      </c>
      <c r="E391" s="2" t="s">
        <v>594</v>
      </c>
      <c r="F391" s="19" t="s">
        <v>594</v>
      </c>
      <c r="G391" s="20">
        <v>7073</v>
      </c>
      <c r="H391" s="20">
        <v>9073</v>
      </c>
      <c r="I391" s="20">
        <f t="shared" si="1"/>
        <v>2000</v>
      </c>
    </row>
    <row r="392" spans="1:9" hidden="1">
      <c r="A392" s="78" t="s">
        <v>607</v>
      </c>
      <c r="B392" s="2" t="s">
        <v>702</v>
      </c>
      <c r="C392" s="2" t="s">
        <v>843</v>
      </c>
      <c r="D392" s="2" t="s">
        <v>587</v>
      </c>
      <c r="E392" s="2" t="s">
        <v>594</v>
      </c>
      <c r="F392" s="19" t="s">
        <v>594</v>
      </c>
      <c r="G392" s="20">
        <v>6828</v>
      </c>
      <c r="H392" s="20">
        <v>7828</v>
      </c>
      <c r="I392" s="20">
        <f t="shared" si="1"/>
        <v>1000</v>
      </c>
    </row>
    <row r="393" spans="1:9" hidden="1">
      <c r="A393" s="78" t="s">
        <v>607</v>
      </c>
      <c r="B393" s="2" t="s">
        <v>703</v>
      </c>
      <c r="C393" s="2" t="s">
        <v>844</v>
      </c>
      <c r="D393" s="2" t="s">
        <v>587</v>
      </c>
      <c r="E393" s="2" t="s">
        <v>594</v>
      </c>
      <c r="F393" s="19" t="s">
        <v>594</v>
      </c>
      <c r="G393" s="20">
        <v>2741</v>
      </c>
      <c r="H393" s="20">
        <v>4841</v>
      </c>
      <c r="I393" s="20">
        <f t="shared" si="1"/>
        <v>2100</v>
      </c>
    </row>
    <row r="394" spans="1:9" hidden="1">
      <c r="A394" s="78" t="s">
        <v>607</v>
      </c>
      <c r="B394" s="2" t="s">
        <v>704</v>
      </c>
      <c r="C394" s="2" t="s">
        <v>845</v>
      </c>
      <c r="D394" s="2" t="s">
        <v>587</v>
      </c>
      <c r="E394" s="8" t="s">
        <v>595</v>
      </c>
      <c r="F394" s="19" t="s">
        <v>595</v>
      </c>
      <c r="G394" s="20">
        <v>4696</v>
      </c>
      <c r="H394" s="20">
        <v>10000</v>
      </c>
      <c r="I394" s="20">
        <f t="shared" si="1"/>
        <v>5304</v>
      </c>
    </row>
    <row r="395" spans="1:9">
      <c r="A395" s="78" t="s">
        <v>607</v>
      </c>
      <c r="B395" s="2" t="s">
        <v>705</v>
      </c>
      <c r="C395" s="2" t="s">
        <v>846</v>
      </c>
      <c r="D395" s="2" t="s">
        <v>587</v>
      </c>
      <c r="E395" s="8" t="s">
        <v>593</v>
      </c>
      <c r="F395" s="8" t="s">
        <v>596</v>
      </c>
      <c r="G395" s="20">
        <f>7499+2000</f>
        <v>9499</v>
      </c>
      <c r="H395" s="20">
        <v>9499</v>
      </c>
      <c r="I395" s="20">
        <f t="shared" si="1"/>
        <v>0</v>
      </c>
    </row>
    <row r="396" spans="1:9">
      <c r="A396" s="78" t="s">
        <v>607</v>
      </c>
      <c r="B396" s="2" t="s">
        <v>706</v>
      </c>
      <c r="C396" s="2" t="s">
        <v>847</v>
      </c>
      <c r="D396" s="2" t="s">
        <v>588</v>
      </c>
      <c r="E396" s="8" t="s">
        <v>593</v>
      </c>
      <c r="F396" s="8" t="s">
        <v>593</v>
      </c>
      <c r="G396" s="20">
        <v>7000</v>
      </c>
      <c r="H396" s="20">
        <v>8999</v>
      </c>
      <c r="I396" s="20">
        <f t="shared" si="1"/>
        <v>1999</v>
      </c>
    </row>
    <row r="397" spans="1:9">
      <c r="A397" s="78" t="s">
        <v>607</v>
      </c>
      <c r="B397" s="2" t="s">
        <v>707</v>
      </c>
      <c r="C397" s="2" t="s">
        <v>848</v>
      </c>
      <c r="D397" s="2" t="s">
        <v>587</v>
      </c>
      <c r="E397" s="8" t="s">
        <v>593</v>
      </c>
      <c r="F397" s="8" t="s">
        <v>593</v>
      </c>
      <c r="G397" s="20">
        <v>2110.5</v>
      </c>
      <c r="H397" s="20">
        <v>4110</v>
      </c>
      <c r="I397" s="20">
        <f t="shared" si="1"/>
        <v>1999.5</v>
      </c>
    </row>
    <row r="398" spans="1:9">
      <c r="A398" s="78" t="s">
        <v>607</v>
      </c>
      <c r="B398" s="3" t="s">
        <v>708</v>
      </c>
      <c r="C398" s="3" t="s">
        <v>849</v>
      </c>
      <c r="D398" s="2" t="s">
        <v>587</v>
      </c>
      <c r="E398" s="8" t="s">
        <v>593</v>
      </c>
      <c r="F398" s="8" t="s">
        <v>599</v>
      </c>
      <c r="G398" s="20">
        <v>8125</v>
      </c>
      <c r="H398" s="20">
        <v>9125</v>
      </c>
      <c r="I398" s="20">
        <f t="shared" si="1"/>
        <v>1000</v>
      </c>
    </row>
    <row r="399" spans="1:9">
      <c r="A399" s="78" t="s">
        <v>607</v>
      </c>
      <c r="B399" s="2" t="s">
        <v>709</v>
      </c>
      <c r="C399" s="2" t="s">
        <v>850</v>
      </c>
      <c r="D399" s="2" t="s">
        <v>587</v>
      </c>
      <c r="E399" s="8" t="s">
        <v>593</v>
      </c>
      <c r="F399" s="8" t="s">
        <v>599</v>
      </c>
      <c r="G399" s="20">
        <v>4717.6400000000003</v>
      </c>
      <c r="H399" s="20">
        <v>5917</v>
      </c>
      <c r="I399" s="20">
        <f t="shared" si="1"/>
        <v>1199.3599999999997</v>
      </c>
    </row>
    <row r="400" spans="1:9" hidden="1">
      <c r="A400" s="78" t="s">
        <v>607</v>
      </c>
      <c r="B400" s="2" t="s">
        <v>710</v>
      </c>
      <c r="C400" s="2" t="s">
        <v>851</v>
      </c>
      <c r="D400" s="2" t="s">
        <v>587</v>
      </c>
      <c r="E400" s="2" t="s">
        <v>594</v>
      </c>
      <c r="F400" s="18" t="s">
        <v>601</v>
      </c>
      <c r="G400" s="20">
        <v>7847</v>
      </c>
      <c r="H400" s="20">
        <v>9147</v>
      </c>
      <c r="I400" s="20">
        <f t="shared" si="1"/>
        <v>1300</v>
      </c>
    </row>
    <row r="401" spans="1:9" hidden="1">
      <c r="A401" s="78" t="s">
        <v>607</v>
      </c>
      <c r="B401" s="2" t="s">
        <v>711</v>
      </c>
      <c r="C401" s="2" t="s">
        <v>852</v>
      </c>
      <c r="D401" s="2" t="s">
        <v>587</v>
      </c>
      <c r="E401" s="8" t="s">
        <v>595</v>
      </c>
      <c r="F401" s="8" t="s">
        <v>596</v>
      </c>
      <c r="G401" s="20">
        <v>1480</v>
      </c>
      <c r="H401" s="20">
        <v>2780</v>
      </c>
      <c r="I401" s="20">
        <f t="shared" si="1"/>
        <v>1300</v>
      </c>
    </row>
    <row r="402" spans="1:9" hidden="1">
      <c r="A402" s="78" t="s">
        <v>607</v>
      </c>
      <c r="B402" s="2" t="s">
        <v>712</v>
      </c>
      <c r="C402" s="2" t="s">
        <v>853</v>
      </c>
      <c r="D402" s="2" t="s">
        <v>587</v>
      </c>
      <c r="E402" s="8" t="s">
        <v>595</v>
      </c>
      <c r="F402" s="19" t="s">
        <v>595</v>
      </c>
      <c r="G402" s="20">
        <v>9397</v>
      </c>
      <c r="H402" s="20">
        <v>10000</v>
      </c>
      <c r="I402" s="20">
        <f t="shared" si="1"/>
        <v>603</v>
      </c>
    </row>
    <row r="403" spans="1:9" hidden="1">
      <c r="A403" s="78" t="s">
        <v>607</v>
      </c>
      <c r="B403" s="2" t="s">
        <v>713</v>
      </c>
      <c r="C403" s="2" t="s">
        <v>854</v>
      </c>
      <c r="D403" s="2" t="s">
        <v>587</v>
      </c>
      <c r="E403" s="2" t="s">
        <v>594</v>
      </c>
      <c r="F403" s="18" t="s">
        <v>601</v>
      </c>
      <c r="G403" s="20">
        <v>6545.46</v>
      </c>
      <c r="H403" s="20">
        <v>8947</v>
      </c>
      <c r="I403" s="20">
        <f t="shared" si="1"/>
        <v>2401.54</v>
      </c>
    </row>
    <row r="404" spans="1:9">
      <c r="A404" s="78" t="s">
        <v>607</v>
      </c>
      <c r="B404" s="2" t="s">
        <v>714</v>
      </c>
      <c r="C404" s="2" t="s">
        <v>855</v>
      </c>
      <c r="D404" s="2" t="s">
        <v>586</v>
      </c>
      <c r="E404" s="8" t="s">
        <v>593</v>
      </c>
      <c r="F404" s="18" t="s">
        <v>601</v>
      </c>
      <c r="G404" s="19">
        <v>9165</v>
      </c>
      <c r="H404" s="20">
        <v>9665</v>
      </c>
      <c r="I404" s="20">
        <f t="shared" si="1"/>
        <v>500</v>
      </c>
    </row>
    <row r="405" spans="1:9">
      <c r="A405" s="78" t="s">
        <v>607</v>
      </c>
      <c r="B405" s="4" t="s">
        <v>715</v>
      </c>
      <c r="C405" s="2" t="s">
        <v>856</v>
      </c>
      <c r="D405" s="2" t="s">
        <v>586</v>
      </c>
      <c r="E405" s="8" t="s">
        <v>593</v>
      </c>
      <c r="F405" s="18" t="s">
        <v>601</v>
      </c>
      <c r="G405" s="20">
        <v>10000</v>
      </c>
      <c r="H405" s="20">
        <v>10000</v>
      </c>
      <c r="I405" s="20">
        <f t="shared" si="1"/>
        <v>0</v>
      </c>
    </row>
    <row r="406" spans="1:9" hidden="1">
      <c r="A406" s="78" t="s">
        <v>607</v>
      </c>
      <c r="B406" s="2" t="s">
        <v>716</v>
      </c>
      <c r="C406" s="2" t="s">
        <v>857</v>
      </c>
      <c r="D406" s="2" t="s">
        <v>587</v>
      </c>
      <c r="E406" s="8" t="s">
        <v>595</v>
      </c>
      <c r="F406" s="19" t="s">
        <v>595</v>
      </c>
      <c r="G406" s="20">
        <v>9898</v>
      </c>
      <c r="H406" s="20">
        <v>9898</v>
      </c>
      <c r="I406" s="20">
        <f t="shared" si="1"/>
        <v>0</v>
      </c>
    </row>
    <row r="407" spans="1:9" hidden="1">
      <c r="A407" s="78" t="s">
        <v>607</v>
      </c>
      <c r="B407" s="2" t="s">
        <v>717</v>
      </c>
      <c r="C407" s="2" t="s">
        <v>858</v>
      </c>
      <c r="D407" s="2" t="s">
        <v>587</v>
      </c>
      <c r="E407" s="8" t="s">
        <v>595</v>
      </c>
      <c r="F407" s="19" t="s">
        <v>595</v>
      </c>
      <c r="G407" s="20">
        <v>10000</v>
      </c>
      <c r="H407" s="20">
        <v>10000</v>
      </c>
      <c r="I407" s="20">
        <f t="shared" si="1"/>
        <v>0</v>
      </c>
    </row>
    <row r="408" spans="1:9" hidden="1">
      <c r="A408" s="78" t="s">
        <v>607</v>
      </c>
      <c r="B408" s="14" t="s">
        <v>718</v>
      </c>
      <c r="C408" s="14" t="s">
        <v>859</v>
      </c>
      <c r="D408" s="2" t="s">
        <v>587</v>
      </c>
      <c r="E408" s="8" t="s">
        <v>592</v>
      </c>
      <c r="F408" s="18" t="s">
        <v>592</v>
      </c>
      <c r="G408" s="20">
        <f>3000+1729</f>
        <v>4729</v>
      </c>
      <c r="H408" s="20">
        <v>6729</v>
      </c>
      <c r="I408" s="20">
        <f t="shared" si="1"/>
        <v>2000</v>
      </c>
    </row>
    <row r="409" spans="1:9">
      <c r="A409" s="78" t="s">
        <v>607</v>
      </c>
      <c r="B409" s="2" t="s">
        <v>719</v>
      </c>
      <c r="C409" s="2" t="s">
        <v>860</v>
      </c>
      <c r="D409" s="2" t="s">
        <v>587</v>
      </c>
      <c r="E409" s="8" t="s">
        <v>593</v>
      </c>
      <c r="F409" s="8" t="s">
        <v>593</v>
      </c>
      <c r="G409" s="20">
        <v>1255</v>
      </c>
      <c r="H409" s="20">
        <v>3255</v>
      </c>
      <c r="I409" s="20">
        <f t="shared" si="1"/>
        <v>2000</v>
      </c>
    </row>
    <row r="410" spans="1:9" hidden="1">
      <c r="A410" s="78" t="s">
        <v>607</v>
      </c>
      <c r="B410" s="2" t="s">
        <v>720</v>
      </c>
      <c r="C410" s="2" t="s">
        <v>861</v>
      </c>
      <c r="D410" s="2" t="s">
        <v>587</v>
      </c>
      <c r="E410" s="8" t="s">
        <v>595</v>
      </c>
      <c r="F410" s="19" t="s">
        <v>595</v>
      </c>
      <c r="G410" s="20">
        <v>9086</v>
      </c>
      <c r="H410" s="20">
        <v>9886</v>
      </c>
      <c r="I410" s="20">
        <f t="shared" si="1"/>
        <v>800</v>
      </c>
    </row>
    <row r="411" spans="1:9">
      <c r="A411" s="78" t="s">
        <v>607</v>
      </c>
      <c r="B411" s="14" t="s">
        <v>721</v>
      </c>
      <c r="C411" s="14" t="s">
        <v>862</v>
      </c>
      <c r="D411" s="2" t="s">
        <v>587</v>
      </c>
      <c r="E411" s="8" t="s">
        <v>593</v>
      </c>
      <c r="F411" s="18" t="s">
        <v>601</v>
      </c>
      <c r="G411" s="19">
        <v>3000</v>
      </c>
      <c r="H411" s="20">
        <v>4000</v>
      </c>
      <c r="I411" s="20">
        <f t="shared" si="1"/>
        <v>1000</v>
      </c>
    </row>
    <row r="412" spans="1:9" hidden="1">
      <c r="A412" s="78" t="s">
        <v>607</v>
      </c>
      <c r="B412" s="3" t="s">
        <v>722</v>
      </c>
      <c r="C412" s="3" t="s">
        <v>863</v>
      </c>
      <c r="D412" s="2" t="s">
        <v>587</v>
      </c>
      <c r="E412" s="3" t="s">
        <v>594</v>
      </c>
      <c r="F412" s="19" t="s">
        <v>594</v>
      </c>
      <c r="G412" s="20">
        <v>8017.2</v>
      </c>
      <c r="H412" s="20">
        <v>9017</v>
      </c>
      <c r="I412" s="20">
        <f t="shared" si="1"/>
        <v>999.80000000000018</v>
      </c>
    </row>
    <row r="413" spans="1:9" hidden="1">
      <c r="A413" s="78" t="s">
        <v>607</v>
      </c>
      <c r="B413" s="4" t="s">
        <v>723</v>
      </c>
      <c r="C413" s="4" t="s">
        <v>864</v>
      </c>
      <c r="D413" s="4" t="s">
        <v>586</v>
      </c>
      <c r="E413" s="8" t="s">
        <v>595</v>
      </c>
      <c r="F413" s="8" t="s">
        <v>596</v>
      </c>
      <c r="G413" s="20">
        <v>9765</v>
      </c>
      <c r="H413" s="20">
        <v>9765</v>
      </c>
      <c r="I413" s="20">
        <f t="shared" si="1"/>
        <v>0</v>
      </c>
    </row>
    <row r="414" spans="1:9" hidden="1">
      <c r="A414" s="78" t="s">
        <v>607</v>
      </c>
      <c r="B414" s="2" t="s">
        <v>724</v>
      </c>
      <c r="C414" s="2" t="s">
        <v>865</v>
      </c>
      <c r="D414" s="2" t="s">
        <v>587</v>
      </c>
      <c r="E414" s="2" t="s">
        <v>594</v>
      </c>
      <c r="F414" s="8" t="s">
        <v>596</v>
      </c>
      <c r="G414" s="20">
        <v>8492.4599999999991</v>
      </c>
      <c r="H414" s="20">
        <v>9492</v>
      </c>
      <c r="I414" s="20">
        <f t="shared" si="1"/>
        <v>999.54000000000087</v>
      </c>
    </row>
    <row r="415" spans="1:9" hidden="1">
      <c r="A415" s="78" t="s">
        <v>607</v>
      </c>
      <c r="B415" s="4" t="s">
        <v>725</v>
      </c>
      <c r="C415" s="4" t="s">
        <v>866</v>
      </c>
      <c r="D415" s="2" t="s">
        <v>587</v>
      </c>
      <c r="E415" s="8" t="s">
        <v>595</v>
      </c>
      <c r="F415" s="19" t="s">
        <v>595</v>
      </c>
      <c r="G415" s="20">
        <v>9503</v>
      </c>
      <c r="H415" s="20">
        <v>9503</v>
      </c>
      <c r="I415" s="20">
        <f t="shared" si="1"/>
        <v>0</v>
      </c>
    </row>
    <row r="416" spans="1:9">
      <c r="A416" s="78" t="s">
        <v>607</v>
      </c>
      <c r="B416" s="2" t="s">
        <v>726</v>
      </c>
      <c r="C416" s="2" t="s">
        <v>867</v>
      </c>
      <c r="D416" s="2" t="s">
        <v>587</v>
      </c>
      <c r="E416" s="8" t="s">
        <v>593</v>
      </c>
      <c r="F416" s="8" t="s">
        <v>593</v>
      </c>
      <c r="G416" s="20">
        <v>2584</v>
      </c>
      <c r="H416" s="20">
        <v>4284</v>
      </c>
      <c r="I416" s="20">
        <f t="shared" si="1"/>
        <v>1700</v>
      </c>
    </row>
    <row r="417" spans="1:9">
      <c r="A417" s="78" t="s">
        <v>607</v>
      </c>
      <c r="B417" s="2" t="s">
        <v>727</v>
      </c>
      <c r="C417" s="2" t="s">
        <v>868</v>
      </c>
      <c r="D417" s="2" t="s">
        <v>587</v>
      </c>
      <c r="E417" s="8" t="s">
        <v>593</v>
      </c>
      <c r="F417" s="8" t="s">
        <v>593</v>
      </c>
      <c r="G417" s="20">
        <v>5805</v>
      </c>
      <c r="H417" s="20">
        <v>6805</v>
      </c>
      <c r="I417" s="20">
        <f t="shared" si="1"/>
        <v>1000</v>
      </c>
    </row>
    <row r="418" spans="1:9" hidden="1">
      <c r="A418" s="78" t="s">
        <v>607</v>
      </c>
      <c r="B418" s="2" t="s">
        <v>728</v>
      </c>
      <c r="C418" s="2" t="s">
        <v>869</v>
      </c>
      <c r="D418" s="2" t="s">
        <v>587</v>
      </c>
      <c r="E418" s="2" t="s">
        <v>594</v>
      </c>
      <c r="F418" s="8" t="s">
        <v>599</v>
      </c>
      <c r="G418" s="20">
        <v>4809</v>
      </c>
      <c r="H418" s="20">
        <v>6809</v>
      </c>
      <c r="I418" s="20">
        <f t="shared" si="1"/>
        <v>2000</v>
      </c>
    </row>
    <row r="419" spans="1:9" hidden="1">
      <c r="A419" s="78" t="s">
        <v>607</v>
      </c>
      <c r="B419" s="2" t="s">
        <v>729</v>
      </c>
      <c r="C419" s="2" t="s">
        <v>870</v>
      </c>
      <c r="D419" s="2" t="s">
        <v>588</v>
      </c>
      <c r="E419" s="8" t="s">
        <v>595</v>
      </c>
      <c r="F419" s="8" t="s">
        <v>595</v>
      </c>
      <c r="G419" s="20">
        <v>5600</v>
      </c>
      <c r="H419" s="20">
        <v>8600</v>
      </c>
      <c r="I419" s="20">
        <f t="shared" si="1"/>
        <v>3000</v>
      </c>
    </row>
    <row r="420" spans="1:9" hidden="1">
      <c r="A420" s="78" t="s">
        <v>607</v>
      </c>
      <c r="B420" s="2" t="s">
        <v>730</v>
      </c>
      <c r="C420" s="2" t="s">
        <v>871</v>
      </c>
      <c r="D420" s="2" t="s">
        <v>587</v>
      </c>
      <c r="E420" s="8" t="s">
        <v>595</v>
      </c>
      <c r="F420" s="19" t="s">
        <v>595</v>
      </c>
      <c r="G420" s="20">
        <v>953</v>
      </c>
      <c r="H420" s="20">
        <v>1953</v>
      </c>
      <c r="I420" s="20">
        <f t="shared" si="1"/>
        <v>1000</v>
      </c>
    </row>
    <row r="421" spans="1:9" hidden="1">
      <c r="A421" s="78" t="s">
        <v>607</v>
      </c>
      <c r="B421" s="2" t="s">
        <v>731</v>
      </c>
      <c r="C421" s="2" t="s">
        <v>872</v>
      </c>
      <c r="D421" s="2" t="s">
        <v>587</v>
      </c>
      <c r="E421" s="8" t="s">
        <v>595</v>
      </c>
      <c r="F421" s="19" t="s">
        <v>595</v>
      </c>
      <c r="G421" s="20">
        <v>8260</v>
      </c>
      <c r="H421" s="20">
        <v>9260</v>
      </c>
      <c r="I421" s="20">
        <f t="shared" si="1"/>
        <v>1000</v>
      </c>
    </row>
    <row r="422" spans="1:9" hidden="1">
      <c r="A422" s="78" t="s">
        <v>607</v>
      </c>
      <c r="B422" s="2" t="s">
        <v>732</v>
      </c>
      <c r="C422" s="2" t="s">
        <v>873</v>
      </c>
      <c r="D422" s="2" t="s">
        <v>587</v>
      </c>
      <c r="E422" s="8" t="s">
        <v>595</v>
      </c>
      <c r="F422" s="19" t="s">
        <v>595</v>
      </c>
      <c r="G422" s="20">
        <v>10225</v>
      </c>
      <c r="H422" s="20">
        <v>10225</v>
      </c>
      <c r="I422" s="20">
        <f t="shared" si="1"/>
        <v>0</v>
      </c>
    </row>
    <row r="423" spans="1:9" hidden="1">
      <c r="A423" s="78" t="s">
        <v>607</v>
      </c>
      <c r="B423" s="14" t="s">
        <v>733</v>
      </c>
      <c r="C423" s="14" t="s">
        <v>874</v>
      </c>
      <c r="D423" s="2" t="s">
        <v>587</v>
      </c>
      <c r="E423" s="8" t="s">
        <v>595</v>
      </c>
      <c r="F423" s="19" t="s">
        <v>595</v>
      </c>
      <c r="G423" s="20">
        <v>5107</v>
      </c>
      <c r="H423" s="20">
        <v>6107</v>
      </c>
      <c r="I423" s="20">
        <f t="shared" si="1"/>
        <v>1000</v>
      </c>
    </row>
    <row r="424" spans="1:9" hidden="1">
      <c r="A424" s="78" t="s">
        <v>607</v>
      </c>
      <c r="B424" s="2" t="s">
        <v>734</v>
      </c>
      <c r="C424" s="2" t="s">
        <v>875</v>
      </c>
      <c r="D424" s="2" t="s">
        <v>587</v>
      </c>
      <c r="E424" s="8" t="s">
        <v>592</v>
      </c>
      <c r="F424" s="8" t="s">
        <v>599</v>
      </c>
      <c r="G424" s="20">
        <v>3494</v>
      </c>
      <c r="H424" s="20">
        <v>4894</v>
      </c>
      <c r="I424" s="20">
        <f t="shared" si="1"/>
        <v>1400</v>
      </c>
    </row>
    <row r="425" spans="1:9" hidden="1">
      <c r="A425" s="78" t="s">
        <v>607</v>
      </c>
      <c r="B425" s="2" t="s">
        <v>735</v>
      </c>
      <c r="C425" s="2" t="s">
        <v>876</v>
      </c>
      <c r="D425" s="2" t="s">
        <v>587</v>
      </c>
      <c r="E425" s="2" t="s">
        <v>594</v>
      </c>
      <c r="F425" s="19" t="s">
        <v>594</v>
      </c>
      <c r="G425" s="20">
        <v>4225</v>
      </c>
      <c r="H425" s="20">
        <v>6224</v>
      </c>
      <c r="I425" s="20">
        <f t="shared" ref="I425:I439" si="2">H425-G425</f>
        <v>1999</v>
      </c>
    </row>
    <row r="426" spans="1:9" hidden="1">
      <c r="A426" s="78" t="s">
        <v>607</v>
      </c>
      <c r="B426" s="14" t="s">
        <v>736</v>
      </c>
      <c r="C426" s="5" t="s">
        <v>341</v>
      </c>
      <c r="D426" s="2" t="s">
        <v>587</v>
      </c>
      <c r="E426" s="8" t="s">
        <v>595</v>
      </c>
      <c r="F426" s="19" t="s">
        <v>595</v>
      </c>
      <c r="G426" s="20">
        <v>1859</v>
      </c>
      <c r="H426" s="20">
        <v>2859</v>
      </c>
      <c r="I426" s="20">
        <f t="shared" si="2"/>
        <v>1000</v>
      </c>
    </row>
    <row r="427" spans="1:9" hidden="1">
      <c r="A427" s="78" t="s">
        <v>607</v>
      </c>
      <c r="B427" s="2" t="s">
        <v>737</v>
      </c>
      <c r="C427" s="2" t="s">
        <v>877</v>
      </c>
      <c r="D427" s="2" t="s">
        <v>587</v>
      </c>
      <c r="E427" s="8" t="s">
        <v>592</v>
      </c>
      <c r="F427" s="18" t="s">
        <v>592</v>
      </c>
      <c r="G427" s="20">
        <v>7670</v>
      </c>
      <c r="H427" s="20">
        <v>8670</v>
      </c>
      <c r="I427" s="20">
        <f t="shared" si="2"/>
        <v>1000</v>
      </c>
    </row>
    <row r="428" spans="1:9" hidden="1">
      <c r="A428" s="78" t="s">
        <v>607</v>
      </c>
      <c r="B428" s="2" t="s">
        <v>738</v>
      </c>
      <c r="C428" s="2" t="s">
        <v>878</v>
      </c>
      <c r="D428" s="2" t="s">
        <v>587</v>
      </c>
      <c r="E428" s="8" t="s">
        <v>592</v>
      </c>
      <c r="F428" s="18" t="s">
        <v>592</v>
      </c>
      <c r="G428" s="28">
        <v>11999.99</v>
      </c>
      <c r="H428" s="20">
        <v>12000</v>
      </c>
      <c r="I428" s="20">
        <f t="shared" si="2"/>
        <v>1.0000000000218279E-2</v>
      </c>
    </row>
    <row r="429" spans="1:9" ht="30" hidden="1">
      <c r="A429" s="78" t="s">
        <v>607</v>
      </c>
      <c r="B429" s="8" t="s">
        <v>739</v>
      </c>
      <c r="C429" s="8" t="s">
        <v>305</v>
      </c>
      <c r="D429" s="2" t="s">
        <v>587</v>
      </c>
      <c r="E429" s="8" t="s">
        <v>595</v>
      </c>
      <c r="F429" s="19" t="s">
        <v>595</v>
      </c>
      <c r="G429" s="19">
        <f>2000+850</f>
        <v>2850</v>
      </c>
      <c r="H429" s="19">
        <v>4850</v>
      </c>
      <c r="I429" s="20">
        <f t="shared" si="2"/>
        <v>2000</v>
      </c>
    </row>
    <row r="430" spans="1:9">
      <c r="A430" s="78" t="s">
        <v>607</v>
      </c>
      <c r="B430" s="8" t="s">
        <v>740</v>
      </c>
      <c r="C430" s="8" t="s">
        <v>879</v>
      </c>
      <c r="D430" s="2" t="s">
        <v>587</v>
      </c>
      <c r="E430" s="8" t="s">
        <v>593</v>
      </c>
      <c r="F430" s="8" t="s">
        <v>596</v>
      </c>
      <c r="G430" s="20">
        <v>7080</v>
      </c>
      <c r="H430" s="20">
        <v>8080</v>
      </c>
      <c r="I430" s="20">
        <f t="shared" si="2"/>
        <v>1000</v>
      </c>
    </row>
    <row r="431" spans="1:9" hidden="1">
      <c r="A431" s="78" t="s">
        <v>607</v>
      </c>
      <c r="B431" s="5" t="s">
        <v>741</v>
      </c>
      <c r="C431" s="5" t="s">
        <v>880</v>
      </c>
      <c r="D431" s="2" t="s">
        <v>587</v>
      </c>
      <c r="E431" s="8" t="s">
        <v>592</v>
      </c>
      <c r="F431" s="18" t="s">
        <v>592</v>
      </c>
      <c r="G431" s="20">
        <v>6602</v>
      </c>
      <c r="H431" s="20">
        <v>7602</v>
      </c>
      <c r="I431" s="20">
        <f t="shared" si="2"/>
        <v>1000</v>
      </c>
    </row>
    <row r="432" spans="1:9" hidden="1">
      <c r="A432" s="78" t="s">
        <v>607</v>
      </c>
      <c r="B432" s="5" t="s">
        <v>742</v>
      </c>
      <c r="C432" s="5" t="s">
        <v>881</v>
      </c>
      <c r="D432" s="2" t="s">
        <v>587</v>
      </c>
      <c r="E432" s="8" t="s">
        <v>592</v>
      </c>
      <c r="F432" s="18" t="s">
        <v>592</v>
      </c>
      <c r="G432" s="20">
        <v>7688</v>
      </c>
      <c r="H432" s="20">
        <v>9688</v>
      </c>
      <c r="I432" s="20">
        <f t="shared" si="2"/>
        <v>2000</v>
      </c>
    </row>
    <row r="433" spans="1:9" hidden="1">
      <c r="A433" s="78" t="s">
        <v>607</v>
      </c>
      <c r="B433" s="2" t="s">
        <v>743</v>
      </c>
      <c r="C433" s="2" t="s">
        <v>882</v>
      </c>
      <c r="D433" s="2" t="s">
        <v>587</v>
      </c>
      <c r="E433" s="8" t="s">
        <v>595</v>
      </c>
      <c r="F433" s="19" t="s">
        <v>595</v>
      </c>
      <c r="G433" s="20">
        <v>5619</v>
      </c>
      <c r="H433" s="20">
        <v>7619</v>
      </c>
      <c r="I433" s="20">
        <f t="shared" si="2"/>
        <v>2000</v>
      </c>
    </row>
    <row r="434" spans="1:9" hidden="1">
      <c r="A434" s="78" t="s">
        <v>607</v>
      </c>
      <c r="B434" s="8" t="s">
        <v>744</v>
      </c>
      <c r="C434" s="8" t="s">
        <v>883</v>
      </c>
      <c r="D434" s="2" t="s">
        <v>587</v>
      </c>
      <c r="E434" s="8" t="s">
        <v>595</v>
      </c>
      <c r="F434" s="19" t="s">
        <v>595</v>
      </c>
      <c r="G434" s="20">
        <v>9554</v>
      </c>
      <c r="H434" s="20">
        <v>9554</v>
      </c>
      <c r="I434" s="20">
        <f t="shared" si="2"/>
        <v>0</v>
      </c>
    </row>
    <row r="435" spans="1:9">
      <c r="A435" s="78" t="s">
        <v>607</v>
      </c>
      <c r="B435" s="26" t="s">
        <v>745</v>
      </c>
      <c r="C435" s="11" t="s">
        <v>884</v>
      </c>
      <c r="D435" s="2" t="s">
        <v>587</v>
      </c>
      <c r="E435" s="8" t="s">
        <v>593</v>
      </c>
      <c r="F435" s="18" t="s">
        <v>601</v>
      </c>
      <c r="G435" s="20">
        <v>1141</v>
      </c>
      <c r="H435" s="20">
        <v>3141</v>
      </c>
      <c r="I435" s="20">
        <f t="shared" si="2"/>
        <v>2000</v>
      </c>
    </row>
    <row r="436" spans="1:9">
      <c r="A436" s="78" t="s">
        <v>607</v>
      </c>
      <c r="B436" s="79" t="s">
        <v>746</v>
      </c>
      <c r="C436" s="14" t="s">
        <v>885</v>
      </c>
      <c r="D436" s="2" t="s">
        <v>587</v>
      </c>
      <c r="E436" s="8" t="s">
        <v>593</v>
      </c>
      <c r="F436" s="18" t="s">
        <v>601</v>
      </c>
      <c r="G436" s="20">
        <v>1896</v>
      </c>
      <c r="H436" s="20">
        <v>3896</v>
      </c>
      <c r="I436" s="20">
        <f t="shared" si="2"/>
        <v>2000</v>
      </c>
    </row>
    <row r="437" spans="1:9" hidden="1">
      <c r="A437" s="78" t="s">
        <v>607</v>
      </c>
      <c r="B437" s="8" t="s">
        <v>747</v>
      </c>
      <c r="C437" s="8" t="s">
        <v>886</v>
      </c>
      <c r="D437" s="8" t="s">
        <v>588</v>
      </c>
      <c r="E437" s="8" t="s">
        <v>595</v>
      </c>
      <c r="F437" s="8" t="s">
        <v>596</v>
      </c>
      <c r="G437" s="20">
        <v>8000</v>
      </c>
      <c r="H437" s="20">
        <v>9250</v>
      </c>
      <c r="I437" s="20">
        <f t="shared" si="2"/>
        <v>1250</v>
      </c>
    </row>
    <row r="438" spans="1:9">
      <c r="A438" s="78" t="s">
        <v>607</v>
      </c>
      <c r="B438" s="8" t="s">
        <v>748</v>
      </c>
      <c r="C438" s="8" t="s">
        <v>887</v>
      </c>
      <c r="D438" s="2" t="s">
        <v>587</v>
      </c>
      <c r="E438" s="8" t="s">
        <v>593</v>
      </c>
      <c r="F438" s="8" t="s">
        <v>596</v>
      </c>
      <c r="G438" s="20">
        <v>8429</v>
      </c>
      <c r="H438" s="20">
        <v>9429</v>
      </c>
      <c r="I438" s="20">
        <f t="shared" si="2"/>
        <v>1000</v>
      </c>
    </row>
    <row r="439" spans="1:9" hidden="1">
      <c r="A439" s="78" t="s">
        <v>607</v>
      </c>
      <c r="B439" s="14" t="s">
        <v>749</v>
      </c>
      <c r="C439" s="14" t="s">
        <v>888</v>
      </c>
      <c r="D439" s="2" t="s">
        <v>587</v>
      </c>
      <c r="E439" s="8" t="s">
        <v>592</v>
      </c>
      <c r="F439" s="18" t="s">
        <v>592</v>
      </c>
      <c r="G439" s="20">
        <v>8271</v>
      </c>
      <c r="H439" s="20">
        <v>9271</v>
      </c>
      <c r="I439" s="20">
        <f t="shared" si="2"/>
        <v>1000</v>
      </c>
    </row>
    <row r="440" spans="1:9">
      <c r="A440" s="78" t="s">
        <v>1160</v>
      </c>
      <c r="B440" s="5" t="s">
        <v>889</v>
      </c>
      <c r="C440" s="5" t="s">
        <v>890</v>
      </c>
      <c r="D440" s="2" t="s">
        <v>1161</v>
      </c>
      <c r="E440" s="8" t="s">
        <v>593</v>
      </c>
      <c r="F440" s="8" t="s">
        <v>599</v>
      </c>
      <c r="G440" s="20">
        <v>18538</v>
      </c>
      <c r="H440" s="20">
        <v>21538</v>
      </c>
      <c r="I440" s="20">
        <f>H440-G440</f>
        <v>3000</v>
      </c>
    </row>
    <row r="441" spans="1:9" hidden="1">
      <c r="A441" s="78" t="s">
        <v>1160</v>
      </c>
      <c r="B441" s="29" t="s">
        <v>891</v>
      </c>
      <c r="C441" s="29" t="s">
        <v>892</v>
      </c>
      <c r="D441" s="2" t="s">
        <v>1161</v>
      </c>
      <c r="E441" s="29" t="s">
        <v>594</v>
      </c>
      <c r="F441" s="8" t="s">
        <v>596</v>
      </c>
      <c r="G441" s="20">
        <v>16697</v>
      </c>
      <c r="H441" s="20">
        <v>21697</v>
      </c>
      <c r="I441" s="20">
        <f t="shared" ref="I441:I504" si="3">H441-G441</f>
        <v>5000</v>
      </c>
    </row>
    <row r="442" spans="1:9" hidden="1">
      <c r="A442" s="78" t="s">
        <v>1160</v>
      </c>
      <c r="B442" s="29" t="s">
        <v>893</v>
      </c>
      <c r="C442" s="29" t="s">
        <v>894</v>
      </c>
      <c r="D442" s="2" t="s">
        <v>1161</v>
      </c>
      <c r="E442" s="29" t="s">
        <v>594</v>
      </c>
      <c r="F442" s="8" t="s">
        <v>596</v>
      </c>
      <c r="G442" s="38">
        <v>18172</v>
      </c>
      <c r="H442" s="38">
        <v>21172</v>
      </c>
      <c r="I442" s="20">
        <f t="shared" si="3"/>
        <v>3000</v>
      </c>
    </row>
    <row r="443" spans="1:9">
      <c r="A443" s="78" t="s">
        <v>1160</v>
      </c>
      <c r="B443" s="30" t="s">
        <v>895</v>
      </c>
      <c r="C443" s="30" t="s">
        <v>896</v>
      </c>
      <c r="D443" s="30" t="s">
        <v>589</v>
      </c>
      <c r="E443" s="8" t="s">
        <v>593</v>
      </c>
      <c r="F443" s="8" t="s">
        <v>596</v>
      </c>
      <c r="G443" s="20">
        <v>18000</v>
      </c>
      <c r="H443" s="20">
        <v>20500</v>
      </c>
      <c r="I443" s="20">
        <f t="shared" si="3"/>
        <v>2500</v>
      </c>
    </row>
    <row r="444" spans="1:9">
      <c r="A444" s="78" t="s">
        <v>1160</v>
      </c>
      <c r="B444" s="31" t="s">
        <v>897</v>
      </c>
      <c r="C444" s="31" t="s">
        <v>898</v>
      </c>
      <c r="D444" s="30" t="s">
        <v>588</v>
      </c>
      <c r="E444" s="8" t="s">
        <v>593</v>
      </c>
      <c r="F444" s="18" t="s">
        <v>601</v>
      </c>
      <c r="G444" s="20">
        <f>10000+17331</f>
        <v>27331</v>
      </c>
      <c r="H444" s="20">
        <v>22000</v>
      </c>
      <c r="I444" s="20">
        <f t="shared" si="3"/>
        <v>-5331</v>
      </c>
    </row>
    <row r="445" spans="1:9">
      <c r="A445" s="78" t="s">
        <v>1160</v>
      </c>
      <c r="B445" s="32" t="s">
        <v>899</v>
      </c>
      <c r="C445" s="32" t="s">
        <v>900</v>
      </c>
      <c r="D445" s="2" t="s">
        <v>1161</v>
      </c>
      <c r="E445" s="8" t="s">
        <v>593</v>
      </c>
      <c r="F445" s="8" t="s">
        <v>593</v>
      </c>
      <c r="G445" s="20">
        <v>2590</v>
      </c>
      <c r="H445" s="20">
        <v>4590</v>
      </c>
      <c r="I445" s="20">
        <f t="shared" si="3"/>
        <v>2000</v>
      </c>
    </row>
    <row r="446" spans="1:9">
      <c r="A446" s="78" t="s">
        <v>1160</v>
      </c>
      <c r="B446" s="8" t="s">
        <v>901</v>
      </c>
      <c r="C446" s="8" t="s">
        <v>902</v>
      </c>
      <c r="D446" s="30" t="s">
        <v>588</v>
      </c>
      <c r="E446" s="8" t="s">
        <v>593</v>
      </c>
      <c r="F446" s="18" t="s">
        <v>601</v>
      </c>
      <c r="G446" s="20">
        <v>5000</v>
      </c>
      <c r="H446" s="20">
        <v>8000</v>
      </c>
      <c r="I446" s="20">
        <f t="shared" si="3"/>
        <v>3000</v>
      </c>
    </row>
    <row r="447" spans="1:9">
      <c r="A447" s="78" t="s">
        <v>1160</v>
      </c>
      <c r="B447" s="30" t="s">
        <v>903</v>
      </c>
      <c r="C447" s="30" t="s">
        <v>904</v>
      </c>
      <c r="D447" s="2" t="s">
        <v>589</v>
      </c>
      <c r="E447" s="8" t="s">
        <v>593</v>
      </c>
      <c r="F447" s="8" t="s">
        <v>596</v>
      </c>
      <c r="G447" s="20">
        <v>21000</v>
      </c>
      <c r="H447" s="20">
        <v>21500</v>
      </c>
      <c r="I447" s="20">
        <f t="shared" si="3"/>
        <v>500</v>
      </c>
    </row>
    <row r="448" spans="1:9">
      <c r="A448" s="78" t="s">
        <v>1160</v>
      </c>
      <c r="B448" s="8" t="s">
        <v>905</v>
      </c>
      <c r="C448" s="8" t="s">
        <v>906</v>
      </c>
      <c r="D448" s="2" t="s">
        <v>1161</v>
      </c>
      <c r="E448" s="8" t="s">
        <v>593</v>
      </c>
      <c r="F448" s="8" t="s">
        <v>599</v>
      </c>
      <c r="G448" s="20">
        <v>13557</v>
      </c>
      <c r="H448" s="20">
        <v>19557</v>
      </c>
      <c r="I448" s="20">
        <f t="shared" si="3"/>
        <v>6000</v>
      </c>
    </row>
    <row r="449" spans="1:9">
      <c r="A449" s="78" t="s">
        <v>1160</v>
      </c>
      <c r="B449" s="30" t="s">
        <v>907</v>
      </c>
      <c r="C449" s="30" t="s">
        <v>908</v>
      </c>
      <c r="D449" s="2" t="s">
        <v>1161</v>
      </c>
      <c r="E449" s="8" t="s">
        <v>593</v>
      </c>
      <c r="F449" s="8" t="s">
        <v>593</v>
      </c>
      <c r="G449" s="20">
        <v>14513.59</v>
      </c>
      <c r="H449" s="20">
        <v>18513.59</v>
      </c>
      <c r="I449" s="20">
        <f t="shared" si="3"/>
        <v>4000</v>
      </c>
    </row>
    <row r="450" spans="1:9" hidden="1">
      <c r="A450" s="78" t="s">
        <v>1160</v>
      </c>
      <c r="B450" s="8" t="s">
        <v>909</v>
      </c>
      <c r="C450" s="8" t="s">
        <v>910</v>
      </c>
      <c r="D450" s="30" t="s">
        <v>589</v>
      </c>
      <c r="E450" s="8" t="s">
        <v>595</v>
      </c>
      <c r="F450" s="19" t="s">
        <v>595</v>
      </c>
      <c r="G450" s="20">
        <v>20180</v>
      </c>
      <c r="H450" s="20">
        <v>21180</v>
      </c>
      <c r="I450" s="20">
        <f t="shared" si="3"/>
        <v>1000</v>
      </c>
    </row>
    <row r="451" spans="1:9" hidden="1">
      <c r="A451" s="78" t="s">
        <v>1160</v>
      </c>
      <c r="B451" s="2" t="s">
        <v>911</v>
      </c>
      <c r="C451" s="31" t="s">
        <v>912</v>
      </c>
      <c r="D451" s="2" t="s">
        <v>1161</v>
      </c>
      <c r="E451" s="8" t="s">
        <v>592</v>
      </c>
      <c r="F451" s="18" t="s">
        <v>592</v>
      </c>
      <c r="G451" s="38">
        <v>9293</v>
      </c>
      <c r="H451" s="38">
        <v>9893</v>
      </c>
      <c r="I451" s="20">
        <f t="shared" si="3"/>
        <v>600</v>
      </c>
    </row>
    <row r="452" spans="1:9">
      <c r="A452" s="78" t="s">
        <v>1160</v>
      </c>
      <c r="B452" s="8" t="s">
        <v>913</v>
      </c>
      <c r="C452" s="8" t="s">
        <v>914</v>
      </c>
      <c r="D452" s="2" t="s">
        <v>1161</v>
      </c>
      <c r="E452" s="8" t="s">
        <v>593</v>
      </c>
      <c r="F452" s="8" t="s">
        <v>599</v>
      </c>
      <c r="G452" s="20">
        <v>16826.8</v>
      </c>
      <c r="H452" s="20">
        <v>20826.8</v>
      </c>
      <c r="I452" s="20">
        <f t="shared" si="3"/>
        <v>4000</v>
      </c>
    </row>
    <row r="453" spans="1:9" hidden="1">
      <c r="A453" s="78" t="s">
        <v>1160</v>
      </c>
      <c r="B453" s="2" t="s">
        <v>915</v>
      </c>
      <c r="C453" s="2" t="s">
        <v>916</v>
      </c>
      <c r="D453" s="30" t="s">
        <v>589</v>
      </c>
      <c r="E453" s="8" t="s">
        <v>592</v>
      </c>
      <c r="F453" s="8" t="s">
        <v>596</v>
      </c>
      <c r="G453" s="20">
        <v>20690</v>
      </c>
      <c r="H453" s="20">
        <v>21690</v>
      </c>
      <c r="I453" s="20">
        <f t="shared" si="3"/>
        <v>1000</v>
      </c>
    </row>
    <row r="454" spans="1:9" hidden="1">
      <c r="A454" s="78" t="s">
        <v>1160</v>
      </c>
      <c r="B454" s="30" t="s">
        <v>917</v>
      </c>
      <c r="C454" s="30" t="s">
        <v>918</v>
      </c>
      <c r="D454" s="30" t="s">
        <v>589</v>
      </c>
      <c r="E454" s="8" t="s">
        <v>595</v>
      </c>
      <c r="F454" s="8" t="s">
        <v>596</v>
      </c>
      <c r="G454" s="20">
        <v>20000</v>
      </c>
      <c r="H454" s="20">
        <v>21500</v>
      </c>
      <c r="I454" s="20">
        <f t="shared" si="3"/>
        <v>1500</v>
      </c>
    </row>
    <row r="455" spans="1:9" hidden="1">
      <c r="A455" s="78" t="s">
        <v>1160</v>
      </c>
      <c r="B455" s="31" t="s">
        <v>919</v>
      </c>
      <c r="C455" s="31" t="s">
        <v>920</v>
      </c>
      <c r="D455" s="2" t="s">
        <v>1161</v>
      </c>
      <c r="E455" s="8" t="s">
        <v>592</v>
      </c>
      <c r="F455" s="8" t="s">
        <v>599</v>
      </c>
      <c r="G455" s="20">
        <v>9896</v>
      </c>
      <c r="H455" s="20">
        <v>12896</v>
      </c>
      <c r="I455" s="20">
        <f t="shared" si="3"/>
        <v>3000</v>
      </c>
    </row>
    <row r="456" spans="1:9">
      <c r="A456" s="78" t="s">
        <v>1160</v>
      </c>
      <c r="B456" s="30" t="s">
        <v>921</v>
      </c>
      <c r="C456" s="30" t="s">
        <v>922</v>
      </c>
      <c r="D456" s="2" t="s">
        <v>1161</v>
      </c>
      <c r="E456" s="8" t="s">
        <v>593</v>
      </c>
      <c r="F456" s="8" t="s">
        <v>596</v>
      </c>
      <c r="G456" s="20">
        <v>9969.82</v>
      </c>
      <c r="H456" s="20">
        <v>14969.82</v>
      </c>
      <c r="I456" s="20">
        <f t="shared" si="3"/>
        <v>5000</v>
      </c>
    </row>
    <row r="457" spans="1:9" hidden="1">
      <c r="A457" s="78" t="s">
        <v>1160</v>
      </c>
      <c r="B457" s="2" t="s">
        <v>923</v>
      </c>
      <c r="C457" s="2" t="s">
        <v>924</v>
      </c>
      <c r="D457" s="2" t="s">
        <v>1161</v>
      </c>
      <c r="E457" s="2" t="s">
        <v>594</v>
      </c>
      <c r="F457" s="8" t="s">
        <v>596</v>
      </c>
      <c r="G457" s="19">
        <v>6153.82</v>
      </c>
      <c r="H457" s="19">
        <v>11153.82</v>
      </c>
      <c r="I457" s="19">
        <f t="shared" si="3"/>
        <v>5000</v>
      </c>
    </row>
    <row r="458" spans="1:9">
      <c r="A458" s="78" t="s">
        <v>1160</v>
      </c>
      <c r="B458" s="4" t="s">
        <v>925</v>
      </c>
      <c r="C458" s="4" t="s">
        <v>926</v>
      </c>
      <c r="D458" s="2" t="s">
        <v>1161</v>
      </c>
      <c r="E458" s="8" t="s">
        <v>593</v>
      </c>
      <c r="F458" s="8" t="s">
        <v>593</v>
      </c>
      <c r="G458" s="20">
        <v>15925</v>
      </c>
      <c r="H458" s="20">
        <v>21925</v>
      </c>
      <c r="I458" s="20">
        <f t="shared" si="3"/>
        <v>6000</v>
      </c>
    </row>
    <row r="459" spans="1:9" hidden="1">
      <c r="A459" s="78" t="s">
        <v>1160</v>
      </c>
      <c r="B459" s="30" t="s">
        <v>927</v>
      </c>
      <c r="C459" s="30" t="s">
        <v>928</v>
      </c>
      <c r="D459" s="2" t="s">
        <v>1161</v>
      </c>
      <c r="E459" s="2" t="s">
        <v>594</v>
      </c>
      <c r="F459" s="19" t="s">
        <v>594</v>
      </c>
      <c r="G459" s="20">
        <v>8496</v>
      </c>
      <c r="H459" s="20">
        <v>11496</v>
      </c>
      <c r="I459" s="20">
        <f t="shared" si="3"/>
        <v>3000</v>
      </c>
    </row>
    <row r="460" spans="1:9" hidden="1">
      <c r="A460" s="78" t="s">
        <v>1160</v>
      </c>
      <c r="B460" s="2" t="s">
        <v>929</v>
      </c>
      <c r="C460" s="2" t="s">
        <v>930</v>
      </c>
      <c r="D460" s="2" t="s">
        <v>1161</v>
      </c>
      <c r="E460" s="2" t="s">
        <v>594</v>
      </c>
      <c r="F460" s="19" t="s">
        <v>594</v>
      </c>
      <c r="G460" s="20">
        <v>11360</v>
      </c>
      <c r="H460" s="20">
        <v>15360</v>
      </c>
      <c r="I460" s="20">
        <f t="shared" si="3"/>
        <v>4000</v>
      </c>
    </row>
    <row r="461" spans="1:9">
      <c r="A461" s="78" t="s">
        <v>1160</v>
      </c>
      <c r="B461" s="8" t="s">
        <v>931</v>
      </c>
      <c r="C461" s="8" t="s">
        <v>932</v>
      </c>
      <c r="D461" s="2" t="s">
        <v>1161</v>
      </c>
      <c r="E461" s="8" t="s">
        <v>593</v>
      </c>
      <c r="F461" s="8" t="s">
        <v>599</v>
      </c>
      <c r="G461" s="20">
        <v>7312</v>
      </c>
      <c r="H461" s="20">
        <v>8312</v>
      </c>
      <c r="I461" s="20">
        <f t="shared" si="3"/>
        <v>1000</v>
      </c>
    </row>
    <row r="462" spans="1:9" hidden="1">
      <c r="A462" s="78" t="s">
        <v>1160</v>
      </c>
      <c r="B462" s="2" t="s">
        <v>933</v>
      </c>
      <c r="C462" s="2" t="s">
        <v>934</v>
      </c>
      <c r="D462" s="30" t="s">
        <v>1162</v>
      </c>
      <c r="E462" s="8" t="s">
        <v>592</v>
      </c>
      <c r="F462" s="8" t="s">
        <v>596</v>
      </c>
      <c r="G462" s="20">
        <v>9200</v>
      </c>
      <c r="H462" s="20">
        <v>9900</v>
      </c>
      <c r="I462" s="20">
        <f t="shared" si="3"/>
        <v>700</v>
      </c>
    </row>
    <row r="463" spans="1:9" hidden="1">
      <c r="A463" s="78" t="s">
        <v>1160</v>
      </c>
      <c r="B463" s="2" t="s">
        <v>935</v>
      </c>
      <c r="C463" s="2" t="s">
        <v>936</v>
      </c>
      <c r="D463" s="30" t="s">
        <v>1163</v>
      </c>
      <c r="E463" s="2" t="s">
        <v>594</v>
      </c>
      <c r="F463" s="8" t="s">
        <v>596</v>
      </c>
      <c r="G463" s="20">
        <f>8200+8200</f>
        <v>16400</v>
      </c>
      <c r="H463" s="20">
        <v>18400</v>
      </c>
      <c r="I463" s="20">
        <f t="shared" si="3"/>
        <v>2000</v>
      </c>
    </row>
    <row r="464" spans="1:9" hidden="1">
      <c r="A464" s="78" t="s">
        <v>1160</v>
      </c>
      <c r="B464" s="31" t="s">
        <v>937</v>
      </c>
      <c r="C464" s="31" t="s">
        <v>938</v>
      </c>
      <c r="D464" s="30" t="s">
        <v>589</v>
      </c>
      <c r="E464" s="8" t="s">
        <v>592</v>
      </c>
      <c r="F464" s="8" t="s">
        <v>596</v>
      </c>
      <c r="G464" s="20">
        <v>20690</v>
      </c>
      <c r="H464" s="20">
        <v>21690</v>
      </c>
      <c r="I464" s="20">
        <f t="shared" si="3"/>
        <v>1000</v>
      </c>
    </row>
    <row r="465" spans="1:9" hidden="1">
      <c r="A465" s="78" t="s">
        <v>1160</v>
      </c>
      <c r="B465" s="8" t="s">
        <v>939</v>
      </c>
      <c r="C465" s="33" t="s">
        <v>940</v>
      </c>
      <c r="D465" s="2" t="s">
        <v>1161</v>
      </c>
      <c r="E465" s="8" t="s">
        <v>595</v>
      </c>
      <c r="F465" s="19" t="s">
        <v>595</v>
      </c>
      <c r="G465" s="20">
        <f>10000+9232</f>
        <v>19232</v>
      </c>
      <c r="H465" s="20">
        <v>22000</v>
      </c>
      <c r="I465" s="20">
        <f t="shared" si="3"/>
        <v>2768</v>
      </c>
    </row>
    <row r="466" spans="1:9" hidden="1">
      <c r="A466" s="78" t="s">
        <v>1160</v>
      </c>
      <c r="B466" s="8" t="s">
        <v>941</v>
      </c>
      <c r="C466" s="31" t="s">
        <v>942</v>
      </c>
      <c r="D466" s="2" t="s">
        <v>1161</v>
      </c>
      <c r="E466" s="8" t="s">
        <v>592</v>
      </c>
      <c r="F466" s="18" t="s">
        <v>592</v>
      </c>
      <c r="G466" s="39">
        <f>3549.44+3639.12</f>
        <v>7188.5599999999995</v>
      </c>
      <c r="H466" s="39">
        <v>12884.56</v>
      </c>
      <c r="I466" s="20">
        <f t="shared" si="3"/>
        <v>5696</v>
      </c>
    </row>
    <row r="467" spans="1:9" hidden="1">
      <c r="A467" s="78" t="s">
        <v>1160</v>
      </c>
      <c r="B467" s="8" t="s">
        <v>943</v>
      </c>
      <c r="C467" s="8" t="s">
        <v>944</v>
      </c>
      <c r="D467" s="30" t="s">
        <v>586</v>
      </c>
      <c r="E467" s="8" t="s">
        <v>595</v>
      </c>
      <c r="F467" s="19" t="s">
        <v>595</v>
      </c>
      <c r="G467" s="20">
        <v>21000</v>
      </c>
      <c r="H467" s="20">
        <v>22000</v>
      </c>
      <c r="I467" s="20">
        <f t="shared" si="3"/>
        <v>1000</v>
      </c>
    </row>
    <row r="468" spans="1:9">
      <c r="A468" s="78" t="s">
        <v>1160</v>
      </c>
      <c r="B468" s="4" t="s">
        <v>945</v>
      </c>
      <c r="C468" s="4" t="s">
        <v>946</v>
      </c>
      <c r="D468" s="2" t="s">
        <v>1161</v>
      </c>
      <c r="E468" s="8" t="s">
        <v>593</v>
      </c>
      <c r="F468" s="8" t="s">
        <v>593</v>
      </c>
      <c r="G468" s="20">
        <f>1500+4723</f>
        <v>6223</v>
      </c>
      <c r="H468" s="20">
        <v>8223</v>
      </c>
      <c r="I468" s="20">
        <f t="shared" si="3"/>
        <v>2000</v>
      </c>
    </row>
    <row r="469" spans="1:9">
      <c r="A469" s="78" t="s">
        <v>1160</v>
      </c>
      <c r="B469" s="30" t="s">
        <v>947</v>
      </c>
      <c r="C469" s="30" t="s">
        <v>948</v>
      </c>
      <c r="D469" s="30" t="s">
        <v>588</v>
      </c>
      <c r="E469" s="8" t="s">
        <v>593</v>
      </c>
      <c r="F469" s="8" t="s">
        <v>593</v>
      </c>
      <c r="G469" s="20">
        <v>18665</v>
      </c>
      <c r="H469" s="20">
        <v>21665</v>
      </c>
      <c r="I469" s="20">
        <f t="shared" si="3"/>
        <v>3000</v>
      </c>
    </row>
    <row r="470" spans="1:9">
      <c r="A470" s="78" t="s">
        <v>1160</v>
      </c>
      <c r="B470" s="2" t="s">
        <v>949</v>
      </c>
      <c r="C470" s="2" t="s">
        <v>950</v>
      </c>
      <c r="D470" s="30" t="s">
        <v>586</v>
      </c>
      <c r="E470" s="8" t="s">
        <v>593</v>
      </c>
      <c r="F470" s="8" t="s">
        <v>593</v>
      </c>
      <c r="G470" s="20">
        <v>16478</v>
      </c>
      <c r="H470" s="20">
        <v>20478</v>
      </c>
      <c r="I470" s="20">
        <f t="shared" si="3"/>
        <v>4000</v>
      </c>
    </row>
    <row r="471" spans="1:9">
      <c r="A471" s="78" t="s">
        <v>1160</v>
      </c>
      <c r="B471" s="2" t="s">
        <v>951</v>
      </c>
      <c r="C471" s="2" t="s">
        <v>952</v>
      </c>
      <c r="D471" s="2" t="s">
        <v>586</v>
      </c>
      <c r="E471" s="8" t="s">
        <v>593</v>
      </c>
      <c r="F471" s="8" t="s">
        <v>593</v>
      </c>
      <c r="G471" s="20">
        <v>16175</v>
      </c>
      <c r="H471" s="20">
        <v>20175</v>
      </c>
      <c r="I471" s="20">
        <f t="shared" si="3"/>
        <v>4000</v>
      </c>
    </row>
    <row r="472" spans="1:9" hidden="1">
      <c r="A472" s="78" t="s">
        <v>1160</v>
      </c>
      <c r="B472" s="32" t="s">
        <v>953</v>
      </c>
      <c r="C472" s="32" t="s">
        <v>954</v>
      </c>
      <c r="D472" s="30" t="s">
        <v>586</v>
      </c>
      <c r="E472" s="8" t="s">
        <v>592</v>
      </c>
      <c r="F472" s="18" t="s">
        <v>592</v>
      </c>
      <c r="G472" s="20">
        <v>20000</v>
      </c>
      <c r="H472" s="20">
        <v>21500</v>
      </c>
      <c r="I472" s="20">
        <f t="shared" si="3"/>
        <v>1500</v>
      </c>
    </row>
    <row r="473" spans="1:9">
      <c r="A473" s="78" t="s">
        <v>1160</v>
      </c>
      <c r="B473" s="30" t="s">
        <v>955</v>
      </c>
      <c r="C473" s="30" t="s">
        <v>956</v>
      </c>
      <c r="D473" s="30" t="s">
        <v>586</v>
      </c>
      <c r="E473" s="8" t="s">
        <v>593</v>
      </c>
      <c r="F473" s="18" t="s">
        <v>601</v>
      </c>
      <c r="G473" s="20">
        <v>10000</v>
      </c>
      <c r="H473" s="20">
        <v>10000</v>
      </c>
      <c r="I473" s="20">
        <f t="shared" si="3"/>
        <v>0</v>
      </c>
    </row>
    <row r="474" spans="1:9" hidden="1">
      <c r="A474" s="78" t="s">
        <v>1160</v>
      </c>
      <c r="B474" s="33" t="s">
        <v>957</v>
      </c>
      <c r="C474" s="33" t="s">
        <v>958</v>
      </c>
      <c r="D474" s="2" t="s">
        <v>1161</v>
      </c>
      <c r="E474" s="8" t="s">
        <v>592</v>
      </c>
      <c r="F474" s="18" t="s">
        <v>601</v>
      </c>
      <c r="G474" s="20">
        <v>9436</v>
      </c>
      <c r="H474" s="20">
        <v>9936</v>
      </c>
      <c r="I474" s="20">
        <f t="shared" si="3"/>
        <v>500</v>
      </c>
    </row>
    <row r="475" spans="1:9" hidden="1">
      <c r="A475" s="78" t="s">
        <v>1160</v>
      </c>
      <c r="B475" s="2" t="s">
        <v>959</v>
      </c>
      <c r="C475" s="29" t="s">
        <v>960</v>
      </c>
      <c r="D475" s="2" t="s">
        <v>1161</v>
      </c>
      <c r="E475" s="2" t="s">
        <v>594</v>
      </c>
      <c r="F475" s="19" t="s">
        <v>594</v>
      </c>
      <c r="G475" s="20">
        <v>21000</v>
      </c>
      <c r="H475" s="20">
        <v>21750</v>
      </c>
      <c r="I475" s="20">
        <f t="shared" si="3"/>
        <v>750</v>
      </c>
    </row>
    <row r="476" spans="1:9" hidden="1">
      <c r="A476" s="78" t="s">
        <v>1160</v>
      </c>
      <c r="B476" s="2" t="s">
        <v>961</v>
      </c>
      <c r="C476" s="2" t="s">
        <v>962</v>
      </c>
      <c r="D476" s="2" t="s">
        <v>1161</v>
      </c>
      <c r="E476" s="2" t="s">
        <v>594</v>
      </c>
      <c r="F476" s="19" t="s">
        <v>594</v>
      </c>
      <c r="G476" s="20">
        <v>7080</v>
      </c>
      <c r="H476" s="20">
        <v>9080</v>
      </c>
      <c r="I476" s="20">
        <f t="shared" si="3"/>
        <v>2000</v>
      </c>
    </row>
    <row r="477" spans="1:9">
      <c r="A477" s="78" t="s">
        <v>1160</v>
      </c>
      <c r="B477" s="30" t="s">
        <v>963</v>
      </c>
      <c r="C477" s="30" t="s">
        <v>964</v>
      </c>
      <c r="D477" s="2" t="s">
        <v>1161</v>
      </c>
      <c r="E477" s="8" t="s">
        <v>593</v>
      </c>
      <c r="F477" s="8" t="s">
        <v>593</v>
      </c>
      <c r="G477" s="20">
        <v>6319</v>
      </c>
      <c r="H477" s="20">
        <v>12319</v>
      </c>
      <c r="I477" s="20">
        <f t="shared" si="3"/>
        <v>6000</v>
      </c>
    </row>
    <row r="478" spans="1:9" hidden="1">
      <c r="A478" s="78" t="s">
        <v>1160</v>
      </c>
      <c r="B478" s="31" t="s">
        <v>965</v>
      </c>
      <c r="C478" s="31" t="s">
        <v>966</v>
      </c>
      <c r="D478" s="2" t="s">
        <v>1161</v>
      </c>
      <c r="E478" s="8" t="s">
        <v>592</v>
      </c>
      <c r="F478" s="8" t="s">
        <v>599</v>
      </c>
      <c r="G478" s="20">
        <v>2179</v>
      </c>
      <c r="H478" s="20">
        <v>4358</v>
      </c>
      <c r="I478" s="20">
        <f t="shared" si="3"/>
        <v>2179</v>
      </c>
    </row>
    <row r="479" spans="1:9">
      <c r="A479" s="78" t="s">
        <v>1160</v>
      </c>
      <c r="B479" s="5" t="s">
        <v>967</v>
      </c>
      <c r="C479" s="5" t="s">
        <v>968</v>
      </c>
      <c r="D479" s="2" t="s">
        <v>1161</v>
      </c>
      <c r="E479" s="8" t="s">
        <v>593</v>
      </c>
      <c r="F479" s="8" t="s">
        <v>599</v>
      </c>
      <c r="G479" s="20">
        <f>100+7106</f>
        <v>7206</v>
      </c>
      <c r="H479" s="20">
        <v>10000</v>
      </c>
      <c r="I479" s="20">
        <f t="shared" si="3"/>
        <v>2794</v>
      </c>
    </row>
    <row r="480" spans="1:9">
      <c r="A480" s="78" t="s">
        <v>1160</v>
      </c>
      <c r="B480" s="29" t="s">
        <v>969</v>
      </c>
      <c r="C480" s="29" t="s">
        <v>970</v>
      </c>
      <c r="D480" s="2" t="s">
        <v>1161</v>
      </c>
      <c r="E480" s="8" t="s">
        <v>593</v>
      </c>
      <c r="F480" s="8" t="s">
        <v>599</v>
      </c>
      <c r="G480" s="20">
        <v>17273</v>
      </c>
      <c r="H480" s="20">
        <v>22000</v>
      </c>
      <c r="I480" s="20">
        <f t="shared" si="3"/>
        <v>4727</v>
      </c>
    </row>
    <row r="481" spans="1:9" hidden="1">
      <c r="A481" s="78" t="s">
        <v>1160</v>
      </c>
      <c r="B481" s="33" t="s">
        <v>971</v>
      </c>
      <c r="C481" s="33" t="s">
        <v>972</v>
      </c>
      <c r="D481" s="2" t="s">
        <v>1161</v>
      </c>
      <c r="E481" s="8" t="s">
        <v>595</v>
      </c>
      <c r="F481" s="19" t="s">
        <v>595</v>
      </c>
      <c r="G481" s="20">
        <v>9440</v>
      </c>
      <c r="H481" s="20">
        <v>9660</v>
      </c>
      <c r="I481" s="20">
        <f t="shared" si="3"/>
        <v>220</v>
      </c>
    </row>
    <row r="482" spans="1:9" hidden="1">
      <c r="A482" s="78" t="s">
        <v>1160</v>
      </c>
      <c r="B482" s="31" t="s">
        <v>973</v>
      </c>
      <c r="C482" s="31" t="s">
        <v>974</v>
      </c>
      <c r="D482" s="2" t="s">
        <v>1161</v>
      </c>
      <c r="E482" s="8" t="s">
        <v>595</v>
      </c>
      <c r="F482" s="19" t="s">
        <v>595</v>
      </c>
      <c r="G482" s="20">
        <v>10000</v>
      </c>
      <c r="H482" s="20">
        <v>10000</v>
      </c>
      <c r="I482" s="20">
        <f t="shared" si="3"/>
        <v>0</v>
      </c>
    </row>
    <row r="483" spans="1:9" hidden="1">
      <c r="A483" s="78" t="s">
        <v>1160</v>
      </c>
      <c r="B483" s="31" t="s">
        <v>975</v>
      </c>
      <c r="C483" s="31" t="s">
        <v>976</v>
      </c>
      <c r="D483" s="2" t="s">
        <v>1161</v>
      </c>
      <c r="E483" s="8" t="s">
        <v>592</v>
      </c>
      <c r="F483" s="18" t="s">
        <v>601</v>
      </c>
      <c r="G483" s="20">
        <f>1239+9436+9789+443</f>
        <v>20907</v>
      </c>
      <c r="H483" s="20">
        <v>21907</v>
      </c>
      <c r="I483" s="20">
        <f t="shared" si="3"/>
        <v>1000</v>
      </c>
    </row>
    <row r="484" spans="1:9" hidden="1">
      <c r="A484" s="78" t="s">
        <v>1160</v>
      </c>
      <c r="B484" s="8" t="s">
        <v>977</v>
      </c>
      <c r="C484" s="8" t="s">
        <v>978</v>
      </c>
      <c r="D484" s="2" t="s">
        <v>1161</v>
      </c>
      <c r="E484" s="2" t="s">
        <v>594</v>
      </c>
      <c r="F484" s="18" t="s">
        <v>601</v>
      </c>
      <c r="G484" s="20">
        <v>10119</v>
      </c>
      <c r="H484" s="20">
        <v>16119</v>
      </c>
      <c r="I484" s="20">
        <f t="shared" si="3"/>
        <v>6000</v>
      </c>
    </row>
    <row r="485" spans="1:9" hidden="1">
      <c r="A485" s="78" t="s">
        <v>1160</v>
      </c>
      <c r="B485" s="34" t="s">
        <v>979</v>
      </c>
      <c r="C485" s="34" t="s">
        <v>980</v>
      </c>
      <c r="D485" s="2" t="s">
        <v>1161</v>
      </c>
      <c r="E485" s="8" t="s">
        <v>592</v>
      </c>
      <c r="F485" s="18" t="s">
        <v>592</v>
      </c>
      <c r="G485" s="27">
        <f>4939+4482</f>
        <v>9421</v>
      </c>
      <c r="H485" s="27">
        <v>11421</v>
      </c>
      <c r="I485" s="20">
        <f t="shared" si="3"/>
        <v>2000</v>
      </c>
    </row>
    <row r="486" spans="1:9" hidden="1">
      <c r="A486" s="78" t="s">
        <v>1160</v>
      </c>
      <c r="B486" s="8" t="s">
        <v>981</v>
      </c>
      <c r="C486" s="8" t="s">
        <v>982</v>
      </c>
      <c r="D486" s="2" t="s">
        <v>1161</v>
      </c>
      <c r="E486" s="8" t="s">
        <v>595</v>
      </c>
      <c r="F486" s="19" t="s">
        <v>595</v>
      </c>
      <c r="G486" s="20">
        <v>18754</v>
      </c>
      <c r="H486" s="20">
        <v>21650</v>
      </c>
      <c r="I486" s="20">
        <f t="shared" si="3"/>
        <v>2896</v>
      </c>
    </row>
    <row r="487" spans="1:9" hidden="1">
      <c r="A487" s="78" t="s">
        <v>1160</v>
      </c>
      <c r="B487" s="8" t="s">
        <v>983</v>
      </c>
      <c r="C487" s="8" t="s">
        <v>984</v>
      </c>
      <c r="D487" s="2" t="s">
        <v>1161</v>
      </c>
      <c r="E487" s="8" t="s">
        <v>595</v>
      </c>
      <c r="F487" s="19" t="s">
        <v>595</v>
      </c>
      <c r="G487" s="20">
        <f>18591+2000</f>
        <v>20591</v>
      </c>
      <c r="H487" s="20">
        <v>21591</v>
      </c>
      <c r="I487" s="20">
        <f t="shared" si="3"/>
        <v>1000</v>
      </c>
    </row>
    <row r="488" spans="1:9" hidden="1">
      <c r="A488" s="78" t="s">
        <v>1160</v>
      </c>
      <c r="B488" s="31" t="s">
        <v>985</v>
      </c>
      <c r="C488" s="31" t="s">
        <v>986</v>
      </c>
      <c r="D488" s="2" t="s">
        <v>1161</v>
      </c>
      <c r="E488" s="8" t="s">
        <v>595</v>
      </c>
      <c r="F488" s="19" t="s">
        <v>595</v>
      </c>
      <c r="G488" s="20">
        <v>9471</v>
      </c>
      <c r="H488" s="20">
        <v>9471</v>
      </c>
      <c r="I488" s="20">
        <f t="shared" si="3"/>
        <v>0</v>
      </c>
    </row>
    <row r="489" spans="1:9" hidden="1">
      <c r="A489" s="78" t="s">
        <v>1160</v>
      </c>
      <c r="B489" s="31" t="s">
        <v>987</v>
      </c>
      <c r="C489" s="31" t="s">
        <v>988</v>
      </c>
      <c r="D489" s="2" t="s">
        <v>1161</v>
      </c>
      <c r="E489" s="8" t="s">
        <v>595</v>
      </c>
      <c r="F489" s="19" t="s">
        <v>595</v>
      </c>
      <c r="G489" s="20">
        <v>8274</v>
      </c>
      <c r="H489" s="20">
        <v>8974</v>
      </c>
      <c r="I489" s="20">
        <f t="shared" si="3"/>
        <v>700</v>
      </c>
    </row>
    <row r="490" spans="1:9" hidden="1">
      <c r="A490" s="78" t="s">
        <v>1160</v>
      </c>
      <c r="B490" s="35" t="s">
        <v>989</v>
      </c>
      <c r="C490" s="31" t="s">
        <v>990</v>
      </c>
      <c r="D490" s="2" t="s">
        <v>1161</v>
      </c>
      <c r="E490" s="8" t="s">
        <v>595</v>
      </c>
      <c r="F490" s="19" t="s">
        <v>595</v>
      </c>
      <c r="G490" s="20">
        <v>5689</v>
      </c>
      <c r="H490" s="20">
        <v>10000</v>
      </c>
      <c r="I490" s="20">
        <f t="shared" si="3"/>
        <v>4311</v>
      </c>
    </row>
    <row r="491" spans="1:9" hidden="1">
      <c r="A491" s="78" t="s">
        <v>1160</v>
      </c>
      <c r="B491" s="2" t="s">
        <v>991</v>
      </c>
      <c r="C491" s="2" t="s">
        <v>992</v>
      </c>
      <c r="D491" s="2" t="s">
        <v>1161</v>
      </c>
      <c r="E491" s="3" t="s">
        <v>594</v>
      </c>
      <c r="F491" s="8" t="s">
        <v>596</v>
      </c>
      <c r="G491" s="20">
        <v>5664</v>
      </c>
      <c r="H491" s="20">
        <v>12664</v>
      </c>
      <c r="I491" s="20">
        <f t="shared" si="3"/>
        <v>7000</v>
      </c>
    </row>
    <row r="492" spans="1:9" hidden="1">
      <c r="A492" s="78" t="s">
        <v>1160</v>
      </c>
      <c r="B492" s="2" t="s">
        <v>993</v>
      </c>
      <c r="C492" s="2" t="s">
        <v>994</v>
      </c>
      <c r="D492" s="2" t="s">
        <v>1161</v>
      </c>
      <c r="E492" s="3" t="s">
        <v>594</v>
      </c>
      <c r="F492" s="8" t="s">
        <v>596</v>
      </c>
      <c r="G492" s="20">
        <v>6984</v>
      </c>
      <c r="H492" s="20">
        <v>8984</v>
      </c>
      <c r="I492" s="20">
        <f t="shared" si="3"/>
        <v>2000</v>
      </c>
    </row>
    <row r="493" spans="1:9" hidden="1">
      <c r="A493" s="78" t="s">
        <v>1160</v>
      </c>
      <c r="B493" s="7" t="s">
        <v>995</v>
      </c>
      <c r="C493" s="7" t="s">
        <v>996</v>
      </c>
      <c r="D493" s="2" t="s">
        <v>1161</v>
      </c>
      <c r="E493" s="2" t="s">
        <v>594</v>
      </c>
      <c r="F493" s="8" t="s">
        <v>596</v>
      </c>
      <c r="G493" s="20">
        <v>6547</v>
      </c>
      <c r="H493" s="20">
        <v>8547</v>
      </c>
      <c r="I493" s="20">
        <f t="shared" si="3"/>
        <v>2000</v>
      </c>
    </row>
    <row r="494" spans="1:9" hidden="1">
      <c r="A494" s="78" t="s">
        <v>1160</v>
      </c>
      <c r="B494" s="2" t="s">
        <v>997</v>
      </c>
      <c r="C494" s="2" t="s">
        <v>998</v>
      </c>
      <c r="D494" s="2" t="s">
        <v>1161</v>
      </c>
      <c r="E494" s="2" t="s">
        <v>594</v>
      </c>
      <c r="F494" s="19" t="s">
        <v>594</v>
      </c>
      <c r="G494" s="20">
        <v>8992</v>
      </c>
      <c r="H494" s="20">
        <v>9568</v>
      </c>
      <c r="I494" s="20">
        <f t="shared" si="3"/>
        <v>576</v>
      </c>
    </row>
    <row r="495" spans="1:9" hidden="1">
      <c r="A495" s="78" t="s">
        <v>1160</v>
      </c>
      <c r="B495" s="2" t="s">
        <v>999</v>
      </c>
      <c r="C495" s="2" t="s">
        <v>1000</v>
      </c>
      <c r="D495" s="2" t="s">
        <v>1161</v>
      </c>
      <c r="E495" s="2" t="s">
        <v>594</v>
      </c>
      <c r="F495" s="19" t="s">
        <v>594</v>
      </c>
      <c r="G495" s="20">
        <v>22921</v>
      </c>
      <c r="H495" s="20">
        <v>22000</v>
      </c>
      <c r="I495" s="20">
        <f t="shared" si="3"/>
        <v>-921</v>
      </c>
    </row>
    <row r="496" spans="1:9">
      <c r="A496" s="78" t="s">
        <v>1160</v>
      </c>
      <c r="B496" s="2" t="s">
        <v>1001</v>
      </c>
      <c r="C496" s="2" t="s">
        <v>1002</v>
      </c>
      <c r="D496" s="30" t="s">
        <v>588</v>
      </c>
      <c r="E496" s="8" t="s">
        <v>593</v>
      </c>
      <c r="F496" s="8" t="s">
        <v>593</v>
      </c>
      <c r="G496" s="20">
        <f>6825+3000</f>
        <v>9825</v>
      </c>
      <c r="H496" s="20">
        <v>9825</v>
      </c>
      <c r="I496" s="20">
        <f t="shared" si="3"/>
        <v>0</v>
      </c>
    </row>
    <row r="497" spans="1:9">
      <c r="A497" s="78" t="s">
        <v>1160</v>
      </c>
      <c r="B497" s="2" t="s">
        <v>1003</v>
      </c>
      <c r="C497" s="2" t="s">
        <v>1004</v>
      </c>
      <c r="D497" s="30" t="s">
        <v>586</v>
      </c>
      <c r="E497" s="8" t="s">
        <v>593</v>
      </c>
      <c r="F497" s="8" t="s">
        <v>593</v>
      </c>
      <c r="G497" s="20">
        <v>16000</v>
      </c>
      <c r="H497" s="20">
        <v>18000</v>
      </c>
      <c r="I497" s="20">
        <f t="shared" si="3"/>
        <v>2000</v>
      </c>
    </row>
    <row r="498" spans="1:9" hidden="1">
      <c r="A498" s="78" t="s">
        <v>1160</v>
      </c>
      <c r="B498" s="33" t="s">
        <v>1005</v>
      </c>
      <c r="C498" s="33" t="s">
        <v>1006</v>
      </c>
      <c r="D498" s="2" t="s">
        <v>1161</v>
      </c>
      <c r="E498" s="8" t="s">
        <v>595</v>
      </c>
      <c r="F498" s="19" t="s">
        <v>595</v>
      </c>
      <c r="G498" s="20">
        <v>8020</v>
      </c>
      <c r="H498" s="20">
        <v>9020</v>
      </c>
      <c r="I498" s="20">
        <f t="shared" si="3"/>
        <v>1000</v>
      </c>
    </row>
    <row r="499" spans="1:9" hidden="1">
      <c r="A499" s="78" t="s">
        <v>1160</v>
      </c>
      <c r="B499" s="31" t="s">
        <v>1007</v>
      </c>
      <c r="C499" s="31" t="s">
        <v>1008</v>
      </c>
      <c r="D499" s="2" t="s">
        <v>1164</v>
      </c>
      <c r="E499" s="8" t="s">
        <v>595</v>
      </c>
      <c r="F499" s="19" t="s">
        <v>595</v>
      </c>
      <c r="G499" s="20">
        <v>9450</v>
      </c>
      <c r="H499" s="20">
        <v>9450</v>
      </c>
      <c r="I499" s="20">
        <f t="shared" si="3"/>
        <v>0</v>
      </c>
    </row>
    <row r="500" spans="1:9" hidden="1">
      <c r="A500" s="78" t="s">
        <v>1160</v>
      </c>
      <c r="B500" s="31" t="s">
        <v>1009</v>
      </c>
      <c r="C500" s="31" t="s">
        <v>1010</v>
      </c>
      <c r="D500" s="2" t="s">
        <v>1161</v>
      </c>
      <c r="E500" s="8" t="s">
        <v>595</v>
      </c>
      <c r="F500" s="19" t="s">
        <v>595</v>
      </c>
      <c r="G500" s="38">
        <v>18447.18</v>
      </c>
      <c r="H500" s="38">
        <v>20447.18</v>
      </c>
      <c r="I500" s="20">
        <f t="shared" si="3"/>
        <v>2000</v>
      </c>
    </row>
    <row r="501" spans="1:9" hidden="1">
      <c r="A501" s="78" t="s">
        <v>1160</v>
      </c>
      <c r="B501" s="31" t="s">
        <v>1011</v>
      </c>
      <c r="C501" s="31" t="s">
        <v>1012</v>
      </c>
      <c r="D501" s="2" t="s">
        <v>1165</v>
      </c>
      <c r="E501" s="8" t="s">
        <v>595</v>
      </c>
      <c r="F501" s="19" t="s">
        <v>595</v>
      </c>
      <c r="G501" s="20">
        <v>7350</v>
      </c>
      <c r="H501" s="20">
        <v>9350</v>
      </c>
      <c r="I501" s="20">
        <f t="shared" si="3"/>
        <v>2000</v>
      </c>
    </row>
    <row r="502" spans="1:9" hidden="1">
      <c r="A502" s="78" t="s">
        <v>1160</v>
      </c>
      <c r="B502" s="34" t="s">
        <v>1013</v>
      </c>
      <c r="C502" s="31" t="s">
        <v>1014</v>
      </c>
      <c r="D502" s="30" t="s">
        <v>586</v>
      </c>
      <c r="E502" s="8" t="s">
        <v>592</v>
      </c>
      <c r="F502" s="18" t="s">
        <v>601</v>
      </c>
      <c r="G502" s="20">
        <v>6038</v>
      </c>
      <c r="H502" s="20">
        <v>8038</v>
      </c>
      <c r="I502" s="20">
        <f t="shared" si="3"/>
        <v>2000</v>
      </c>
    </row>
    <row r="503" spans="1:9" hidden="1">
      <c r="A503" s="78" t="s">
        <v>1160</v>
      </c>
      <c r="B503" s="8" t="s">
        <v>1015</v>
      </c>
      <c r="C503" s="8" t="s">
        <v>1016</v>
      </c>
      <c r="D503" s="2" t="s">
        <v>1161</v>
      </c>
      <c r="E503" s="8" t="s">
        <v>595</v>
      </c>
      <c r="F503" s="19" t="s">
        <v>595</v>
      </c>
      <c r="G503" s="20">
        <v>20000</v>
      </c>
      <c r="H503" s="20">
        <v>22000</v>
      </c>
      <c r="I503" s="20">
        <f t="shared" si="3"/>
        <v>2000</v>
      </c>
    </row>
    <row r="504" spans="1:9" hidden="1">
      <c r="A504" s="78" t="s">
        <v>1160</v>
      </c>
      <c r="B504" s="33" t="s">
        <v>1017</v>
      </c>
      <c r="C504" s="33" t="s">
        <v>1018</v>
      </c>
      <c r="D504" s="2" t="s">
        <v>1161</v>
      </c>
      <c r="E504" s="30" t="s">
        <v>594</v>
      </c>
      <c r="F504" s="18" t="s">
        <v>601</v>
      </c>
      <c r="G504" s="20">
        <f>2499.24+923</f>
        <v>3422.24</v>
      </c>
      <c r="H504" s="20">
        <v>5422.24</v>
      </c>
      <c r="I504" s="20">
        <f t="shared" si="3"/>
        <v>2000</v>
      </c>
    </row>
    <row r="505" spans="1:9">
      <c r="A505" s="78" t="s">
        <v>1160</v>
      </c>
      <c r="B505" s="2" t="s">
        <v>1019</v>
      </c>
      <c r="C505" s="2" t="s">
        <v>1020</v>
      </c>
      <c r="D505" s="30" t="s">
        <v>589</v>
      </c>
      <c r="E505" s="8" t="s">
        <v>593</v>
      </c>
      <c r="F505" s="8" t="s">
        <v>593</v>
      </c>
      <c r="G505" s="20">
        <v>10000</v>
      </c>
      <c r="H505" s="20">
        <v>10000</v>
      </c>
      <c r="I505" s="20">
        <f t="shared" ref="I505:I568" si="4">H505-G505</f>
        <v>0</v>
      </c>
    </row>
    <row r="506" spans="1:9" hidden="1">
      <c r="A506" s="78" t="s">
        <v>1160</v>
      </c>
      <c r="B506" s="31" t="s">
        <v>1021</v>
      </c>
      <c r="C506" s="31" t="s">
        <v>1022</v>
      </c>
      <c r="D506" s="30" t="s">
        <v>589</v>
      </c>
      <c r="E506" s="8" t="s">
        <v>595</v>
      </c>
      <c r="F506" s="19" t="s">
        <v>595</v>
      </c>
      <c r="G506" s="20">
        <v>20000</v>
      </c>
      <c r="H506" s="20">
        <v>21845</v>
      </c>
      <c r="I506" s="20">
        <f t="shared" si="4"/>
        <v>1845</v>
      </c>
    </row>
    <row r="507" spans="1:9">
      <c r="A507" s="78" t="s">
        <v>1160</v>
      </c>
      <c r="B507" s="2" t="s">
        <v>1023</v>
      </c>
      <c r="C507" s="5" t="s">
        <v>1024</v>
      </c>
      <c r="D507" s="30" t="s">
        <v>589</v>
      </c>
      <c r="E507" s="8" t="s">
        <v>593</v>
      </c>
      <c r="F507" s="8" t="s">
        <v>596</v>
      </c>
      <c r="G507" s="20">
        <v>10000</v>
      </c>
      <c r="H507" s="20">
        <v>10000</v>
      </c>
      <c r="I507" s="20">
        <f t="shared" si="4"/>
        <v>0</v>
      </c>
    </row>
    <row r="508" spans="1:9" hidden="1">
      <c r="A508" s="78" t="s">
        <v>1160</v>
      </c>
      <c r="B508" s="31" t="s">
        <v>1025</v>
      </c>
      <c r="C508" s="31" t="s">
        <v>1026</v>
      </c>
      <c r="D508" s="2" t="s">
        <v>1161</v>
      </c>
      <c r="E508" s="8" t="s">
        <v>592</v>
      </c>
      <c r="F508" s="18" t="s">
        <v>601</v>
      </c>
      <c r="G508" s="20">
        <f>5795+5641</f>
        <v>11436</v>
      </c>
      <c r="H508" s="20">
        <v>14436</v>
      </c>
      <c r="I508" s="20">
        <f t="shared" si="4"/>
        <v>3000</v>
      </c>
    </row>
    <row r="509" spans="1:9" hidden="1">
      <c r="A509" s="78" t="s">
        <v>1160</v>
      </c>
      <c r="B509" s="2" t="s">
        <v>1027</v>
      </c>
      <c r="C509" s="2" t="s">
        <v>1028</v>
      </c>
      <c r="D509" s="2" t="s">
        <v>1161</v>
      </c>
      <c r="E509" s="2" t="s">
        <v>594</v>
      </c>
      <c r="F509" s="19" t="s">
        <v>594</v>
      </c>
      <c r="G509" s="20">
        <v>22000</v>
      </c>
      <c r="H509" s="20">
        <v>22000</v>
      </c>
      <c r="I509" s="20">
        <f t="shared" si="4"/>
        <v>0</v>
      </c>
    </row>
    <row r="510" spans="1:9" hidden="1">
      <c r="A510" s="78" t="s">
        <v>1160</v>
      </c>
      <c r="B510" s="2" t="s">
        <v>1029</v>
      </c>
      <c r="C510" s="2" t="s">
        <v>1030</v>
      </c>
      <c r="D510" s="2" t="s">
        <v>1161</v>
      </c>
      <c r="E510" s="2" t="s">
        <v>594</v>
      </c>
      <c r="F510" s="19" t="s">
        <v>594</v>
      </c>
      <c r="G510" s="20">
        <v>11328</v>
      </c>
      <c r="H510" s="20">
        <v>13328</v>
      </c>
      <c r="I510" s="20">
        <f t="shared" si="4"/>
        <v>2000</v>
      </c>
    </row>
    <row r="511" spans="1:9">
      <c r="A511" s="78" t="s">
        <v>1160</v>
      </c>
      <c r="B511" s="2" t="s">
        <v>1031</v>
      </c>
      <c r="C511" s="2" t="s">
        <v>1032</v>
      </c>
      <c r="D511" s="2" t="s">
        <v>1161</v>
      </c>
      <c r="E511" s="8" t="s">
        <v>593</v>
      </c>
      <c r="F511" s="8" t="s">
        <v>593</v>
      </c>
      <c r="G511" s="20">
        <v>10721</v>
      </c>
      <c r="H511" s="20">
        <v>14721</v>
      </c>
      <c r="I511" s="20">
        <f t="shared" si="4"/>
        <v>4000</v>
      </c>
    </row>
    <row r="512" spans="1:9">
      <c r="A512" s="78" t="s">
        <v>1160</v>
      </c>
      <c r="B512" s="30" t="s">
        <v>1033</v>
      </c>
      <c r="C512" s="30" t="s">
        <v>1034</v>
      </c>
      <c r="D512" s="30" t="s">
        <v>586</v>
      </c>
      <c r="E512" s="8" t="s">
        <v>593</v>
      </c>
      <c r="F512" s="8" t="s">
        <v>593</v>
      </c>
      <c r="G512" s="20">
        <v>10000</v>
      </c>
      <c r="H512" s="20">
        <v>10000</v>
      </c>
      <c r="I512" s="20">
        <f t="shared" si="4"/>
        <v>0</v>
      </c>
    </row>
    <row r="513" spans="1:9" hidden="1">
      <c r="A513" s="78" t="s">
        <v>1160</v>
      </c>
      <c r="B513" s="5" t="s">
        <v>1035</v>
      </c>
      <c r="C513" s="5" t="s">
        <v>1036</v>
      </c>
      <c r="D513" s="2" t="s">
        <v>1161</v>
      </c>
      <c r="E513" s="8" t="s">
        <v>592</v>
      </c>
      <c r="F513" s="8" t="s">
        <v>599</v>
      </c>
      <c r="G513" s="20">
        <v>9062</v>
      </c>
      <c r="H513" s="20">
        <v>9862</v>
      </c>
      <c r="I513" s="20">
        <f t="shared" si="4"/>
        <v>800</v>
      </c>
    </row>
    <row r="514" spans="1:9">
      <c r="A514" s="78" t="s">
        <v>1160</v>
      </c>
      <c r="B514" s="30" t="s">
        <v>1037</v>
      </c>
      <c r="C514" s="30" t="s">
        <v>1038</v>
      </c>
      <c r="D514" s="30" t="s">
        <v>1162</v>
      </c>
      <c r="E514" s="8" t="s">
        <v>593</v>
      </c>
      <c r="F514" s="8" t="s">
        <v>596</v>
      </c>
      <c r="G514" s="20">
        <v>7499</v>
      </c>
      <c r="H514" s="20">
        <v>8499</v>
      </c>
      <c r="I514" s="20">
        <f t="shared" si="4"/>
        <v>1000</v>
      </c>
    </row>
    <row r="515" spans="1:9" hidden="1">
      <c r="A515" s="78" t="s">
        <v>1160</v>
      </c>
      <c r="B515" s="31" t="s">
        <v>1039</v>
      </c>
      <c r="C515" s="31" t="s">
        <v>1040</v>
      </c>
      <c r="D515" s="2" t="s">
        <v>1161</v>
      </c>
      <c r="E515" s="8" t="s">
        <v>592</v>
      </c>
      <c r="F515" s="18" t="s">
        <v>601</v>
      </c>
      <c r="G515" s="20">
        <v>10615</v>
      </c>
      <c r="H515" s="20">
        <v>10615</v>
      </c>
      <c r="I515" s="20">
        <f t="shared" si="4"/>
        <v>0</v>
      </c>
    </row>
    <row r="516" spans="1:9" hidden="1">
      <c r="A516" s="78" t="s">
        <v>1160</v>
      </c>
      <c r="B516" s="31" t="s">
        <v>1041</v>
      </c>
      <c r="C516" s="31" t="s">
        <v>1042</v>
      </c>
      <c r="D516" s="2" t="s">
        <v>1161</v>
      </c>
      <c r="E516" s="31" t="s">
        <v>594</v>
      </c>
      <c r="F516" s="19" t="s">
        <v>594</v>
      </c>
      <c r="G516" s="20">
        <v>3460</v>
      </c>
      <c r="H516" s="20">
        <v>5847</v>
      </c>
      <c r="I516" s="20">
        <f t="shared" si="4"/>
        <v>2387</v>
      </c>
    </row>
    <row r="517" spans="1:9" hidden="1">
      <c r="A517" s="78" t="s">
        <v>1160</v>
      </c>
      <c r="B517" s="30" t="s">
        <v>1043</v>
      </c>
      <c r="C517" s="30" t="s">
        <v>1044</v>
      </c>
      <c r="D517" s="2" t="s">
        <v>1161</v>
      </c>
      <c r="E517" s="2" t="s">
        <v>594</v>
      </c>
      <c r="F517" s="19" t="s">
        <v>594</v>
      </c>
      <c r="G517" s="20">
        <v>11800</v>
      </c>
      <c r="H517" s="20">
        <v>14800</v>
      </c>
      <c r="I517" s="20">
        <f t="shared" si="4"/>
        <v>3000</v>
      </c>
    </row>
    <row r="518" spans="1:9">
      <c r="A518" s="78" t="s">
        <v>1160</v>
      </c>
      <c r="B518" s="2" t="s">
        <v>1045</v>
      </c>
      <c r="C518" s="2" t="s">
        <v>1046</v>
      </c>
      <c r="D518" s="30" t="s">
        <v>589</v>
      </c>
      <c r="E518" s="8" t="s">
        <v>593</v>
      </c>
      <c r="F518" s="8" t="s">
        <v>593</v>
      </c>
      <c r="G518" s="20">
        <v>10000</v>
      </c>
      <c r="H518" s="20">
        <v>10000</v>
      </c>
      <c r="I518" s="20">
        <f t="shared" si="4"/>
        <v>0</v>
      </c>
    </row>
    <row r="519" spans="1:9" hidden="1">
      <c r="A519" s="78" t="s">
        <v>1160</v>
      </c>
      <c r="B519" s="29" t="s">
        <v>1047</v>
      </c>
      <c r="C519" s="29" t="s">
        <v>1048</v>
      </c>
      <c r="D519" s="2" t="s">
        <v>1161</v>
      </c>
      <c r="E519" s="29" t="s">
        <v>594</v>
      </c>
      <c r="F519" s="19" t="s">
        <v>594</v>
      </c>
      <c r="G519" s="20">
        <v>13276</v>
      </c>
      <c r="H519" s="20">
        <v>16276</v>
      </c>
      <c r="I519" s="20">
        <f t="shared" si="4"/>
        <v>3000</v>
      </c>
    </row>
    <row r="520" spans="1:9" hidden="1">
      <c r="A520" s="78" t="s">
        <v>1160</v>
      </c>
      <c r="B520" s="5" t="s">
        <v>1049</v>
      </c>
      <c r="C520" s="5" t="s">
        <v>1050</v>
      </c>
      <c r="D520" s="2" t="s">
        <v>1161</v>
      </c>
      <c r="E520" s="8" t="s">
        <v>595</v>
      </c>
      <c r="F520" s="19" t="s">
        <v>595</v>
      </c>
      <c r="G520" s="20">
        <v>7073</v>
      </c>
      <c r="H520" s="20">
        <v>8073</v>
      </c>
      <c r="I520" s="20">
        <f t="shared" si="4"/>
        <v>1000</v>
      </c>
    </row>
    <row r="521" spans="1:9" hidden="1">
      <c r="A521" s="78" t="s">
        <v>1160</v>
      </c>
      <c r="B521" s="5" t="s">
        <v>1051</v>
      </c>
      <c r="C521" s="5" t="s">
        <v>1052</v>
      </c>
      <c r="D521" s="2" t="s">
        <v>1161</v>
      </c>
      <c r="E521" s="8" t="s">
        <v>595</v>
      </c>
      <c r="F521" s="19" t="s">
        <v>595</v>
      </c>
      <c r="G521" s="20">
        <v>4969</v>
      </c>
      <c r="H521" s="20">
        <v>6968</v>
      </c>
      <c r="I521" s="20">
        <f t="shared" si="4"/>
        <v>1999</v>
      </c>
    </row>
    <row r="522" spans="1:9">
      <c r="A522" s="78" t="s">
        <v>1160</v>
      </c>
      <c r="B522" s="2" t="s">
        <v>1053</v>
      </c>
      <c r="C522" s="2" t="s">
        <v>1054</v>
      </c>
      <c r="D522" s="30" t="s">
        <v>1166</v>
      </c>
      <c r="E522" s="8" t="s">
        <v>593</v>
      </c>
      <c r="F522" s="8" t="s">
        <v>596</v>
      </c>
      <c r="G522" s="20">
        <v>9350</v>
      </c>
      <c r="H522" s="20">
        <v>10000</v>
      </c>
      <c r="I522" s="20">
        <f t="shared" si="4"/>
        <v>650</v>
      </c>
    </row>
    <row r="523" spans="1:9" hidden="1">
      <c r="A523" s="78" t="s">
        <v>1160</v>
      </c>
      <c r="B523" s="30" t="s">
        <v>1055</v>
      </c>
      <c r="C523" s="30" t="s">
        <v>1056</v>
      </c>
      <c r="D523" s="30" t="s">
        <v>586</v>
      </c>
      <c r="E523" s="8" t="s">
        <v>592</v>
      </c>
      <c r="F523" s="8" t="s">
        <v>596</v>
      </c>
      <c r="G523" s="20">
        <v>7650</v>
      </c>
      <c r="H523" s="20">
        <v>9650</v>
      </c>
      <c r="I523" s="20">
        <f t="shared" si="4"/>
        <v>2000</v>
      </c>
    </row>
    <row r="524" spans="1:9" hidden="1">
      <c r="A524" s="78" t="s">
        <v>1160</v>
      </c>
      <c r="B524" s="30" t="s">
        <v>1057</v>
      </c>
      <c r="C524" s="31" t="s">
        <v>1058</v>
      </c>
      <c r="D524" s="30" t="s">
        <v>1167</v>
      </c>
      <c r="E524" s="8" t="s">
        <v>595</v>
      </c>
      <c r="F524" s="8" t="s">
        <v>596</v>
      </c>
      <c r="G524" s="20">
        <v>21000</v>
      </c>
      <c r="H524" s="20">
        <v>22000</v>
      </c>
      <c r="I524" s="20">
        <f t="shared" si="4"/>
        <v>1000</v>
      </c>
    </row>
    <row r="525" spans="1:9" hidden="1">
      <c r="A525" s="78" t="s">
        <v>1160</v>
      </c>
      <c r="B525" s="35" t="s">
        <v>1059</v>
      </c>
      <c r="C525" s="31" t="s">
        <v>1060</v>
      </c>
      <c r="D525" s="2" t="s">
        <v>589</v>
      </c>
      <c r="E525" s="8" t="s">
        <v>595</v>
      </c>
      <c r="F525" s="19" t="s">
        <v>595</v>
      </c>
      <c r="G525" s="20">
        <v>9500</v>
      </c>
      <c r="H525" s="20">
        <v>10000</v>
      </c>
      <c r="I525" s="20">
        <f t="shared" si="4"/>
        <v>500</v>
      </c>
    </row>
    <row r="526" spans="1:9">
      <c r="A526" s="78" t="s">
        <v>1160</v>
      </c>
      <c r="B526" s="8" t="s">
        <v>1061</v>
      </c>
      <c r="C526" s="8" t="s">
        <v>1062</v>
      </c>
      <c r="D526" s="2" t="s">
        <v>1161</v>
      </c>
      <c r="E526" s="8" t="s">
        <v>593</v>
      </c>
      <c r="F526" s="8" t="s">
        <v>599</v>
      </c>
      <c r="G526" s="20">
        <v>16284</v>
      </c>
      <c r="H526" s="20">
        <v>21284</v>
      </c>
      <c r="I526" s="20">
        <f t="shared" si="4"/>
        <v>5000</v>
      </c>
    </row>
    <row r="527" spans="1:9" hidden="1">
      <c r="A527" s="78" t="s">
        <v>1160</v>
      </c>
      <c r="B527" s="5" t="s">
        <v>1063</v>
      </c>
      <c r="C527" s="5" t="s">
        <v>1064</v>
      </c>
      <c r="D527" s="2" t="s">
        <v>1161</v>
      </c>
      <c r="E527" s="8" t="s">
        <v>595</v>
      </c>
      <c r="F527" s="19" t="s">
        <v>595</v>
      </c>
      <c r="G527" s="20">
        <v>21584</v>
      </c>
      <c r="H527" s="20">
        <v>21884</v>
      </c>
      <c r="I527" s="20">
        <f t="shared" si="4"/>
        <v>300</v>
      </c>
    </row>
    <row r="528" spans="1:9" hidden="1">
      <c r="A528" s="78" t="s">
        <v>1160</v>
      </c>
      <c r="B528" s="30" t="s">
        <v>1065</v>
      </c>
      <c r="C528" s="30" t="s">
        <v>1066</v>
      </c>
      <c r="D528" s="2" t="s">
        <v>1161</v>
      </c>
      <c r="E528" s="30" t="s">
        <v>594</v>
      </c>
      <c r="F528" s="19" t="s">
        <v>594</v>
      </c>
      <c r="G528" s="20">
        <f>18729+1298</f>
        <v>20027</v>
      </c>
      <c r="H528" s="20">
        <v>14027</v>
      </c>
      <c r="I528" s="20">
        <f t="shared" si="4"/>
        <v>-6000</v>
      </c>
    </row>
    <row r="529" spans="1:9">
      <c r="A529" s="78" t="s">
        <v>1160</v>
      </c>
      <c r="B529" s="8" t="s">
        <v>1067</v>
      </c>
      <c r="C529" s="8" t="s">
        <v>1068</v>
      </c>
      <c r="D529" s="2" t="s">
        <v>1161</v>
      </c>
      <c r="E529" s="8" t="s">
        <v>593</v>
      </c>
      <c r="F529" s="8" t="s">
        <v>599</v>
      </c>
      <c r="G529" s="20">
        <v>6816</v>
      </c>
      <c r="H529" s="20">
        <v>8816</v>
      </c>
      <c r="I529" s="20">
        <f t="shared" si="4"/>
        <v>2000</v>
      </c>
    </row>
    <row r="530" spans="1:9">
      <c r="A530" s="78" t="s">
        <v>1160</v>
      </c>
      <c r="B530" s="2" t="s">
        <v>1069</v>
      </c>
      <c r="C530" s="2" t="s">
        <v>1070</v>
      </c>
      <c r="D530" s="2" t="s">
        <v>1161</v>
      </c>
      <c r="E530" s="8" t="s">
        <v>593</v>
      </c>
      <c r="F530" s="8" t="s">
        <v>599</v>
      </c>
      <c r="G530" s="20">
        <v>4544</v>
      </c>
      <c r="H530" s="20">
        <v>7544</v>
      </c>
      <c r="I530" s="20">
        <f t="shared" si="4"/>
        <v>3000</v>
      </c>
    </row>
    <row r="531" spans="1:9">
      <c r="A531" s="78" t="s">
        <v>1160</v>
      </c>
      <c r="B531" s="5" t="s">
        <v>1071</v>
      </c>
      <c r="C531" s="5" t="s">
        <v>1072</v>
      </c>
      <c r="D531" s="2" t="s">
        <v>1161</v>
      </c>
      <c r="E531" s="8" t="s">
        <v>593</v>
      </c>
      <c r="F531" s="8" t="s">
        <v>599</v>
      </c>
      <c r="G531" s="20">
        <f>125+12832</f>
        <v>12957</v>
      </c>
      <c r="H531" s="20">
        <v>16447</v>
      </c>
      <c r="I531" s="20">
        <f t="shared" si="4"/>
        <v>3490</v>
      </c>
    </row>
    <row r="532" spans="1:9" hidden="1">
      <c r="A532" s="78" t="s">
        <v>1160</v>
      </c>
      <c r="B532" s="2" t="s">
        <v>1073</v>
      </c>
      <c r="C532" s="2" t="s">
        <v>1074</v>
      </c>
      <c r="D532" s="2" t="s">
        <v>589</v>
      </c>
      <c r="E532" s="8" t="s">
        <v>595</v>
      </c>
      <c r="F532" s="8" t="s">
        <v>596</v>
      </c>
      <c r="G532" s="20">
        <v>10000</v>
      </c>
      <c r="H532" s="20">
        <v>10000</v>
      </c>
      <c r="I532" s="20">
        <f t="shared" si="4"/>
        <v>0</v>
      </c>
    </row>
    <row r="533" spans="1:9" hidden="1">
      <c r="A533" s="78" t="s">
        <v>1160</v>
      </c>
      <c r="B533" s="2" t="s">
        <v>1075</v>
      </c>
      <c r="C533" s="2" t="s">
        <v>1076</v>
      </c>
      <c r="D533" s="30" t="s">
        <v>589</v>
      </c>
      <c r="E533" s="8" t="s">
        <v>592</v>
      </c>
      <c r="F533" s="8" t="s">
        <v>596</v>
      </c>
      <c r="G533" s="20">
        <v>14500</v>
      </c>
      <c r="H533" s="20">
        <v>16500</v>
      </c>
      <c r="I533" s="20">
        <f t="shared" si="4"/>
        <v>2000</v>
      </c>
    </row>
    <row r="534" spans="1:9" hidden="1">
      <c r="A534" s="78" t="s">
        <v>1160</v>
      </c>
      <c r="B534" s="34" t="s">
        <v>1077</v>
      </c>
      <c r="C534" s="34" t="s">
        <v>1078</v>
      </c>
      <c r="D534" s="2" t="s">
        <v>1161</v>
      </c>
      <c r="E534" s="8" t="s">
        <v>592</v>
      </c>
      <c r="F534" s="18" t="s">
        <v>601</v>
      </c>
      <c r="G534" s="27">
        <v>9794</v>
      </c>
      <c r="H534" s="27">
        <v>13794</v>
      </c>
      <c r="I534" s="20">
        <f t="shared" si="4"/>
        <v>4000</v>
      </c>
    </row>
    <row r="535" spans="1:9" hidden="1">
      <c r="A535" s="78" t="s">
        <v>1160</v>
      </c>
      <c r="B535" s="34" t="s">
        <v>1079</v>
      </c>
      <c r="C535" s="34" t="s">
        <v>1080</v>
      </c>
      <c r="D535" s="2" t="s">
        <v>1161</v>
      </c>
      <c r="E535" s="8" t="s">
        <v>592</v>
      </c>
      <c r="F535" s="18" t="s">
        <v>601</v>
      </c>
      <c r="G535" s="38">
        <v>8518.1299999999992</v>
      </c>
      <c r="H535" s="38">
        <v>12518</v>
      </c>
      <c r="I535" s="20">
        <f t="shared" si="4"/>
        <v>3999.8700000000008</v>
      </c>
    </row>
    <row r="536" spans="1:9">
      <c r="A536" s="78" t="s">
        <v>1160</v>
      </c>
      <c r="B536" s="32" t="s">
        <v>1081</v>
      </c>
      <c r="C536" s="30" t="s">
        <v>1082</v>
      </c>
      <c r="D536" s="30" t="s">
        <v>1167</v>
      </c>
      <c r="E536" s="8" t="s">
        <v>593</v>
      </c>
      <c r="F536" s="8" t="s">
        <v>596</v>
      </c>
      <c r="G536" s="20">
        <v>8550</v>
      </c>
      <c r="H536" s="20">
        <v>9550</v>
      </c>
      <c r="I536" s="20">
        <f t="shared" si="4"/>
        <v>1000</v>
      </c>
    </row>
    <row r="537" spans="1:9" hidden="1">
      <c r="A537" s="78" t="s">
        <v>1160</v>
      </c>
      <c r="B537" s="31" t="s">
        <v>1083</v>
      </c>
      <c r="C537" s="31" t="s">
        <v>1084</v>
      </c>
      <c r="D537" s="2" t="s">
        <v>588</v>
      </c>
      <c r="E537" s="8" t="s">
        <v>595</v>
      </c>
      <c r="F537" s="19" t="s">
        <v>595</v>
      </c>
      <c r="G537" s="20">
        <v>10288</v>
      </c>
      <c r="H537" s="20">
        <v>10288</v>
      </c>
      <c r="I537" s="20">
        <f t="shared" si="4"/>
        <v>0</v>
      </c>
    </row>
    <row r="538" spans="1:9">
      <c r="A538" s="78" t="s">
        <v>1160</v>
      </c>
      <c r="B538" s="31" t="s">
        <v>1085</v>
      </c>
      <c r="C538" s="31" t="s">
        <v>1086</v>
      </c>
      <c r="D538" s="30" t="s">
        <v>586</v>
      </c>
      <c r="E538" s="8" t="s">
        <v>593</v>
      </c>
      <c r="F538" s="18" t="s">
        <v>601</v>
      </c>
      <c r="G538" s="20">
        <v>7350</v>
      </c>
      <c r="H538" s="20">
        <v>9350</v>
      </c>
      <c r="I538" s="20">
        <f t="shared" si="4"/>
        <v>2000</v>
      </c>
    </row>
    <row r="539" spans="1:9" hidden="1">
      <c r="A539" s="78" t="s">
        <v>1160</v>
      </c>
      <c r="B539" s="8" t="s">
        <v>1087</v>
      </c>
      <c r="C539" s="5" t="s">
        <v>1088</v>
      </c>
      <c r="D539" s="2" t="s">
        <v>1161</v>
      </c>
      <c r="E539" s="8" t="s">
        <v>595</v>
      </c>
      <c r="F539" s="19" t="s">
        <v>595</v>
      </c>
      <c r="G539" s="20">
        <v>20000</v>
      </c>
      <c r="H539" s="20">
        <v>22000</v>
      </c>
      <c r="I539" s="20">
        <f t="shared" si="4"/>
        <v>2000</v>
      </c>
    </row>
    <row r="540" spans="1:9" hidden="1">
      <c r="A540" s="78" t="s">
        <v>1160</v>
      </c>
      <c r="B540" s="31" t="s">
        <v>1089</v>
      </c>
      <c r="C540" s="31" t="s">
        <v>1090</v>
      </c>
      <c r="D540" s="2" t="s">
        <v>1161</v>
      </c>
      <c r="E540" s="8" t="s">
        <v>595</v>
      </c>
      <c r="F540" s="19" t="s">
        <v>595</v>
      </c>
      <c r="G540" s="20">
        <v>14550</v>
      </c>
      <c r="H540" s="20">
        <v>16550</v>
      </c>
      <c r="I540" s="20">
        <f t="shared" si="4"/>
        <v>2000</v>
      </c>
    </row>
    <row r="541" spans="1:9" hidden="1">
      <c r="A541" s="78" t="s">
        <v>1160</v>
      </c>
      <c r="B541" s="31" t="s">
        <v>1091</v>
      </c>
      <c r="C541" s="31" t="s">
        <v>1092</v>
      </c>
      <c r="D541" s="30" t="s">
        <v>1162</v>
      </c>
      <c r="E541" s="8" t="s">
        <v>595</v>
      </c>
      <c r="F541" s="19" t="s">
        <v>595</v>
      </c>
      <c r="G541" s="20">
        <v>20000</v>
      </c>
      <c r="H541" s="20">
        <v>21800</v>
      </c>
      <c r="I541" s="20">
        <f t="shared" si="4"/>
        <v>1800</v>
      </c>
    </row>
    <row r="542" spans="1:9" hidden="1">
      <c r="A542" s="78" t="s">
        <v>1160</v>
      </c>
      <c r="B542" s="31" t="s">
        <v>1093</v>
      </c>
      <c r="C542" s="31" t="s">
        <v>1094</v>
      </c>
      <c r="D542" s="2" t="s">
        <v>588</v>
      </c>
      <c r="E542" s="8" t="s">
        <v>595</v>
      </c>
      <c r="F542" s="19" t="s">
        <v>595</v>
      </c>
      <c r="G542" s="20">
        <v>8190</v>
      </c>
      <c r="H542" s="20">
        <v>9190</v>
      </c>
      <c r="I542" s="20">
        <f t="shared" si="4"/>
        <v>1000</v>
      </c>
    </row>
    <row r="543" spans="1:9" hidden="1">
      <c r="A543" s="78" t="s">
        <v>1160</v>
      </c>
      <c r="B543" s="31" t="s">
        <v>1095</v>
      </c>
      <c r="C543" s="31" t="s">
        <v>1096</v>
      </c>
      <c r="D543" s="2" t="s">
        <v>1161</v>
      </c>
      <c r="E543" s="8" t="s">
        <v>595</v>
      </c>
      <c r="F543" s="19" t="s">
        <v>595</v>
      </c>
      <c r="G543" s="20">
        <v>8968</v>
      </c>
      <c r="H543" s="20">
        <v>9968</v>
      </c>
      <c r="I543" s="20">
        <f t="shared" si="4"/>
        <v>1000</v>
      </c>
    </row>
    <row r="544" spans="1:9" hidden="1">
      <c r="A544" s="78" t="s">
        <v>1160</v>
      </c>
      <c r="B544" s="5" t="s">
        <v>141</v>
      </c>
      <c r="C544" s="5" t="s">
        <v>1097</v>
      </c>
      <c r="D544" s="2" t="s">
        <v>1161</v>
      </c>
      <c r="E544" s="8" t="s">
        <v>595</v>
      </c>
      <c r="F544" s="19" t="s">
        <v>595</v>
      </c>
      <c r="G544" s="20">
        <v>4791</v>
      </c>
      <c r="H544" s="20">
        <v>7791</v>
      </c>
      <c r="I544" s="20">
        <f t="shared" si="4"/>
        <v>3000</v>
      </c>
    </row>
    <row r="545" spans="1:9" hidden="1">
      <c r="A545" s="78" t="s">
        <v>1160</v>
      </c>
      <c r="B545" s="31" t="s">
        <v>1098</v>
      </c>
      <c r="C545" s="31" t="s">
        <v>1099</v>
      </c>
      <c r="D545" s="2" t="s">
        <v>588</v>
      </c>
      <c r="E545" s="8" t="s">
        <v>595</v>
      </c>
      <c r="F545" s="19" t="s">
        <v>595</v>
      </c>
      <c r="G545" s="20">
        <f>8925+8925</f>
        <v>17850</v>
      </c>
      <c r="H545" s="20">
        <v>21850</v>
      </c>
      <c r="I545" s="20">
        <f t="shared" si="4"/>
        <v>4000</v>
      </c>
    </row>
    <row r="546" spans="1:9" hidden="1">
      <c r="A546" s="78" t="s">
        <v>1160</v>
      </c>
      <c r="B546" s="34" t="s">
        <v>1100</v>
      </c>
      <c r="C546" s="34" t="s">
        <v>1101</v>
      </c>
      <c r="D546" s="2" t="s">
        <v>1161</v>
      </c>
      <c r="E546" s="8" t="s">
        <v>592</v>
      </c>
      <c r="F546" s="18" t="s">
        <v>601</v>
      </c>
      <c r="G546" s="27">
        <v>20149</v>
      </c>
      <c r="H546" s="27">
        <v>22000</v>
      </c>
      <c r="I546" s="20">
        <f t="shared" si="4"/>
        <v>1851</v>
      </c>
    </row>
    <row r="547" spans="1:9" hidden="1">
      <c r="A547" s="78" t="s">
        <v>1160</v>
      </c>
      <c r="B547" s="8" t="s">
        <v>1102</v>
      </c>
      <c r="C547" s="8" t="s">
        <v>1103</v>
      </c>
      <c r="D547" s="30" t="s">
        <v>1162</v>
      </c>
      <c r="E547" s="8" t="s">
        <v>595</v>
      </c>
      <c r="F547" s="19" t="s">
        <v>595</v>
      </c>
      <c r="G547" s="20">
        <v>20000</v>
      </c>
      <c r="H547" s="20">
        <v>22000</v>
      </c>
      <c r="I547" s="20">
        <f t="shared" si="4"/>
        <v>2000</v>
      </c>
    </row>
    <row r="548" spans="1:9" hidden="1">
      <c r="A548" s="78" t="s">
        <v>1160</v>
      </c>
      <c r="B548" s="8" t="s">
        <v>1104</v>
      </c>
      <c r="C548" s="8" t="s">
        <v>1105</v>
      </c>
      <c r="D548" s="2" t="s">
        <v>1161</v>
      </c>
      <c r="E548" s="8" t="s">
        <v>595</v>
      </c>
      <c r="F548" s="19" t="s">
        <v>595</v>
      </c>
      <c r="G548" s="38">
        <v>20195.7</v>
      </c>
      <c r="H548" s="38">
        <v>22000</v>
      </c>
      <c r="I548" s="20">
        <f t="shared" si="4"/>
        <v>1804.2999999999993</v>
      </c>
    </row>
    <row r="549" spans="1:9" hidden="1">
      <c r="A549" s="78" t="s">
        <v>1160</v>
      </c>
      <c r="B549" s="31" t="s">
        <v>1106</v>
      </c>
      <c r="C549" s="31" t="s">
        <v>1107</v>
      </c>
      <c r="D549" s="2" t="s">
        <v>1161</v>
      </c>
      <c r="E549" s="8" t="s">
        <v>595</v>
      </c>
      <c r="F549" s="19" t="s">
        <v>595</v>
      </c>
      <c r="G549" s="20">
        <v>10000</v>
      </c>
      <c r="H549" s="20">
        <v>10000</v>
      </c>
      <c r="I549" s="20">
        <f t="shared" si="4"/>
        <v>0</v>
      </c>
    </row>
    <row r="550" spans="1:9" hidden="1">
      <c r="A550" s="78" t="s">
        <v>1160</v>
      </c>
      <c r="B550" s="31" t="s">
        <v>1108</v>
      </c>
      <c r="C550" s="31" t="s">
        <v>1109</v>
      </c>
      <c r="D550" s="2" t="s">
        <v>589</v>
      </c>
      <c r="E550" s="8" t="s">
        <v>595</v>
      </c>
      <c r="F550" s="19" t="s">
        <v>595</v>
      </c>
      <c r="G550" s="20">
        <v>20000</v>
      </c>
      <c r="H550" s="20">
        <v>21500</v>
      </c>
      <c r="I550" s="20">
        <f t="shared" si="4"/>
        <v>1500</v>
      </c>
    </row>
    <row r="551" spans="1:9" hidden="1">
      <c r="A551" s="78" t="s">
        <v>1160</v>
      </c>
      <c r="B551" s="5" t="s">
        <v>1110</v>
      </c>
      <c r="C551" s="5" t="s">
        <v>1111</v>
      </c>
      <c r="D551" s="2" t="s">
        <v>1161</v>
      </c>
      <c r="E551" s="8" t="s">
        <v>595</v>
      </c>
      <c r="F551" s="19" t="s">
        <v>595</v>
      </c>
      <c r="G551" s="20">
        <v>8845</v>
      </c>
      <c r="H551" s="20">
        <v>9945</v>
      </c>
      <c r="I551" s="20">
        <f t="shared" si="4"/>
        <v>1100</v>
      </c>
    </row>
    <row r="552" spans="1:9" hidden="1">
      <c r="A552" s="78" t="s">
        <v>1160</v>
      </c>
      <c r="B552" s="31" t="s">
        <v>1112</v>
      </c>
      <c r="C552" s="31" t="s">
        <v>1113</v>
      </c>
      <c r="D552" s="2" t="s">
        <v>1161</v>
      </c>
      <c r="E552" s="8" t="s">
        <v>595</v>
      </c>
      <c r="F552" s="19" t="s">
        <v>595</v>
      </c>
      <c r="G552" s="20">
        <v>9691</v>
      </c>
      <c r="H552" s="20">
        <v>9691</v>
      </c>
      <c r="I552" s="20">
        <f t="shared" si="4"/>
        <v>0</v>
      </c>
    </row>
    <row r="553" spans="1:9" hidden="1">
      <c r="A553" s="78" t="s">
        <v>1160</v>
      </c>
      <c r="B553" s="2" t="s">
        <v>1114</v>
      </c>
      <c r="C553" s="2" t="s">
        <v>794</v>
      </c>
      <c r="D553" s="2" t="s">
        <v>1161</v>
      </c>
      <c r="E553" s="2" t="s">
        <v>594</v>
      </c>
      <c r="F553" s="8" t="s">
        <v>596</v>
      </c>
      <c r="G553" s="20">
        <v>8138.46</v>
      </c>
      <c r="H553" s="20">
        <v>9138.4599999999991</v>
      </c>
      <c r="I553" s="20">
        <f t="shared" si="4"/>
        <v>999.99999999999909</v>
      </c>
    </row>
    <row r="554" spans="1:9">
      <c r="A554" s="78" t="s">
        <v>1160</v>
      </c>
      <c r="B554" s="2" t="s">
        <v>1115</v>
      </c>
      <c r="C554" s="2" t="s">
        <v>1116</v>
      </c>
      <c r="D554" s="2" t="s">
        <v>589</v>
      </c>
      <c r="E554" s="8" t="s">
        <v>593</v>
      </c>
      <c r="F554" s="8" t="s">
        <v>596</v>
      </c>
      <c r="G554" s="20">
        <v>20650</v>
      </c>
      <c r="H554" s="20">
        <v>21650</v>
      </c>
      <c r="I554" s="20">
        <f t="shared" si="4"/>
        <v>1000</v>
      </c>
    </row>
    <row r="555" spans="1:9" hidden="1">
      <c r="A555" s="78" t="s">
        <v>1160</v>
      </c>
      <c r="B555" s="2" t="s">
        <v>1117</v>
      </c>
      <c r="C555" s="2" t="s">
        <v>1118</v>
      </c>
      <c r="D555" s="30" t="s">
        <v>586</v>
      </c>
      <c r="E555" s="8" t="s">
        <v>595</v>
      </c>
      <c r="F555" s="8" t="s">
        <v>596</v>
      </c>
      <c r="G555" s="20">
        <v>9240</v>
      </c>
      <c r="H555" s="20">
        <v>9840</v>
      </c>
      <c r="I555" s="20">
        <f t="shared" si="4"/>
        <v>600</v>
      </c>
    </row>
    <row r="556" spans="1:9" hidden="1">
      <c r="A556" s="78" t="s">
        <v>1160</v>
      </c>
      <c r="B556" s="33" t="s">
        <v>1119</v>
      </c>
      <c r="C556" s="33" t="s">
        <v>390</v>
      </c>
      <c r="D556" s="2" t="s">
        <v>1161</v>
      </c>
      <c r="E556" s="8" t="s">
        <v>595</v>
      </c>
      <c r="F556" s="19" t="s">
        <v>595</v>
      </c>
      <c r="G556" s="20">
        <v>18006</v>
      </c>
      <c r="H556" s="20">
        <v>21989</v>
      </c>
      <c r="I556" s="20">
        <f t="shared" si="4"/>
        <v>3983</v>
      </c>
    </row>
    <row r="557" spans="1:9" hidden="1">
      <c r="A557" s="78" t="s">
        <v>1160</v>
      </c>
      <c r="B557" s="5" t="s">
        <v>1120</v>
      </c>
      <c r="C557" s="5" t="s">
        <v>1121</v>
      </c>
      <c r="D557" s="2" t="s">
        <v>1167</v>
      </c>
      <c r="E557" s="8" t="s">
        <v>595</v>
      </c>
      <c r="F557" s="8" t="s">
        <v>596</v>
      </c>
      <c r="G557" s="20">
        <v>17100</v>
      </c>
      <c r="H557" s="20">
        <v>19100</v>
      </c>
      <c r="I557" s="20">
        <f t="shared" si="4"/>
        <v>2000</v>
      </c>
    </row>
    <row r="558" spans="1:9" hidden="1">
      <c r="A558" s="78" t="s">
        <v>1160</v>
      </c>
      <c r="B558" s="2" t="s">
        <v>1122</v>
      </c>
      <c r="C558" s="2" t="s">
        <v>1123</v>
      </c>
      <c r="D558" s="30" t="s">
        <v>586</v>
      </c>
      <c r="E558" s="8" t="s">
        <v>595</v>
      </c>
      <c r="F558" s="8" t="s">
        <v>596</v>
      </c>
      <c r="G558" s="20">
        <v>10000</v>
      </c>
      <c r="H558" s="20">
        <v>10000</v>
      </c>
      <c r="I558" s="20">
        <f t="shared" si="4"/>
        <v>0</v>
      </c>
    </row>
    <row r="559" spans="1:9" hidden="1">
      <c r="A559" s="78" t="s">
        <v>1160</v>
      </c>
      <c r="B559" s="36" t="s">
        <v>1124</v>
      </c>
      <c r="C559" s="3" t="s">
        <v>1125</v>
      </c>
      <c r="D559" s="30" t="s">
        <v>586</v>
      </c>
      <c r="E559" s="8" t="s">
        <v>592</v>
      </c>
      <c r="F559" s="18" t="s">
        <v>592</v>
      </c>
      <c r="G559" s="20">
        <v>10000</v>
      </c>
      <c r="H559" s="20">
        <v>10000</v>
      </c>
      <c r="I559" s="20">
        <f t="shared" si="4"/>
        <v>0</v>
      </c>
    </row>
    <row r="560" spans="1:9">
      <c r="A560" s="78" t="s">
        <v>1160</v>
      </c>
      <c r="B560" s="32" t="s">
        <v>1126</v>
      </c>
      <c r="C560" s="32" t="s">
        <v>1127</v>
      </c>
      <c r="D560" s="4" t="s">
        <v>1164</v>
      </c>
      <c r="E560" s="8" t="s">
        <v>593</v>
      </c>
      <c r="F560" s="8" t="s">
        <v>593</v>
      </c>
      <c r="G560" s="20">
        <v>8925</v>
      </c>
      <c r="H560" s="20">
        <v>9925</v>
      </c>
      <c r="I560" s="20">
        <f t="shared" si="4"/>
        <v>1000</v>
      </c>
    </row>
    <row r="561" spans="1:9" hidden="1">
      <c r="A561" s="78" t="s">
        <v>1160</v>
      </c>
      <c r="B561" s="2" t="s">
        <v>1128</v>
      </c>
      <c r="C561" s="2" t="s">
        <v>1129</v>
      </c>
      <c r="D561" s="30" t="s">
        <v>586</v>
      </c>
      <c r="E561" s="8" t="s">
        <v>592</v>
      </c>
      <c r="F561" s="18" t="s">
        <v>592</v>
      </c>
      <c r="G561" s="20">
        <v>8550</v>
      </c>
      <c r="H561" s="20">
        <v>9550</v>
      </c>
      <c r="I561" s="20">
        <f t="shared" si="4"/>
        <v>1000</v>
      </c>
    </row>
    <row r="562" spans="1:9">
      <c r="A562" s="78" t="s">
        <v>1160</v>
      </c>
      <c r="B562" s="30" t="s">
        <v>1130</v>
      </c>
      <c r="C562" s="30" t="s">
        <v>1131</v>
      </c>
      <c r="D562" s="2" t="s">
        <v>1161</v>
      </c>
      <c r="E562" s="8" t="s">
        <v>593</v>
      </c>
      <c r="F562" s="8" t="s">
        <v>599</v>
      </c>
      <c r="G562" s="20">
        <v>3040</v>
      </c>
      <c r="H562" s="20">
        <v>5040</v>
      </c>
      <c r="I562" s="20">
        <f t="shared" si="4"/>
        <v>2000</v>
      </c>
    </row>
    <row r="563" spans="1:9">
      <c r="A563" s="78" t="s">
        <v>1160</v>
      </c>
      <c r="B563" s="29" t="s">
        <v>1132</v>
      </c>
      <c r="C563" s="29" t="s">
        <v>1133</v>
      </c>
      <c r="D563" s="29" t="s">
        <v>1167</v>
      </c>
      <c r="E563" s="8" t="s">
        <v>593</v>
      </c>
      <c r="F563" s="8" t="s">
        <v>593</v>
      </c>
      <c r="G563" s="20">
        <v>21598</v>
      </c>
      <c r="H563" s="20">
        <v>21598</v>
      </c>
      <c r="I563" s="20">
        <f t="shared" si="4"/>
        <v>0</v>
      </c>
    </row>
    <row r="564" spans="1:9" hidden="1">
      <c r="A564" s="78" t="s">
        <v>1160</v>
      </c>
      <c r="B564" s="29" t="s">
        <v>1134</v>
      </c>
      <c r="C564" s="29" t="s">
        <v>1135</v>
      </c>
      <c r="D564" s="29" t="s">
        <v>1168</v>
      </c>
      <c r="E564" s="8" t="s">
        <v>592</v>
      </c>
      <c r="F564" s="8" t="s">
        <v>596</v>
      </c>
      <c r="G564" s="20">
        <v>10821.69</v>
      </c>
      <c r="H564" s="20">
        <v>10821.69</v>
      </c>
      <c r="I564" s="20">
        <f t="shared" si="4"/>
        <v>0</v>
      </c>
    </row>
    <row r="565" spans="1:9" hidden="1">
      <c r="A565" s="78" t="s">
        <v>1160</v>
      </c>
      <c r="B565" s="29" t="s">
        <v>1136</v>
      </c>
      <c r="C565" s="29" t="s">
        <v>1137</v>
      </c>
      <c r="D565" s="29" t="s">
        <v>1166</v>
      </c>
      <c r="E565" s="8" t="s">
        <v>592</v>
      </c>
      <c r="F565" s="8" t="s">
        <v>596</v>
      </c>
      <c r="G565" s="20">
        <v>19250</v>
      </c>
      <c r="H565" s="20">
        <v>21750</v>
      </c>
      <c r="I565" s="20">
        <f t="shared" si="4"/>
        <v>2500</v>
      </c>
    </row>
    <row r="566" spans="1:9" hidden="1">
      <c r="A566" s="78" t="s">
        <v>1160</v>
      </c>
      <c r="B566" s="29" t="s">
        <v>1138</v>
      </c>
      <c r="C566" s="29" t="s">
        <v>1139</v>
      </c>
      <c r="D566" s="29" t="s">
        <v>1161</v>
      </c>
      <c r="E566" s="29" t="s">
        <v>594</v>
      </c>
      <c r="F566" s="19" t="s">
        <v>594</v>
      </c>
      <c r="G566" s="20">
        <v>9086</v>
      </c>
      <c r="H566" s="20">
        <v>9086</v>
      </c>
      <c r="I566" s="20">
        <f t="shared" si="4"/>
        <v>0</v>
      </c>
    </row>
    <row r="567" spans="1:9" hidden="1">
      <c r="A567" s="78" t="s">
        <v>1160</v>
      </c>
      <c r="B567" s="37" t="s">
        <v>1140</v>
      </c>
      <c r="C567" s="37" t="s">
        <v>1141</v>
      </c>
      <c r="D567" s="29" t="s">
        <v>589</v>
      </c>
      <c r="E567" s="29" t="s">
        <v>594</v>
      </c>
      <c r="F567" s="8" t="s">
        <v>596</v>
      </c>
      <c r="G567" s="20">
        <v>21000</v>
      </c>
      <c r="H567" s="20">
        <v>21500</v>
      </c>
      <c r="I567" s="20">
        <f t="shared" si="4"/>
        <v>500</v>
      </c>
    </row>
    <row r="568" spans="1:9" hidden="1">
      <c r="A568" s="78" t="s">
        <v>1160</v>
      </c>
      <c r="B568" s="37" t="s">
        <v>1142</v>
      </c>
      <c r="C568" s="37" t="s">
        <v>1143</v>
      </c>
      <c r="D568" s="29" t="s">
        <v>589</v>
      </c>
      <c r="E568" s="29" t="s">
        <v>594</v>
      </c>
      <c r="F568" s="8" t="s">
        <v>596</v>
      </c>
      <c r="G568" s="20">
        <v>17000</v>
      </c>
      <c r="H568" s="20">
        <v>18500</v>
      </c>
      <c r="I568" s="20">
        <f t="shared" si="4"/>
        <v>1500</v>
      </c>
    </row>
    <row r="569" spans="1:9" hidden="1">
      <c r="A569" s="78" t="s">
        <v>1160</v>
      </c>
      <c r="B569" s="29" t="s">
        <v>1144</v>
      </c>
      <c r="C569" s="29" t="s">
        <v>1145</v>
      </c>
      <c r="D569" s="29" t="s">
        <v>588</v>
      </c>
      <c r="E569" s="29" t="s">
        <v>594</v>
      </c>
      <c r="F569" s="19" t="s">
        <v>594</v>
      </c>
      <c r="G569" s="20">
        <v>22050</v>
      </c>
      <c r="H569" s="20">
        <v>22000</v>
      </c>
      <c r="I569" s="20">
        <f t="shared" ref="I569:I576" si="5">H569-G569</f>
        <v>-50</v>
      </c>
    </row>
    <row r="570" spans="1:9" hidden="1">
      <c r="A570" s="78" t="s">
        <v>1160</v>
      </c>
      <c r="B570" s="29" t="s">
        <v>1146</v>
      </c>
      <c r="C570" s="29" t="s">
        <v>1147</v>
      </c>
      <c r="D570" s="29" t="s">
        <v>1161</v>
      </c>
      <c r="E570" s="29" t="s">
        <v>594</v>
      </c>
      <c r="F570" s="19" t="s">
        <v>594</v>
      </c>
      <c r="G570" s="20">
        <v>10000</v>
      </c>
      <c r="H570" s="20">
        <v>10000</v>
      </c>
      <c r="I570" s="20">
        <f t="shared" si="5"/>
        <v>0</v>
      </c>
    </row>
    <row r="571" spans="1:9" hidden="1">
      <c r="A571" s="78" t="s">
        <v>1160</v>
      </c>
      <c r="B571" s="29" t="s">
        <v>1148</v>
      </c>
      <c r="C571" s="29" t="s">
        <v>1149</v>
      </c>
      <c r="D571" s="29" t="s">
        <v>1161</v>
      </c>
      <c r="E571" s="29" t="s">
        <v>594</v>
      </c>
      <c r="F571" s="19" t="s">
        <v>594</v>
      </c>
      <c r="G571" s="19">
        <f>5843+1685</f>
        <v>7528</v>
      </c>
      <c r="H571" s="19">
        <v>12528</v>
      </c>
      <c r="I571" s="20">
        <f t="shared" si="5"/>
        <v>5000</v>
      </c>
    </row>
    <row r="572" spans="1:9" hidden="1">
      <c r="A572" s="78" t="s">
        <v>1160</v>
      </c>
      <c r="B572" s="29" t="s">
        <v>1150</v>
      </c>
      <c r="C572" s="29" t="s">
        <v>1151</v>
      </c>
      <c r="D572" s="29" t="s">
        <v>1161</v>
      </c>
      <c r="E572" s="29" t="s">
        <v>594</v>
      </c>
      <c r="F572" s="19" t="s">
        <v>594</v>
      </c>
      <c r="G572" s="20">
        <v>16219</v>
      </c>
      <c r="H572" s="20">
        <v>20219</v>
      </c>
      <c r="I572" s="20">
        <f t="shared" si="5"/>
        <v>4000</v>
      </c>
    </row>
    <row r="573" spans="1:9" hidden="1">
      <c r="A573" s="78" t="s">
        <v>1160</v>
      </c>
      <c r="B573" s="29" t="s">
        <v>1152</v>
      </c>
      <c r="C573" s="29" t="s">
        <v>1153</v>
      </c>
      <c r="D573" s="29" t="s">
        <v>1161</v>
      </c>
      <c r="E573" s="29" t="s">
        <v>594</v>
      </c>
      <c r="F573" s="19" t="s">
        <v>594</v>
      </c>
      <c r="G573" s="20">
        <v>12267</v>
      </c>
      <c r="H573" s="20">
        <v>12267</v>
      </c>
      <c r="I573" s="20">
        <f t="shared" si="5"/>
        <v>0</v>
      </c>
    </row>
    <row r="574" spans="1:9" hidden="1">
      <c r="A574" s="78" t="s">
        <v>1160</v>
      </c>
      <c r="B574" s="29" t="s">
        <v>1154</v>
      </c>
      <c r="C574" s="29" t="s">
        <v>1155</v>
      </c>
      <c r="D574" s="29" t="s">
        <v>1161</v>
      </c>
      <c r="E574" s="29" t="s">
        <v>594</v>
      </c>
      <c r="F574" s="19" t="s">
        <v>594</v>
      </c>
      <c r="G574" s="20">
        <v>9676</v>
      </c>
      <c r="H574" s="20">
        <v>9676</v>
      </c>
      <c r="I574" s="20">
        <f t="shared" si="5"/>
        <v>0</v>
      </c>
    </row>
    <row r="575" spans="1:9" hidden="1">
      <c r="A575" s="78" t="s">
        <v>1160</v>
      </c>
      <c r="B575" s="29" t="s">
        <v>1156</v>
      </c>
      <c r="C575" s="29" t="s">
        <v>1157</v>
      </c>
      <c r="D575" s="29" t="s">
        <v>1161</v>
      </c>
      <c r="E575" s="29" t="s">
        <v>594</v>
      </c>
      <c r="F575" s="19" t="s">
        <v>594</v>
      </c>
      <c r="G575" s="20">
        <v>12832</v>
      </c>
      <c r="H575" s="20">
        <v>12832</v>
      </c>
      <c r="I575" s="20">
        <f t="shared" si="5"/>
        <v>0</v>
      </c>
    </row>
    <row r="576" spans="1:9" hidden="1">
      <c r="A576" s="78" t="s">
        <v>1160</v>
      </c>
      <c r="B576" s="37" t="s">
        <v>1158</v>
      </c>
      <c r="C576" s="37" t="s">
        <v>1159</v>
      </c>
      <c r="D576" s="29" t="s">
        <v>1161</v>
      </c>
      <c r="E576" s="8" t="s">
        <v>592</v>
      </c>
      <c r="F576" s="18" t="s">
        <v>592</v>
      </c>
      <c r="G576" s="20">
        <v>11328</v>
      </c>
      <c r="H576" s="20">
        <v>11328</v>
      </c>
      <c r="I576" s="20">
        <f t="shared" si="5"/>
        <v>0</v>
      </c>
    </row>
    <row r="577" spans="1:9" hidden="1">
      <c r="A577" s="78" t="s">
        <v>1508</v>
      </c>
      <c r="B577" s="40" t="s">
        <v>1169</v>
      </c>
      <c r="C577" s="40" t="s">
        <v>1170</v>
      </c>
      <c r="D577" s="42" t="s">
        <v>1505</v>
      </c>
      <c r="E577" s="8" t="s">
        <v>592</v>
      </c>
      <c r="F577" s="18" t="s">
        <v>592</v>
      </c>
      <c r="G577" s="66">
        <v>6372</v>
      </c>
      <c r="H577" s="66">
        <v>8372</v>
      </c>
      <c r="I577" s="66">
        <f>H577-G577</f>
        <v>2000</v>
      </c>
    </row>
    <row r="578" spans="1:9" hidden="1">
      <c r="A578" s="78" t="s">
        <v>1508</v>
      </c>
      <c r="B578" s="41" t="s">
        <v>1171</v>
      </c>
      <c r="C578" s="41" t="s">
        <v>1172</v>
      </c>
      <c r="D578" s="62" t="s">
        <v>589</v>
      </c>
      <c r="E578" s="8" t="s">
        <v>592</v>
      </c>
      <c r="F578" s="48" t="s">
        <v>1507</v>
      </c>
      <c r="G578" s="66">
        <v>10000</v>
      </c>
      <c r="H578" s="66">
        <v>10000</v>
      </c>
      <c r="I578" s="66">
        <f t="shared" ref="I578:I641" si="6">H578-G578</f>
        <v>0</v>
      </c>
    </row>
    <row r="579" spans="1:9">
      <c r="A579" s="78" t="s">
        <v>1508</v>
      </c>
      <c r="B579" s="40" t="s">
        <v>1173</v>
      </c>
      <c r="C579" s="40" t="s">
        <v>1174</v>
      </c>
      <c r="D579" s="42" t="s">
        <v>587</v>
      </c>
      <c r="E579" s="8" t="s">
        <v>593</v>
      </c>
      <c r="F579" s="8" t="s">
        <v>593</v>
      </c>
      <c r="G579" s="66">
        <v>8963.2800000000007</v>
      </c>
      <c r="H579" s="66">
        <v>9963</v>
      </c>
      <c r="I579" s="66">
        <f t="shared" si="6"/>
        <v>999.71999999999935</v>
      </c>
    </row>
    <row r="580" spans="1:9" ht="28.5" hidden="1">
      <c r="A580" s="78" t="s">
        <v>1508</v>
      </c>
      <c r="B580" s="42" t="s">
        <v>1175</v>
      </c>
      <c r="C580" s="42" t="s">
        <v>1176</v>
      </c>
      <c r="D580" s="42" t="s">
        <v>1166</v>
      </c>
      <c r="E580" s="8" t="s">
        <v>592</v>
      </c>
      <c r="F580" s="8" t="s">
        <v>596</v>
      </c>
      <c r="G580" s="66">
        <v>9350</v>
      </c>
      <c r="H580" s="66">
        <v>9550</v>
      </c>
      <c r="I580" s="66">
        <f t="shared" si="6"/>
        <v>200</v>
      </c>
    </row>
    <row r="581" spans="1:9" hidden="1">
      <c r="A581" s="78" t="s">
        <v>1508</v>
      </c>
      <c r="B581" s="43" t="s">
        <v>1177</v>
      </c>
      <c r="C581" s="43" t="s">
        <v>1178</v>
      </c>
      <c r="D581" s="42" t="s">
        <v>587</v>
      </c>
      <c r="E581" s="8" t="s">
        <v>592</v>
      </c>
      <c r="F581" s="18" t="s">
        <v>592</v>
      </c>
      <c r="G581" s="66">
        <v>15045</v>
      </c>
      <c r="H581" s="66">
        <v>15045</v>
      </c>
      <c r="I581" s="66">
        <f t="shared" si="6"/>
        <v>0</v>
      </c>
    </row>
    <row r="582" spans="1:9" hidden="1">
      <c r="A582" s="78" t="s">
        <v>1508</v>
      </c>
      <c r="B582" s="31" t="s">
        <v>1179</v>
      </c>
      <c r="C582" s="31" t="s">
        <v>1180</v>
      </c>
      <c r="D582" s="62" t="s">
        <v>589</v>
      </c>
      <c r="E582" s="8" t="s">
        <v>595</v>
      </c>
      <c r="F582" s="19" t="s">
        <v>595</v>
      </c>
      <c r="G582" s="66">
        <v>10000</v>
      </c>
      <c r="H582" s="66">
        <v>10000</v>
      </c>
      <c r="I582" s="66">
        <f t="shared" si="6"/>
        <v>0</v>
      </c>
    </row>
    <row r="583" spans="1:9">
      <c r="A583" s="78" t="s">
        <v>1508</v>
      </c>
      <c r="B583" s="41" t="s">
        <v>1181</v>
      </c>
      <c r="C583" s="41" t="s">
        <v>1182</v>
      </c>
      <c r="D583" s="2" t="s">
        <v>587</v>
      </c>
      <c r="E583" s="8" t="s">
        <v>593</v>
      </c>
      <c r="F583" s="8" t="s">
        <v>593</v>
      </c>
      <c r="G583" s="66">
        <v>6605.55</v>
      </c>
      <c r="H583" s="66">
        <v>8700</v>
      </c>
      <c r="I583" s="66">
        <f t="shared" si="6"/>
        <v>2094.4499999999998</v>
      </c>
    </row>
    <row r="584" spans="1:9" hidden="1">
      <c r="A584" s="78" t="s">
        <v>1508</v>
      </c>
      <c r="B584" s="33" t="s">
        <v>1183</v>
      </c>
      <c r="C584" s="31" t="s">
        <v>1184</v>
      </c>
      <c r="D584" s="62" t="s">
        <v>587</v>
      </c>
      <c r="E584" s="8" t="s">
        <v>595</v>
      </c>
      <c r="F584" s="19" t="s">
        <v>595</v>
      </c>
      <c r="G584" s="66">
        <v>8354</v>
      </c>
      <c r="H584" s="66">
        <v>9354</v>
      </c>
      <c r="I584" s="66">
        <f t="shared" si="6"/>
        <v>1000</v>
      </c>
    </row>
    <row r="585" spans="1:9" hidden="1">
      <c r="A585" s="78" t="s">
        <v>1508</v>
      </c>
      <c r="B585" s="40" t="s">
        <v>1185</v>
      </c>
      <c r="C585" s="40" t="s">
        <v>1186</v>
      </c>
      <c r="D585" s="42" t="s">
        <v>587</v>
      </c>
      <c r="E585" s="8" t="s">
        <v>592</v>
      </c>
      <c r="F585" s="18" t="s">
        <v>592</v>
      </c>
      <c r="G585" s="66">
        <v>5664</v>
      </c>
      <c r="H585" s="66">
        <v>9000</v>
      </c>
      <c r="I585" s="66">
        <f t="shared" si="6"/>
        <v>3336</v>
      </c>
    </row>
    <row r="586" spans="1:9" hidden="1">
      <c r="A586" s="78" t="s">
        <v>1508</v>
      </c>
      <c r="B586" s="40" t="s">
        <v>1187</v>
      </c>
      <c r="C586" s="40" t="s">
        <v>1188</v>
      </c>
      <c r="D586" s="42" t="s">
        <v>586</v>
      </c>
      <c r="E586" s="8" t="s">
        <v>595</v>
      </c>
      <c r="F586" s="8" t="s">
        <v>596</v>
      </c>
      <c r="G586" s="66">
        <v>10000</v>
      </c>
      <c r="H586" s="66">
        <v>10000</v>
      </c>
      <c r="I586" s="66">
        <f t="shared" si="6"/>
        <v>0</v>
      </c>
    </row>
    <row r="587" spans="1:9">
      <c r="A587" s="78" t="s">
        <v>1508</v>
      </c>
      <c r="B587" s="42" t="s">
        <v>1189</v>
      </c>
      <c r="C587" s="42" t="s">
        <v>1190</v>
      </c>
      <c r="D587" s="42" t="s">
        <v>588</v>
      </c>
      <c r="E587" s="8" t="s">
        <v>593</v>
      </c>
      <c r="F587" s="8" t="s">
        <v>593</v>
      </c>
      <c r="G587" s="66">
        <v>9450</v>
      </c>
      <c r="H587" s="66">
        <v>9450</v>
      </c>
      <c r="I587" s="66">
        <f t="shared" si="6"/>
        <v>0</v>
      </c>
    </row>
    <row r="588" spans="1:9" hidden="1">
      <c r="A588" s="78" t="s">
        <v>1508</v>
      </c>
      <c r="B588" s="40" t="s">
        <v>1191</v>
      </c>
      <c r="C588" s="44" t="s">
        <v>1192</v>
      </c>
      <c r="D588" s="42" t="s">
        <v>587</v>
      </c>
      <c r="E588" s="8" t="s">
        <v>592</v>
      </c>
      <c r="F588" s="18" t="s">
        <v>592</v>
      </c>
      <c r="G588" s="66">
        <v>3780</v>
      </c>
      <c r="H588" s="66">
        <v>6500</v>
      </c>
      <c r="I588" s="66">
        <f t="shared" si="6"/>
        <v>2720</v>
      </c>
    </row>
    <row r="589" spans="1:9">
      <c r="A589" s="78" t="s">
        <v>1508</v>
      </c>
      <c r="B589" s="40" t="s">
        <v>1193</v>
      </c>
      <c r="C589" s="40" t="s">
        <v>1194</v>
      </c>
      <c r="D589" s="42" t="s">
        <v>587</v>
      </c>
      <c r="E589" s="8" t="s">
        <v>593</v>
      </c>
      <c r="F589" s="8" t="s">
        <v>593</v>
      </c>
      <c r="G589" s="66">
        <v>7311.28</v>
      </c>
      <c r="H589" s="66">
        <v>9600</v>
      </c>
      <c r="I589" s="66">
        <f t="shared" si="6"/>
        <v>2288.7200000000003</v>
      </c>
    </row>
    <row r="590" spans="1:9" hidden="1">
      <c r="A590" s="78" t="s">
        <v>1508</v>
      </c>
      <c r="B590" s="44" t="s">
        <v>1195</v>
      </c>
      <c r="C590" s="44" t="s">
        <v>1196</v>
      </c>
      <c r="D590" s="42" t="s">
        <v>587</v>
      </c>
      <c r="E590" s="8" t="s">
        <v>595</v>
      </c>
      <c r="F590" s="19" t="s">
        <v>595</v>
      </c>
      <c r="G590" s="66">
        <v>8138</v>
      </c>
      <c r="H590" s="66">
        <v>10000</v>
      </c>
      <c r="I590" s="66">
        <f t="shared" si="6"/>
        <v>1862</v>
      </c>
    </row>
    <row r="591" spans="1:9">
      <c r="A591" s="78" t="s">
        <v>1508</v>
      </c>
      <c r="B591" s="40" t="s">
        <v>1197</v>
      </c>
      <c r="C591" s="40" t="s">
        <v>918</v>
      </c>
      <c r="D591" s="42" t="s">
        <v>587</v>
      </c>
      <c r="E591" s="8" t="s">
        <v>593</v>
      </c>
      <c r="F591" s="8" t="s">
        <v>593</v>
      </c>
      <c r="G591" s="66">
        <v>9078</v>
      </c>
      <c r="H591" s="66">
        <v>9500</v>
      </c>
      <c r="I591" s="66">
        <f t="shared" si="6"/>
        <v>422</v>
      </c>
    </row>
    <row r="592" spans="1:9" ht="15.75" hidden="1">
      <c r="A592" s="78" t="s">
        <v>1508</v>
      </c>
      <c r="B592" s="45" t="s">
        <v>1198</v>
      </c>
      <c r="C592" s="45" t="s">
        <v>1199</v>
      </c>
      <c r="D592" s="62" t="s">
        <v>587</v>
      </c>
      <c r="E592" s="8" t="s">
        <v>595</v>
      </c>
      <c r="F592" s="19" t="s">
        <v>595</v>
      </c>
      <c r="G592" s="66">
        <v>2106</v>
      </c>
      <c r="H592" s="66">
        <v>9000</v>
      </c>
      <c r="I592" s="66">
        <f t="shared" si="6"/>
        <v>6894</v>
      </c>
    </row>
    <row r="593" spans="1:9">
      <c r="A593" s="78" t="s">
        <v>1508</v>
      </c>
      <c r="B593" s="40" t="s">
        <v>1200</v>
      </c>
      <c r="C593" s="40" t="s">
        <v>1201</v>
      </c>
      <c r="D593" s="42" t="s">
        <v>587</v>
      </c>
      <c r="E593" s="8" t="s">
        <v>593</v>
      </c>
      <c r="F593" s="8" t="s">
        <v>593</v>
      </c>
      <c r="G593" s="66">
        <v>9435</v>
      </c>
      <c r="H593" s="66">
        <v>9435</v>
      </c>
      <c r="I593" s="66">
        <f t="shared" si="6"/>
        <v>0</v>
      </c>
    </row>
    <row r="594" spans="1:9" hidden="1">
      <c r="A594" s="78" t="s">
        <v>1508</v>
      </c>
      <c r="B594" s="41" t="s">
        <v>1202</v>
      </c>
      <c r="C594" s="41" t="s">
        <v>1203</v>
      </c>
      <c r="D594" s="62" t="s">
        <v>587</v>
      </c>
      <c r="E594" s="48" t="s">
        <v>594</v>
      </c>
      <c r="F594" s="19" t="s">
        <v>594</v>
      </c>
      <c r="G594" s="66">
        <v>6722</v>
      </c>
      <c r="H594" s="66">
        <v>9600</v>
      </c>
      <c r="I594" s="66">
        <f t="shared" si="6"/>
        <v>2878</v>
      </c>
    </row>
    <row r="595" spans="1:9" hidden="1">
      <c r="A595" s="78" t="s">
        <v>1508</v>
      </c>
      <c r="B595" s="31" t="s">
        <v>1204</v>
      </c>
      <c r="C595" s="31" t="s">
        <v>1205</v>
      </c>
      <c r="D595" s="62" t="s">
        <v>589</v>
      </c>
      <c r="E595" s="8" t="s">
        <v>595</v>
      </c>
      <c r="F595" s="19" t="s">
        <v>595</v>
      </c>
      <c r="G595" s="66">
        <v>9000</v>
      </c>
      <c r="H595" s="66">
        <v>9860</v>
      </c>
      <c r="I595" s="66">
        <f t="shared" si="6"/>
        <v>860</v>
      </c>
    </row>
    <row r="596" spans="1:9">
      <c r="A596" s="78" t="s">
        <v>1508</v>
      </c>
      <c r="B596" s="46" t="s">
        <v>1206</v>
      </c>
      <c r="C596" s="46" t="s">
        <v>1207</v>
      </c>
      <c r="D596" s="42" t="s">
        <v>1164</v>
      </c>
      <c r="E596" s="8" t="s">
        <v>593</v>
      </c>
      <c r="F596" s="8" t="s">
        <v>593</v>
      </c>
      <c r="G596" s="66">
        <v>8100</v>
      </c>
      <c r="H596" s="66">
        <v>9400</v>
      </c>
      <c r="I596" s="66">
        <f t="shared" si="6"/>
        <v>1300</v>
      </c>
    </row>
    <row r="597" spans="1:9" hidden="1">
      <c r="A597" s="78" t="s">
        <v>1508</v>
      </c>
      <c r="B597" s="47" t="s">
        <v>1208</v>
      </c>
      <c r="C597" s="47" t="s">
        <v>1209</v>
      </c>
      <c r="D597" s="42" t="s">
        <v>588</v>
      </c>
      <c r="E597" s="8" t="s">
        <v>595</v>
      </c>
      <c r="F597" s="19" t="s">
        <v>595</v>
      </c>
      <c r="G597" s="66">
        <v>10229</v>
      </c>
      <c r="H597" s="66">
        <v>10000</v>
      </c>
      <c r="I597" s="66">
        <f t="shared" si="6"/>
        <v>-229</v>
      </c>
    </row>
    <row r="598" spans="1:9">
      <c r="A598" s="78" t="s">
        <v>1508</v>
      </c>
      <c r="B598" s="48" t="s">
        <v>1210</v>
      </c>
      <c r="C598" s="48" t="s">
        <v>1211</v>
      </c>
      <c r="D598" s="48" t="s">
        <v>589</v>
      </c>
      <c r="E598" s="8" t="s">
        <v>593</v>
      </c>
      <c r="F598" s="48" t="s">
        <v>1507</v>
      </c>
      <c r="G598" s="66">
        <v>10000</v>
      </c>
      <c r="H598" s="66">
        <v>10000</v>
      </c>
      <c r="I598" s="66">
        <f t="shared" si="6"/>
        <v>0</v>
      </c>
    </row>
    <row r="599" spans="1:9" hidden="1">
      <c r="A599" s="78" t="s">
        <v>1508</v>
      </c>
      <c r="B599" s="48" t="s">
        <v>1212</v>
      </c>
      <c r="C599" s="48" t="s">
        <v>1213</v>
      </c>
      <c r="D599" s="48" t="s">
        <v>587</v>
      </c>
      <c r="E599" s="8" t="s">
        <v>595</v>
      </c>
      <c r="F599" s="19" t="s">
        <v>595</v>
      </c>
      <c r="G599" s="66">
        <v>9963</v>
      </c>
      <c r="H599" s="66">
        <v>9963</v>
      </c>
      <c r="I599" s="66">
        <f t="shared" si="6"/>
        <v>0</v>
      </c>
    </row>
    <row r="600" spans="1:9" hidden="1">
      <c r="A600" s="78" t="s">
        <v>1508</v>
      </c>
      <c r="B600" s="44" t="s">
        <v>1214</v>
      </c>
      <c r="C600" s="44" t="s">
        <v>1215</v>
      </c>
      <c r="D600" s="42" t="s">
        <v>587</v>
      </c>
      <c r="E600" s="8" t="s">
        <v>592</v>
      </c>
      <c r="F600" s="18" t="s">
        <v>592</v>
      </c>
      <c r="G600" s="66">
        <v>8117</v>
      </c>
      <c r="H600" s="66">
        <v>9800</v>
      </c>
      <c r="I600" s="66">
        <f t="shared" si="6"/>
        <v>1683</v>
      </c>
    </row>
    <row r="601" spans="1:9">
      <c r="A601" s="78" t="s">
        <v>1508</v>
      </c>
      <c r="B601" s="42" t="s">
        <v>1216</v>
      </c>
      <c r="C601" s="42" t="s">
        <v>1217</v>
      </c>
      <c r="D601" s="42" t="s">
        <v>587</v>
      </c>
      <c r="E601" s="8" t="s">
        <v>593</v>
      </c>
      <c r="F601" s="8" t="s">
        <v>593</v>
      </c>
      <c r="G601" s="66">
        <v>5192</v>
      </c>
      <c r="H601" s="66">
        <v>6600</v>
      </c>
      <c r="I601" s="66">
        <f t="shared" si="6"/>
        <v>1408</v>
      </c>
    </row>
    <row r="602" spans="1:9" hidden="1">
      <c r="A602" s="78" t="s">
        <v>1508</v>
      </c>
      <c r="B602" s="40" t="s">
        <v>1218</v>
      </c>
      <c r="C602" s="40" t="s">
        <v>1219</v>
      </c>
      <c r="D602" s="42" t="s">
        <v>587</v>
      </c>
      <c r="E602" s="8" t="s">
        <v>592</v>
      </c>
      <c r="F602" s="18" t="s">
        <v>592</v>
      </c>
      <c r="G602" s="66">
        <v>7938</v>
      </c>
      <c r="H602" s="66">
        <v>8800</v>
      </c>
      <c r="I602" s="66">
        <f t="shared" si="6"/>
        <v>862</v>
      </c>
    </row>
    <row r="603" spans="1:9" hidden="1">
      <c r="A603" s="78" t="s">
        <v>1508</v>
      </c>
      <c r="B603" s="48" t="s">
        <v>1220</v>
      </c>
      <c r="C603" s="48" t="s">
        <v>1221</v>
      </c>
      <c r="D603" s="42" t="s">
        <v>587</v>
      </c>
      <c r="E603" s="8" t="s">
        <v>592</v>
      </c>
      <c r="F603" s="18" t="s">
        <v>592</v>
      </c>
      <c r="G603" s="66">
        <v>15983</v>
      </c>
      <c r="H603" s="66">
        <v>19600</v>
      </c>
      <c r="I603" s="66">
        <f t="shared" si="6"/>
        <v>3617</v>
      </c>
    </row>
    <row r="604" spans="1:9" hidden="1">
      <c r="A604" s="78" t="s">
        <v>1508</v>
      </c>
      <c r="B604" s="41" t="s">
        <v>1222</v>
      </c>
      <c r="C604" s="41" t="s">
        <v>1223</v>
      </c>
      <c r="D604" s="2" t="s">
        <v>589</v>
      </c>
      <c r="E604" s="8" t="s">
        <v>592</v>
      </c>
      <c r="F604" s="48" t="s">
        <v>1507</v>
      </c>
      <c r="G604" s="66">
        <v>10000</v>
      </c>
      <c r="H604" s="66">
        <v>10000</v>
      </c>
      <c r="I604" s="66">
        <f t="shared" si="6"/>
        <v>0</v>
      </c>
    </row>
    <row r="605" spans="1:9" hidden="1">
      <c r="A605" s="78" t="s">
        <v>1508</v>
      </c>
      <c r="B605" s="41" t="s">
        <v>1224</v>
      </c>
      <c r="C605" s="41" t="s">
        <v>1225</v>
      </c>
      <c r="D605" s="2" t="s">
        <v>587</v>
      </c>
      <c r="E605" s="8" t="s">
        <v>592</v>
      </c>
      <c r="F605" s="18" t="s">
        <v>592</v>
      </c>
      <c r="G605" s="66">
        <v>2906</v>
      </c>
      <c r="H605" s="66">
        <v>4400</v>
      </c>
      <c r="I605" s="66">
        <f t="shared" si="6"/>
        <v>1494</v>
      </c>
    </row>
    <row r="606" spans="1:9" hidden="1">
      <c r="A606" s="78" t="s">
        <v>1508</v>
      </c>
      <c r="B606" s="43" t="s">
        <v>1226</v>
      </c>
      <c r="C606" s="43" t="s">
        <v>1227</v>
      </c>
      <c r="D606" s="42" t="s">
        <v>587</v>
      </c>
      <c r="E606" s="8" t="s">
        <v>592</v>
      </c>
      <c r="F606" s="18" t="s">
        <v>592</v>
      </c>
      <c r="G606" s="66">
        <v>5223</v>
      </c>
      <c r="H606" s="66">
        <v>9000</v>
      </c>
      <c r="I606" s="66">
        <f t="shared" si="6"/>
        <v>3777</v>
      </c>
    </row>
    <row r="607" spans="1:9">
      <c r="A607" s="78" t="s">
        <v>1508</v>
      </c>
      <c r="B607" s="42" t="s">
        <v>1228</v>
      </c>
      <c r="C607" s="42" t="s">
        <v>1229</v>
      </c>
      <c r="D607" s="42" t="s">
        <v>587</v>
      </c>
      <c r="E607" s="8" t="s">
        <v>593</v>
      </c>
      <c r="F607" s="8" t="s">
        <v>593</v>
      </c>
      <c r="G607" s="66">
        <v>5070</v>
      </c>
      <c r="H607" s="66">
        <v>9400</v>
      </c>
      <c r="I607" s="66">
        <f t="shared" si="6"/>
        <v>4330</v>
      </c>
    </row>
    <row r="608" spans="1:9" hidden="1">
      <c r="A608" s="78" t="s">
        <v>1508</v>
      </c>
      <c r="B608" s="47" t="s">
        <v>1230</v>
      </c>
      <c r="C608" s="47" t="s">
        <v>1231</v>
      </c>
      <c r="D608" s="42" t="s">
        <v>587</v>
      </c>
      <c r="E608" s="8" t="s">
        <v>592</v>
      </c>
      <c r="F608" s="18" t="s">
        <v>592</v>
      </c>
      <c r="G608" s="66">
        <v>6370</v>
      </c>
      <c r="H608" s="66">
        <v>8000</v>
      </c>
      <c r="I608" s="66">
        <f t="shared" si="6"/>
        <v>1630</v>
      </c>
    </row>
    <row r="609" spans="1:9" hidden="1">
      <c r="A609" s="78" t="s">
        <v>1508</v>
      </c>
      <c r="B609" s="40" t="s">
        <v>1232</v>
      </c>
      <c r="C609" s="40" t="s">
        <v>1233</v>
      </c>
      <c r="D609" s="42" t="s">
        <v>587</v>
      </c>
      <c r="E609" s="8" t="s">
        <v>595</v>
      </c>
      <c r="F609" s="19" t="s">
        <v>595</v>
      </c>
      <c r="G609" s="66">
        <v>6000</v>
      </c>
      <c r="H609" s="66">
        <v>8400</v>
      </c>
      <c r="I609" s="66">
        <f t="shared" si="6"/>
        <v>2400</v>
      </c>
    </row>
    <row r="610" spans="1:9" hidden="1">
      <c r="A610" s="78" t="s">
        <v>1508</v>
      </c>
      <c r="B610" s="42" t="s">
        <v>1234</v>
      </c>
      <c r="C610" s="42" t="s">
        <v>1235</v>
      </c>
      <c r="D610" s="42" t="s">
        <v>587</v>
      </c>
      <c r="E610" s="42" t="s">
        <v>594</v>
      </c>
      <c r="F610" s="19" t="s">
        <v>594</v>
      </c>
      <c r="G610" s="66">
        <v>5299</v>
      </c>
      <c r="H610" s="66">
        <v>7600</v>
      </c>
      <c r="I610" s="66">
        <f t="shared" si="6"/>
        <v>2301</v>
      </c>
    </row>
    <row r="611" spans="1:9">
      <c r="A611" s="78" t="s">
        <v>1508</v>
      </c>
      <c r="B611" s="48" t="s">
        <v>1236</v>
      </c>
      <c r="C611" s="48" t="s">
        <v>1237</v>
      </c>
      <c r="D611" s="48" t="s">
        <v>587</v>
      </c>
      <c r="E611" s="8" t="s">
        <v>593</v>
      </c>
      <c r="F611" s="8" t="s">
        <v>593</v>
      </c>
      <c r="G611" s="66">
        <v>3343</v>
      </c>
      <c r="H611" s="66">
        <v>6800</v>
      </c>
      <c r="I611" s="66">
        <f t="shared" si="6"/>
        <v>3457</v>
      </c>
    </row>
    <row r="612" spans="1:9" hidden="1">
      <c r="A612" s="78" t="s">
        <v>1508</v>
      </c>
      <c r="B612" s="31" t="s">
        <v>1238</v>
      </c>
      <c r="C612" s="31" t="s">
        <v>1239</v>
      </c>
      <c r="D612" s="62" t="s">
        <v>587</v>
      </c>
      <c r="E612" s="8" t="s">
        <v>595</v>
      </c>
      <c r="F612" s="19" t="s">
        <v>595</v>
      </c>
      <c r="G612" s="66">
        <v>12372</v>
      </c>
      <c r="H612" s="66">
        <v>12522</v>
      </c>
      <c r="I612" s="66">
        <f t="shared" si="6"/>
        <v>150</v>
      </c>
    </row>
    <row r="613" spans="1:9" hidden="1">
      <c r="A613" s="78" t="s">
        <v>1508</v>
      </c>
      <c r="B613" s="41" t="s">
        <v>1240</v>
      </c>
      <c r="C613" s="29" t="s">
        <v>1241</v>
      </c>
      <c r="D613" s="62" t="s">
        <v>1505</v>
      </c>
      <c r="E613" s="8" t="s">
        <v>592</v>
      </c>
      <c r="F613" s="18" t="s">
        <v>592</v>
      </c>
      <c r="G613" s="66">
        <v>8059</v>
      </c>
      <c r="H613" s="66">
        <v>8800</v>
      </c>
      <c r="I613" s="66">
        <f t="shared" si="6"/>
        <v>741</v>
      </c>
    </row>
    <row r="614" spans="1:9">
      <c r="A614" s="78" t="s">
        <v>1508</v>
      </c>
      <c r="B614" s="40" t="s">
        <v>1242</v>
      </c>
      <c r="C614" s="40" t="s">
        <v>1243</v>
      </c>
      <c r="D614" s="42" t="s">
        <v>588</v>
      </c>
      <c r="E614" s="8" t="s">
        <v>593</v>
      </c>
      <c r="F614" s="8" t="s">
        <v>593</v>
      </c>
      <c r="G614" s="66">
        <v>9450</v>
      </c>
      <c r="H614" s="66">
        <v>9450</v>
      </c>
      <c r="I614" s="66">
        <f t="shared" si="6"/>
        <v>0</v>
      </c>
    </row>
    <row r="615" spans="1:9" hidden="1">
      <c r="A615" s="78" t="s">
        <v>1508</v>
      </c>
      <c r="B615" s="43" t="s">
        <v>1244</v>
      </c>
      <c r="C615" s="43" t="s">
        <v>1245</v>
      </c>
      <c r="D615" s="42" t="s">
        <v>587</v>
      </c>
      <c r="E615" s="8" t="s">
        <v>592</v>
      </c>
      <c r="F615" s="18" t="s">
        <v>592</v>
      </c>
      <c r="G615" s="66">
        <v>10774</v>
      </c>
      <c r="H615" s="66">
        <v>10000</v>
      </c>
      <c r="I615" s="66">
        <f t="shared" si="6"/>
        <v>-774</v>
      </c>
    </row>
    <row r="616" spans="1:9" hidden="1">
      <c r="A616" s="78" t="s">
        <v>1508</v>
      </c>
      <c r="B616" s="40" t="s">
        <v>1246</v>
      </c>
      <c r="C616" s="40" t="s">
        <v>1247</v>
      </c>
      <c r="D616" s="40" t="s">
        <v>588</v>
      </c>
      <c r="E616" s="8" t="s">
        <v>592</v>
      </c>
      <c r="F616" s="18" t="s">
        <v>592</v>
      </c>
      <c r="G616" s="66">
        <v>8925</v>
      </c>
      <c r="H616" s="66">
        <v>9400</v>
      </c>
      <c r="I616" s="66">
        <f t="shared" si="6"/>
        <v>475</v>
      </c>
    </row>
    <row r="617" spans="1:9" hidden="1">
      <c r="A617" s="78" t="s">
        <v>1508</v>
      </c>
      <c r="B617" s="48" t="s">
        <v>1248</v>
      </c>
      <c r="C617" s="44" t="s">
        <v>1249</v>
      </c>
      <c r="D617" s="42" t="s">
        <v>587</v>
      </c>
      <c r="E617" s="8" t="s">
        <v>592</v>
      </c>
      <c r="F617" s="18" t="s">
        <v>592</v>
      </c>
      <c r="G617" s="66">
        <v>7006</v>
      </c>
      <c r="H617" s="66">
        <v>8200</v>
      </c>
      <c r="I617" s="66">
        <f t="shared" si="6"/>
        <v>1194</v>
      </c>
    </row>
    <row r="618" spans="1:9" hidden="1">
      <c r="A618" s="78" t="s">
        <v>1508</v>
      </c>
      <c r="B618" s="40" t="s">
        <v>1250</v>
      </c>
      <c r="C618" s="40" t="s">
        <v>1058</v>
      </c>
      <c r="D618" s="42" t="s">
        <v>1164</v>
      </c>
      <c r="E618" s="8" t="s">
        <v>595</v>
      </c>
      <c r="F618" s="19" t="s">
        <v>595</v>
      </c>
      <c r="G618" s="66">
        <v>9637.5600000000013</v>
      </c>
      <c r="H618" s="66">
        <v>9637.56</v>
      </c>
      <c r="I618" s="66">
        <f t="shared" si="6"/>
        <v>0</v>
      </c>
    </row>
    <row r="619" spans="1:9" hidden="1">
      <c r="A619" s="78" t="s">
        <v>1508</v>
      </c>
      <c r="B619" s="48" t="s">
        <v>1251</v>
      </c>
      <c r="C619" s="44" t="s">
        <v>1252</v>
      </c>
      <c r="D619" s="42" t="s">
        <v>587</v>
      </c>
      <c r="E619" s="8" t="s">
        <v>595</v>
      </c>
      <c r="F619" s="19" t="s">
        <v>595</v>
      </c>
      <c r="G619" s="66">
        <v>6628</v>
      </c>
      <c r="H619" s="66">
        <v>8600</v>
      </c>
      <c r="I619" s="66">
        <f t="shared" si="6"/>
        <v>1972</v>
      </c>
    </row>
    <row r="620" spans="1:9">
      <c r="A620" s="78" t="s">
        <v>1508</v>
      </c>
      <c r="B620" s="48" t="s">
        <v>1253</v>
      </c>
      <c r="C620" s="48" t="s">
        <v>1254</v>
      </c>
      <c r="D620" s="42" t="s">
        <v>588</v>
      </c>
      <c r="E620" s="8" t="s">
        <v>593</v>
      </c>
      <c r="F620" s="8" t="s">
        <v>593</v>
      </c>
      <c r="G620" s="66">
        <v>8100</v>
      </c>
      <c r="H620" s="66">
        <v>9600</v>
      </c>
      <c r="I620" s="66">
        <f t="shared" si="6"/>
        <v>1500</v>
      </c>
    </row>
    <row r="621" spans="1:9">
      <c r="A621" s="78" t="s">
        <v>1508</v>
      </c>
      <c r="B621" s="48" t="s">
        <v>1255</v>
      </c>
      <c r="C621" s="48" t="s">
        <v>1256</v>
      </c>
      <c r="D621" s="42" t="s">
        <v>587</v>
      </c>
      <c r="E621" s="8" t="s">
        <v>593</v>
      </c>
      <c r="F621" s="8" t="s">
        <v>593</v>
      </c>
      <c r="G621" s="66">
        <v>8142</v>
      </c>
      <c r="H621" s="66">
        <v>9800</v>
      </c>
      <c r="I621" s="66">
        <f t="shared" si="6"/>
        <v>1658</v>
      </c>
    </row>
    <row r="622" spans="1:9" hidden="1">
      <c r="A622" s="78" t="s">
        <v>1508</v>
      </c>
      <c r="B622" s="49" t="s">
        <v>1257</v>
      </c>
      <c r="C622" s="49" t="s">
        <v>1258</v>
      </c>
      <c r="D622" s="42" t="s">
        <v>587</v>
      </c>
      <c r="E622" s="8" t="s">
        <v>595</v>
      </c>
      <c r="F622" s="19" t="s">
        <v>595</v>
      </c>
      <c r="G622" s="66">
        <v>7926</v>
      </c>
      <c r="H622" s="66">
        <v>8800</v>
      </c>
      <c r="I622" s="66">
        <f t="shared" si="6"/>
        <v>874</v>
      </c>
    </row>
    <row r="623" spans="1:9" ht="15.75" hidden="1">
      <c r="A623" s="78" t="s">
        <v>1508</v>
      </c>
      <c r="B623" s="45" t="s">
        <v>1259</v>
      </c>
      <c r="C623" s="45" t="s">
        <v>1260</v>
      </c>
      <c r="D623" s="62" t="s">
        <v>587</v>
      </c>
      <c r="E623" s="8" t="s">
        <v>595</v>
      </c>
      <c r="F623" s="19" t="s">
        <v>595</v>
      </c>
      <c r="G623" s="66">
        <v>5000</v>
      </c>
      <c r="H623" s="66">
        <v>8000</v>
      </c>
      <c r="I623" s="66">
        <f t="shared" si="6"/>
        <v>3000</v>
      </c>
    </row>
    <row r="624" spans="1:9">
      <c r="A624" s="78" t="s">
        <v>1508</v>
      </c>
      <c r="B624" s="42" t="s">
        <v>1261</v>
      </c>
      <c r="C624" s="42" t="s">
        <v>1262</v>
      </c>
      <c r="D624" s="42" t="s">
        <v>587</v>
      </c>
      <c r="E624" s="8" t="s">
        <v>593</v>
      </c>
      <c r="F624" s="8" t="s">
        <v>593</v>
      </c>
      <c r="G624" s="66">
        <v>4717.6400000000003</v>
      </c>
      <c r="H624" s="66">
        <v>6717.64</v>
      </c>
      <c r="I624" s="66">
        <f t="shared" si="6"/>
        <v>2000</v>
      </c>
    </row>
    <row r="625" spans="1:9" hidden="1">
      <c r="A625" s="78" t="s">
        <v>1508</v>
      </c>
      <c r="B625" s="40" t="s">
        <v>1263</v>
      </c>
      <c r="C625" s="40" t="s">
        <v>1264</v>
      </c>
      <c r="D625" s="42" t="s">
        <v>587</v>
      </c>
      <c r="E625" s="8" t="s">
        <v>595</v>
      </c>
      <c r="F625" s="19" t="s">
        <v>595</v>
      </c>
      <c r="G625" s="66">
        <v>10737</v>
      </c>
      <c r="H625" s="66">
        <v>10000</v>
      </c>
      <c r="I625" s="66">
        <f t="shared" si="6"/>
        <v>-737</v>
      </c>
    </row>
    <row r="626" spans="1:9" hidden="1">
      <c r="A626" s="78" t="s">
        <v>1508</v>
      </c>
      <c r="B626" s="49" t="s">
        <v>1265</v>
      </c>
      <c r="C626" s="49" t="s">
        <v>1266</v>
      </c>
      <c r="D626" s="42" t="s">
        <v>587</v>
      </c>
      <c r="E626" s="8" t="s">
        <v>595</v>
      </c>
      <c r="F626" s="19" t="s">
        <v>595</v>
      </c>
      <c r="G626" s="66">
        <v>7924</v>
      </c>
      <c r="H626" s="66">
        <v>9824</v>
      </c>
      <c r="I626" s="66">
        <f t="shared" si="6"/>
        <v>1900</v>
      </c>
    </row>
    <row r="627" spans="1:9" hidden="1">
      <c r="A627" s="78" t="s">
        <v>1508</v>
      </c>
      <c r="B627" s="48" t="s">
        <v>1267</v>
      </c>
      <c r="C627" s="44" t="s">
        <v>1268</v>
      </c>
      <c r="D627" s="42" t="s">
        <v>587</v>
      </c>
      <c r="E627" s="42" t="s">
        <v>594</v>
      </c>
      <c r="F627" s="19" t="s">
        <v>594</v>
      </c>
      <c r="G627" s="66">
        <v>10937</v>
      </c>
      <c r="H627" s="66">
        <v>10000</v>
      </c>
      <c r="I627" s="66">
        <f t="shared" si="6"/>
        <v>-937</v>
      </c>
    </row>
    <row r="628" spans="1:9">
      <c r="A628" s="78" t="s">
        <v>1508</v>
      </c>
      <c r="B628" s="42" t="s">
        <v>1269</v>
      </c>
      <c r="C628" s="42" t="s">
        <v>1270</v>
      </c>
      <c r="D628" s="42" t="s">
        <v>587</v>
      </c>
      <c r="E628" s="8" t="s">
        <v>593</v>
      </c>
      <c r="F628" s="8" t="s">
        <v>593</v>
      </c>
      <c r="G628" s="66">
        <v>4284</v>
      </c>
      <c r="H628" s="66">
        <v>7284</v>
      </c>
      <c r="I628" s="66">
        <f t="shared" si="6"/>
        <v>3000</v>
      </c>
    </row>
    <row r="629" spans="1:9">
      <c r="A629" s="78" t="s">
        <v>1508</v>
      </c>
      <c r="B629" s="40" t="s">
        <v>1271</v>
      </c>
      <c r="C629" s="40" t="s">
        <v>1272</v>
      </c>
      <c r="D629" s="42" t="s">
        <v>587</v>
      </c>
      <c r="E629" s="8" t="s">
        <v>593</v>
      </c>
      <c r="F629" s="8" t="s">
        <v>593</v>
      </c>
      <c r="G629" s="66">
        <v>3954</v>
      </c>
      <c r="H629" s="66">
        <v>6954</v>
      </c>
      <c r="I629" s="66">
        <f t="shared" si="6"/>
        <v>3000</v>
      </c>
    </row>
    <row r="630" spans="1:9" hidden="1">
      <c r="A630" s="78" t="s">
        <v>1508</v>
      </c>
      <c r="B630" s="42" t="s">
        <v>1273</v>
      </c>
      <c r="C630" s="42" t="s">
        <v>1274</v>
      </c>
      <c r="D630" s="42" t="s">
        <v>587</v>
      </c>
      <c r="E630" s="42" t="s">
        <v>594</v>
      </c>
      <c r="F630" s="19" t="s">
        <v>594</v>
      </c>
      <c r="G630" s="66">
        <v>3953</v>
      </c>
      <c r="H630" s="66">
        <v>6200</v>
      </c>
      <c r="I630" s="66">
        <f t="shared" si="6"/>
        <v>2247</v>
      </c>
    </row>
    <row r="631" spans="1:9" hidden="1">
      <c r="A631" s="78" t="s">
        <v>1508</v>
      </c>
      <c r="B631" s="42" t="s">
        <v>1275</v>
      </c>
      <c r="C631" s="42" t="s">
        <v>1276</v>
      </c>
      <c r="D631" s="42" t="s">
        <v>587</v>
      </c>
      <c r="E631" s="42" t="s">
        <v>594</v>
      </c>
      <c r="F631" s="19" t="s">
        <v>594</v>
      </c>
      <c r="G631" s="66">
        <v>9202</v>
      </c>
      <c r="H631" s="66">
        <v>9602</v>
      </c>
      <c r="I631" s="66">
        <f t="shared" si="6"/>
        <v>400</v>
      </c>
    </row>
    <row r="632" spans="1:9">
      <c r="A632" s="78" t="s">
        <v>1508</v>
      </c>
      <c r="B632" s="40" t="s">
        <v>1277</v>
      </c>
      <c r="C632" s="40" t="s">
        <v>1278</v>
      </c>
      <c r="D632" s="42" t="s">
        <v>587</v>
      </c>
      <c r="E632" s="8" t="s">
        <v>593</v>
      </c>
      <c r="F632" s="8" t="s">
        <v>593</v>
      </c>
      <c r="G632" s="66">
        <v>5483.46</v>
      </c>
      <c r="H632" s="66">
        <v>8483.4599999999991</v>
      </c>
      <c r="I632" s="66">
        <f t="shared" si="6"/>
        <v>2999.9999999999991</v>
      </c>
    </row>
    <row r="633" spans="1:9" hidden="1">
      <c r="A633" s="78" t="s">
        <v>1508</v>
      </c>
      <c r="B633" s="40" t="s">
        <v>1279</v>
      </c>
      <c r="C633" s="40" t="s">
        <v>1280</v>
      </c>
      <c r="D633" s="42" t="s">
        <v>588</v>
      </c>
      <c r="E633" s="8" t="s">
        <v>595</v>
      </c>
      <c r="F633" s="19" t="s">
        <v>595</v>
      </c>
      <c r="G633" s="66">
        <v>8505</v>
      </c>
      <c r="H633" s="66">
        <v>9505</v>
      </c>
      <c r="I633" s="66">
        <f t="shared" si="6"/>
        <v>1000</v>
      </c>
    </row>
    <row r="634" spans="1:9" hidden="1">
      <c r="A634" s="78" t="s">
        <v>1508</v>
      </c>
      <c r="B634" s="43" t="s">
        <v>1281</v>
      </c>
      <c r="C634" s="43" t="s">
        <v>1282</v>
      </c>
      <c r="D634" s="42" t="s">
        <v>587</v>
      </c>
      <c r="E634" s="8" t="s">
        <v>592</v>
      </c>
      <c r="F634" s="18" t="s">
        <v>592</v>
      </c>
      <c r="G634" s="66">
        <v>5900</v>
      </c>
      <c r="H634" s="66">
        <v>8500</v>
      </c>
      <c r="I634" s="66">
        <f t="shared" si="6"/>
        <v>2600</v>
      </c>
    </row>
    <row r="635" spans="1:9" hidden="1">
      <c r="A635" s="78" t="s">
        <v>1508</v>
      </c>
      <c r="B635" s="46" t="s">
        <v>1283</v>
      </c>
      <c r="C635" s="42" t="s">
        <v>1284</v>
      </c>
      <c r="D635" s="42" t="s">
        <v>586</v>
      </c>
      <c r="E635" s="8" t="s">
        <v>592</v>
      </c>
      <c r="F635" s="8" t="s">
        <v>596</v>
      </c>
      <c r="G635" s="66">
        <v>10000</v>
      </c>
      <c r="H635" s="66">
        <v>10000</v>
      </c>
      <c r="I635" s="66">
        <f t="shared" si="6"/>
        <v>0</v>
      </c>
    </row>
    <row r="636" spans="1:9">
      <c r="A636" s="78" t="s">
        <v>1508</v>
      </c>
      <c r="B636" s="40" t="s">
        <v>1285</v>
      </c>
      <c r="C636" s="40" t="s">
        <v>1286</v>
      </c>
      <c r="D636" s="42" t="s">
        <v>590</v>
      </c>
      <c r="E636" s="8" t="s">
        <v>593</v>
      </c>
      <c r="F636" s="8" t="s">
        <v>596</v>
      </c>
      <c r="G636" s="66">
        <v>9500</v>
      </c>
      <c r="H636" s="66">
        <v>9800</v>
      </c>
      <c r="I636" s="66">
        <f t="shared" si="6"/>
        <v>300</v>
      </c>
    </row>
    <row r="637" spans="1:9" hidden="1">
      <c r="A637" s="78" t="s">
        <v>1508</v>
      </c>
      <c r="B637" s="40" t="s">
        <v>1287</v>
      </c>
      <c r="C637" s="40" t="s">
        <v>1288</v>
      </c>
      <c r="D637" s="42" t="s">
        <v>1168</v>
      </c>
      <c r="E637" s="8" t="s">
        <v>592</v>
      </c>
      <c r="F637" s="8" t="s">
        <v>596</v>
      </c>
      <c r="G637" s="66">
        <v>10821.688</v>
      </c>
      <c r="H637" s="66">
        <v>10000</v>
      </c>
      <c r="I637" s="66">
        <f t="shared" si="6"/>
        <v>-821.6880000000001</v>
      </c>
    </row>
    <row r="638" spans="1:9">
      <c r="A638" s="78" t="s">
        <v>1508</v>
      </c>
      <c r="B638" s="42" t="s">
        <v>1289</v>
      </c>
      <c r="C638" s="42" t="s">
        <v>1290</v>
      </c>
      <c r="D638" s="42" t="s">
        <v>587</v>
      </c>
      <c r="E638" s="8" t="s">
        <v>593</v>
      </c>
      <c r="F638" s="8" t="s">
        <v>593</v>
      </c>
      <c r="G638" s="66">
        <v>9719.7000000000007</v>
      </c>
      <c r="H638" s="66">
        <v>10000</v>
      </c>
      <c r="I638" s="66">
        <f t="shared" si="6"/>
        <v>280.29999999999927</v>
      </c>
    </row>
    <row r="639" spans="1:9" hidden="1">
      <c r="A639" s="78" t="s">
        <v>1508</v>
      </c>
      <c r="B639" s="50" t="s">
        <v>1291</v>
      </c>
      <c r="C639" s="51" t="s">
        <v>1292</v>
      </c>
      <c r="D639" s="42" t="s">
        <v>589</v>
      </c>
      <c r="E639" s="8" t="s">
        <v>595</v>
      </c>
      <c r="F639" s="19" t="s">
        <v>595</v>
      </c>
      <c r="G639" s="66">
        <v>10000</v>
      </c>
      <c r="H639" s="66">
        <v>10000</v>
      </c>
      <c r="I639" s="66">
        <f t="shared" si="6"/>
        <v>0</v>
      </c>
    </row>
    <row r="640" spans="1:9" hidden="1">
      <c r="A640" s="78" t="s">
        <v>1508</v>
      </c>
      <c r="B640" s="43" t="s">
        <v>1293</v>
      </c>
      <c r="C640" s="43" t="s">
        <v>1294</v>
      </c>
      <c r="D640" s="42" t="s">
        <v>587</v>
      </c>
      <c r="E640" s="8" t="s">
        <v>592</v>
      </c>
      <c r="F640" s="18" t="s">
        <v>592</v>
      </c>
      <c r="G640" s="66">
        <v>8020</v>
      </c>
      <c r="H640" s="66">
        <v>9520</v>
      </c>
      <c r="I640" s="66">
        <f t="shared" si="6"/>
        <v>1500</v>
      </c>
    </row>
    <row r="641" spans="1:9" hidden="1">
      <c r="A641" s="78" t="s">
        <v>1508</v>
      </c>
      <c r="B641" s="40" t="s">
        <v>1295</v>
      </c>
      <c r="C641" s="40" t="s">
        <v>1296</v>
      </c>
      <c r="D641" s="42" t="s">
        <v>587</v>
      </c>
      <c r="E641" s="8" t="s">
        <v>592</v>
      </c>
      <c r="F641" s="18" t="s">
        <v>592</v>
      </c>
      <c r="G641" s="66">
        <v>8020</v>
      </c>
      <c r="H641" s="66">
        <v>9520</v>
      </c>
      <c r="I641" s="66">
        <f t="shared" si="6"/>
        <v>1500</v>
      </c>
    </row>
    <row r="642" spans="1:9" hidden="1">
      <c r="A642" s="78" t="s">
        <v>1508</v>
      </c>
      <c r="B642" s="31" t="s">
        <v>1297</v>
      </c>
      <c r="C642" s="31" t="s">
        <v>1298</v>
      </c>
      <c r="D642" s="62" t="s">
        <v>587</v>
      </c>
      <c r="E642" s="8" t="s">
        <v>592</v>
      </c>
      <c r="F642" s="18" t="s">
        <v>592</v>
      </c>
      <c r="G642" s="66">
        <v>13090</v>
      </c>
      <c r="H642" s="66">
        <v>14090</v>
      </c>
      <c r="I642" s="66">
        <f t="shared" ref="I642:I705" si="7">H642-G642</f>
        <v>1000</v>
      </c>
    </row>
    <row r="643" spans="1:9">
      <c r="A643" s="78" t="s">
        <v>1508</v>
      </c>
      <c r="B643" s="40" t="s">
        <v>1299</v>
      </c>
      <c r="C643" s="40" t="s">
        <v>1300</v>
      </c>
      <c r="D643" s="42" t="s">
        <v>587</v>
      </c>
      <c r="E643" s="8" t="s">
        <v>593</v>
      </c>
      <c r="F643" s="8" t="s">
        <v>593</v>
      </c>
      <c r="G643" s="66">
        <v>6136</v>
      </c>
      <c r="H643" s="66">
        <v>8136</v>
      </c>
      <c r="I643" s="66">
        <f t="shared" si="7"/>
        <v>2000</v>
      </c>
    </row>
    <row r="644" spans="1:9" hidden="1">
      <c r="A644" s="78" t="s">
        <v>1508</v>
      </c>
      <c r="B644" s="40" t="s">
        <v>1301</v>
      </c>
      <c r="C644" s="40" t="s">
        <v>1302</v>
      </c>
      <c r="D644" s="42" t="s">
        <v>588</v>
      </c>
      <c r="E644" s="8" t="s">
        <v>592</v>
      </c>
      <c r="F644" s="18" t="s">
        <v>592</v>
      </c>
      <c r="G644" s="66">
        <v>7200</v>
      </c>
      <c r="H644" s="66">
        <v>8200</v>
      </c>
      <c r="I644" s="66">
        <f t="shared" si="7"/>
        <v>1000</v>
      </c>
    </row>
    <row r="645" spans="1:9" hidden="1">
      <c r="A645" s="78" t="s">
        <v>1508</v>
      </c>
      <c r="B645" s="40" t="s">
        <v>1303</v>
      </c>
      <c r="C645" s="40" t="s">
        <v>1304</v>
      </c>
      <c r="D645" s="42" t="s">
        <v>587</v>
      </c>
      <c r="E645" s="8" t="s">
        <v>592</v>
      </c>
      <c r="F645" s="18" t="s">
        <v>592</v>
      </c>
      <c r="G645" s="66">
        <v>10851</v>
      </c>
      <c r="H645" s="66">
        <v>10000</v>
      </c>
      <c r="I645" s="66">
        <f t="shared" si="7"/>
        <v>-851</v>
      </c>
    </row>
    <row r="646" spans="1:9" hidden="1">
      <c r="A646" s="78" t="s">
        <v>1508</v>
      </c>
      <c r="B646" s="40" t="s">
        <v>1305</v>
      </c>
      <c r="C646" s="40" t="s">
        <v>1306</v>
      </c>
      <c r="D646" s="42" t="s">
        <v>587</v>
      </c>
      <c r="E646" s="8" t="s">
        <v>592</v>
      </c>
      <c r="F646" s="18" t="s">
        <v>592</v>
      </c>
      <c r="G646" s="66">
        <v>3085</v>
      </c>
      <c r="H646" s="66">
        <v>7200</v>
      </c>
      <c r="I646" s="66">
        <f t="shared" si="7"/>
        <v>4115</v>
      </c>
    </row>
    <row r="647" spans="1:9" ht="15.75" hidden="1">
      <c r="A647" s="78" t="s">
        <v>1508</v>
      </c>
      <c r="B647" s="45" t="s">
        <v>1307</v>
      </c>
      <c r="C647" s="45" t="s">
        <v>1308</v>
      </c>
      <c r="D647" s="62" t="s">
        <v>587</v>
      </c>
      <c r="E647" s="8" t="s">
        <v>595</v>
      </c>
      <c r="F647" s="19" t="s">
        <v>595</v>
      </c>
      <c r="G647" s="66">
        <v>7075</v>
      </c>
      <c r="H647" s="66">
        <v>9600</v>
      </c>
      <c r="I647" s="66">
        <f t="shared" si="7"/>
        <v>2525</v>
      </c>
    </row>
    <row r="648" spans="1:9" hidden="1">
      <c r="A648" s="78" t="s">
        <v>1508</v>
      </c>
      <c r="B648" s="52" t="s">
        <v>1309</v>
      </c>
      <c r="C648" s="52" t="s">
        <v>1310</v>
      </c>
      <c r="D648" s="63" t="s">
        <v>587</v>
      </c>
      <c r="E648" s="56" t="s">
        <v>594</v>
      </c>
      <c r="F648" s="19" t="s">
        <v>594</v>
      </c>
      <c r="G648" s="67">
        <v>12213</v>
      </c>
      <c r="H648" s="67">
        <v>20213</v>
      </c>
      <c r="I648" s="67">
        <f t="shared" si="7"/>
        <v>8000</v>
      </c>
    </row>
    <row r="649" spans="1:9" hidden="1">
      <c r="A649" s="78" t="s">
        <v>1508</v>
      </c>
      <c r="B649" s="48" t="s">
        <v>1311</v>
      </c>
      <c r="C649" s="48" t="s">
        <v>1312</v>
      </c>
      <c r="D649" s="48" t="s">
        <v>587</v>
      </c>
      <c r="E649" s="8" t="s">
        <v>595</v>
      </c>
      <c r="F649" s="19" t="s">
        <v>595</v>
      </c>
      <c r="G649" s="66">
        <v>8847</v>
      </c>
      <c r="H649" s="66">
        <v>9847</v>
      </c>
      <c r="I649" s="66">
        <f t="shared" si="7"/>
        <v>1000</v>
      </c>
    </row>
    <row r="650" spans="1:9">
      <c r="A650" s="78" t="s">
        <v>1508</v>
      </c>
      <c r="B650" s="31" t="s">
        <v>1313</v>
      </c>
      <c r="C650" s="31" t="s">
        <v>1314</v>
      </c>
      <c r="D650" s="2" t="s">
        <v>587</v>
      </c>
      <c r="E650" s="8" t="s">
        <v>593</v>
      </c>
      <c r="F650" s="8" t="s">
        <v>593</v>
      </c>
      <c r="G650" s="66">
        <v>7906</v>
      </c>
      <c r="H650" s="66">
        <v>9906</v>
      </c>
      <c r="I650" s="66">
        <f t="shared" si="7"/>
        <v>2000</v>
      </c>
    </row>
    <row r="651" spans="1:9" hidden="1">
      <c r="A651" s="78" t="s">
        <v>1508</v>
      </c>
      <c r="B651" s="40" t="s">
        <v>1315</v>
      </c>
      <c r="C651" s="40" t="s">
        <v>1316</v>
      </c>
      <c r="D651" s="42" t="s">
        <v>587</v>
      </c>
      <c r="E651" s="8" t="s">
        <v>595</v>
      </c>
      <c r="F651" s="19" t="s">
        <v>595</v>
      </c>
      <c r="G651" s="66">
        <v>4210</v>
      </c>
      <c r="H651" s="66">
        <v>8210</v>
      </c>
      <c r="I651" s="66">
        <f t="shared" si="7"/>
        <v>4000</v>
      </c>
    </row>
    <row r="652" spans="1:9" hidden="1">
      <c r="A652" s="78" t="s">
        <v>1508</v>
      </c>
      <c r="B652" s="41" t="s">
        <v>1317</v>
      </c>
      <c r="C652" s="41" t="s">
        <v>1318</v>
      </c>
      <c r="D652" s="2" t="s">
        <v>1163</v>
      </c>
      <c r="E652" s="8" t="s">
        <v>595</v>
      </c>
      <c r="F652" s="8" t="s">
        <v>596</v>
      </c>
      <c r="G652" s="66">
        <v>8200</v>
      </c>
      <c r="H652" s="66">
        <v>9200</v>
      </c>
      <c r="I652" s="66">
        <f t="shared" si="7"/>
        <v>1000</v>
      </c>
    </row>
    <row r="653" spans="1:9" hidden="1">
      <c r="A653" s="78" t="s">
        <v>1508</v>
      </c>
      <c r="B653" s="40" t="s">
        <v>1319</v>
      </c>
      <c r="C653" s="40" t="s">
        <v>1320</v>
      </c>
      <c r="D653" s="42" t="s">
        <v>588</v>
      </c>
      <c r="E653" s="8" t="s">
        <v>595</v>
      </c>
      <c r="F653" s="19" t="s">
        <v>595</v>
      </c>
      <c r="G653" s="66">
        <v>9450</v>
      </c>
      <c r="H653" s="66">
        <v>9450</v>
      </c>
      <c r="I653" s="66">
        <f t="shared" si="7"/>
        <v>0</v>
      </c>
    </row>
    <row r="654" spans="1:9" hidden="1">
      <c r="A654" s="78" t="s">
        <v>1508</v>
      </c>
      <c r="B654" s="53" t="s">
        <v>1321</v>
      </c>
      <c r="C654" s="53" t="s">
        <v>1322</v>
      </c>
      <c r="D654" s="42" t="s">
        <v>587</v>
      </c>
      <c r="E654" s="8" t="s">
        <v>592</v>
      </c>
      <c r="F654" s="19" t="s">
        <v>594</v>
      </c>
      <c r="G654" s="66">
        <v>4720</v>
      </c>
      <c r="H654" s="66">
        <v>10000</v>
      </c>
      <c r="I654" s="66">
        <f t="shared" si="7"/>
        <v>5280</v>
      </c>
    </row>
    <row r="655" spans="1:9" hidden="1">
      <c r="A655" s="78" t="s">
        <v>1508</v>
      </c>
      <c r="B655" s="40" t="s">
        <v>1323</v>
      </c>
      <c r="C655" s="40" t="s">
        <v>1324</v>
      </c>
      <c r="D655" s="42" t="s">
        <v>1505</v>
      </c>
      <c r="E655" s="8" t="s">
        <v>592</v>
      </c>
      <c r="F655" s="18" t="s">
        <v>592</v>
      </c>
      <c r="G655" s="66">
        <v>9558</v>
      </c>
      <c r="H655" s="66">
        <v>9558</v>
      </c>
      <c r="I655" s="66">
        <f t="shared" si="7"/>
        <v>0</v>
      </c>
    </row>
    <row r="656" spans="1:9">
      <c r="A656" s="78" t="s">
        <v>1508</v>
      </c>
      <c r="B656" s="42" t="s">
        <v>1325</v>
      </c>
      <c r="C656" s="42" t="s">
        <v>1326</v>
      </c>
      <c r="D656" s="42" t="s">
        <v>587</v>
      </c>
      <c r="E656" s="8" t="s">
        <v>593</v>
      </c>
      <c r="F656" s="8" t="s">
        <v>593</v>
      </c>
      <c r="G656" s="66">
        <v>5664</v>
      </c>
      <c r="H656" s="66">
        <v>8664</v>
      </c>
      <c r="I656" s="66">
        <f t="shared" si="7"/>
        <v>3000</v>
      </c>
    </row>
    <row r="657" spans="1:9">
      <c r="A657" s="78" t="s">
        <v>1508</v>
      </c>
      <c r="B657" s="48" t="s">
        <v>1327</v>
      </c>
      <c r="C657" s="44" t="s">
        <v>1328</v>
      </c>
      <c r="D657" s="42" t="s">
        <v>587</v>
      </c>
      <c r="E657" s="8" t="s">
        <v>593</v>
      </c>
      <c r="F657" s="8" t="s">
        <v>593</v>
      </c>
      <c r="G657" s="66">
        <v>8541</v>
      </c>
      <c r="H657" s="66">
        <v>9541</v>
      </c>
      <c r="I657" s="66">
        <f t="shared" si="7"/>
        <v>1000</v>
      </c>
    </row>
    <row r="658" spans="1:9">
      <c r="A658" s="78" t="s">
        <v>1508</v>
      </c>
      <c r="B658" s="42" t="s">
        <v>1329</v>
      </c>
      <c r="C658" s="42" t="s">
        <v>1330</v>
      </c>
      <c r="D658" s="42" t="s">
        <v>587</v>
      </c>
      <c r="E658" s="8" t="s">
        <v>593</v>
      </c>
      <c r="F658" s="8" t="s">
        <v>593</v>
      </c>
      <c r="G658" s="66">
        <v>8956</v>
      </c>
      <c r="H658" s="66">
        <v>9956</v>
      </c>
      <c r="I658" s="66">
        <f t="shared" si="7"/>
        <v>1000</v>
      </c>
    </row>
    <row r="659" spans="1:9">
      <c r="A659" s="78" t="s">
        <v>1508</v>
      </c>
      <c r="B659" s="42" t="s">
        <v>1331</v>
      </c>
      <c r="C659" s="42" t="s">
        <v>1332</v>
      </c>
      <c r="D659" s="42" t="s">
        <v>587</v>
      </c>
      <c r="E659" s="8" t="s">
        <v>593</v>
      </c>
      <c r="F659" s="8" t="s">
        <v>593</v>
      </c>
      <c r="G659" s="66">
        <v>7168.5</v>
      </c>
      <c r="H659" s="66">
        <v>9168</v>
      </c>
      <c r="I659" s="66">
        <f t="shared" si="7"/>
        <v>1999.5</v>
      </c>
    </row>
    <row r="660" spans="1:9" hidden="1">
      <c r="A660" s="78" t="s">
        <v>1508</v>
      </c>
      <c r="B660" s="40" t="s">
        <v>1333</v>
      </c>
      <c r="C660" s="40" t="s">
        <v>1334</v>
      </c>
      <c r="D660" s="42" t="s">
        <v>587</v>
      </c>
      <c r="E660" s="8" t="s">
        <v>595</v>
      </c>
      <c r="F660" s="19" t="s">
        <v>595</v>
      </c>
      <c r="G660" s="66">
        <v>9794</v>
      </c>
      <c r="H660" s="66">
        <v>9794</v>
      </c>
      <c r="I660" s="66">
        <f t="shared" si="7"/>
        <v>0</v>
      </c>
    </row>
    <row r="661" spans="1:9" hidden="1">
      <c r="A661" s="78" t="s">
        <v>1508</v>
      </c>
      <c r="B661" s="40" t="s">
        <v>1335</v>
      </c>
      <c r="C661" s="40" t="s">
        <v>1336</v>
      </c>
      <c r="D661" s="42" t="s">
        <v>587</v>
      </c>
      <c r="E661" s="8" t="s">
        <v>595</v>
      </c>
      <c r="F661" s="19" t="s">
        <v>595</v>
      </c>
      <c r="G661" s="66">
        <v>4699</v>
      </c>
      <c r="H661" s="66">
        <v>6780</v>
      </c>
      <c r="I661" s="66">
        <f t="shared" si="7"/>
        <v>2081</v>
      </c>
    </row>
    <row r="662" spans="1:9" hidden="1">
      <c r="A662" s="78" t="s">
        <v>1508</v>
      </c>
      <c r="B662" s="49" t="s">
        <v>1337</v>
      </c>
      <c r="C662" s="49" t="s">
        <v>1338</v>
      </c>
      <c r="D662" s="42" t="s">
        <v>589</v>
      </c>
      <c r="E662" s="8" t="s">
        <v>595</v>
      </c>
      <c r="F662" s="19" t="s">
        <v>595</v>
      </c>
      <c r="G662" s="66">
        <v>10000</v>
      </c>
      <c r="H662" s="66">
        <v>10000</v>
      </c>
      <c r="I662" s="66">
        <f t="shared" si="7"/>
        <v>0</v>
      </c>
    </row>
    <row r="663" spans="1:9" hidden="1">
      <c r="A663" s="78" t="s">
        <v>1508</v>
      </c>
      <c r="B663" s="40" t="s">
        <v>1339</v>
      </c>
      <c r="C663" s="40" t="s">
        <v>1340</v>
      </c>
      <c r="D663" s="42" t="s">
        <v>587</v>
      </c>
      <c r="E663" s="8" t="s">
        <v>592</v>
      </c>
      <c r="F663" s="18" t="s">
        <v>592</v>
      </c>
      <c r="G663" s="66">
        <v>5192</v>
      </c>
      <c r="H663" s="66">
        <v>7192</v>
      </c>
      <c r="I663" s="66">
        <f t="shared" si="7"/>
        <v>2000</v>
      </c>
    </row>
    <row r="664" spans="1:9">
      <c r="A664" s="78" t="s">
        <v>1508</v>
      </c>
      <c r="B664" s="40" t="s">
        <v>1341</v>
      </c>
      <c r="C664" s="40" t="s">
        <v>1342</v>
      </c>
      <c r="D664" s="42" t="s">
        <v>587</v>
      </c>
      <c r="E664" s="8" t="s">
        <v>593</v>
      </c>
      <c r="F664" s="8" t="s">
        <v>593</v>
      </c>
      <c r="G664" s="66">
        <v>11794.1</v>
      </c>
      <c r="H664" s="66">
        <v>11794.1</v>
      </c>
      <c r="I664" s="66">
        <f t="shared" si="7"/>
        <v>0</v>
      </c>
    </row>
    <row r="665" spans="1:9" ht="15.75" hidden="1">
      <c r="A665" s="78" t="s">
        <v>1508</v>
      </c>
      <c r="B665" s="45" t="s">
        <v>1343</v>
      </c>
      <c r="C665" s="45" t="s">
        <v>1344</v>
      </c>
      <c r="D665" s="62" t="s">
        <v>588</v>
      </c>
      <c r="E665" s="8" t="s">
        <v>595</v>
      </c>
      <c r="F665" s="19" t="s">
        <v>595</v>
      </c>
      <c r="G665" s="66">
        <v>7289</v>
      </c>
      <c r="H665" s="66">
        <v>8289</v>
      </c>
      <c r="I665" s="66">
        <f t="shared" si="7"/>
        <v>1000</v>
      </c>
    </row>
    <row r="666" spans="1:9" hidden="1">
      <c r="A666" s="78" t="s">
        <v>1508</v>
      </c>
      <c r="B666" s="40" t="s">
        <v>1345</v>
      </c>
      <c r="C666" s="40" t="s">
        <v>1346</v>
      </c>
      <c r="D666" s="42" t="s">
        <v>587</v>
      </c>
      <c r="E666" s="8" t="s">
        <v>595</v>
      </c>
      <c r="F666" s="19" t="s">
        <v>595</v>
      </c>
      <c r="G666" s="66">
        <v>10000</v>
      </c>
      <c r="H666" s="66">
        <v>10000</v>
      </c>
      <c r="I666" s="66">
        <f t="shared" si="7"/>
        <v>0</v>
      </c>
    </row>
    <row r="667" spans="1:9">
      <c r="A667" s="78" t="s">
        <v>1508</v>
      </c>
      <c r="B667" s="42" t="s">
        <v>1347</v>
      </c>
      <c r="C667" s="42" t="s">
        <v>1348</v>
      </c>
      <c r="D667" s="42" t="s">
        <v>589</v>
      </c>
      <c r="E667" s="8" t="s">
        <v>593</v>
      </c>
      <c r="F667" s="8" t="s">
        <v>593</v>
      </c>
      <c r="G667" s="66">
        <v>10000</v>
      </c>
      <c r="H667" s="66">
        <v>10000</v>
      </c>
      <c r="I667" s="66">
        <f t="shared" si="7"/>
        <v>0</v>
      </c>
    </row>
    <row r="668" spans="1:9" hidden="1">
      <c r="A668" s="78" t="s">
        <v>1508</v>
      </c>
      <c r="B668" s="40" t="s">
        <v>1349</v>
      </c>
      <c r="C668" s="40" t="s">
        <v>1350</v>
      </c>
      <c r="D668" s="42" t="s">
        <v>1506</v>
      </c>
      <c r="E668" s="8" t="s">
        <v>592</v>
      </c>
      <c r="F668" s="8" t="s">
        <v>596</v>
      </c>
      <c r="G668" s="66">
        <v>7434</v>
      </c>
      <c r="H668" s="66">
        <v>9434</v>
      </c>
      <c r="I668" s="66">
        <f t="shared" si="7"/>
        <v>2000</v>
      </c>
    </row>
    <row r="669" spans="1:9" ht="15.75" hidden="1">
      <c r="A669" s="78" t="s">
        <v>1508</v>
      </c>
      <c r="B669" s="45" t="s">
        <v>1351</v>
      </c>
      <c r="C669" s="45" t="s">
        <v>1352</v>
      </c>
      <c r="D669" s="62" t="s">
        <v>587</v>
      </c>
      <c r="E669" s="8" t="s">
        <v>595</v>
      </c>
      <c r="F669" s="19" t="s">
        <v>595</v>
      </c>
      <c r="G669" s="66">
        <v>7842</v>
      </c>
      <c r="H669" s="66">
        <v>9842</v>
      </c>
      <c r="I669" s="66">
        <f t="shared" si="7"/>
        <v>2000</v>
      </c>
    </row>
    <row r="670" spans="1:9" hidden="1">
      <c r="A670" s="78" t="s">
        <v>1508</v>
      </c>
      <c r="B670" s="54" t="s">
        <v>1353</v>
      </c>
      <c r="C670" s="54" t="s">
        <v>1354</v>
      </c>
      <c r="D670" s="42" t="s">
        <v>589</v>
      </c>
      <c r="E670" s="8" t="s">
        <v>592</v>
      </c>
      <c r="F670" s="8" t="s">
        <v>596</v>
      </c>
      <c r="G670" s="66">
        <v>10000</v>
      </c>
      <c r="H670" s="66">
        <v>10000</v>
      </c>
      <c r="I670" s="66">
        <f t="shared" si="7"/>
        <v>0</v>
      </c>
    </row>
    <row r="671" spans="1:9">
      <c r="A671" s="78" t="s">
        <v>1508</v>
      </c>
      <c r="B671" s="40" t="s">
        <v>1355</v>
      </c>
      <c r="C671" s="40" t="s">
        <v>1356</v>
      </c>
      <c r="D671" s="42" t="s">
        <v>587</v>
      </c>
      <c r="E671" s="8" t="s">
        <v>593</v>
      </c>
      <c r="F671" s="8" t="s">
        <v>593</v>
      </c>
      <c r="G671" s="66">
        <v>10083.69</v>
      </c>
      <c r="H671" s="66">
        <v>10000</v>
      </c>
      <c r="I671" s="66">
        <f t="shared" si="7"/>
        <v>-83.690000000000509</v>
      </c>
    </row>
    <row r="672" spans="1:9">
      <c r="A672" s="78" t="s">
        <v>1508</v>
      </c>
      <c r="B672" s="40" t="s">
        <v>1357</v>
      </c>
      <c r="C672" s="40" t="s">
        <v>1358</v>
      </c>
      <c r="D672" s="42" t="s">
        <v>587</v>
      </c>
      <c r="E672" s="8" t="s">
        <v>593</v>
      </c>
      <c r="F672" s="8" t="s">
        <v>593</v>
      </c>
      <c r="G672" s="66">
        <v>5602</v>
      </c>
      <c r="H672" s="66">
        <v>7602</v>
      </c>
      <c r="I672" s="66">
        <f t="shared" si="7"/>
        <v>2000</v>
      </c>
    </row>
    <row r="673" spans="1:9" hidden="1">
      <c r="A673" s="78" t="s">
        <v>1508</v>
      </c>
      <c r="B673" s="44" t="s">
        <v>1359</v>
      </c>
      <c r="C673" s="44" t="s">
        <v>812</v>
      </c>
      <c r="D673" s="42" t="s">
        <v>589</v>
      </c>
      <c r="E673" s="8" t="s">
        <v>592</v>
      </c>
      <c r="F673" s="8" t="s">
        <v>596</v>
      </c>
      <c r="G673" s="66">
        <v>10000</v>
      </c>
      <c r="H673" s="66">
        <v>10000</v>
      </c>
      <c r="I673" s="66">
        <f t="shared" si="7"/>
        <v>0</v>
      </c>
    </row>
    <row r="674" spans="1:9" hidden="1">
      <c r="A674" s="78" t="s">
        <v>1508</v>
      </c>
      <c r="B674" s="40" t="s">
        <v>1360</v>
      </c>
      <c r="C674" s="40" t="s">
        <v>1361</v>
      </c>
      <c r="D674" s="42" t="s">
        <v>587</v>
      </c>
      <c r="E674" s="8" t="s">
        <v>595</v>
      </c>
      <c r="F674" s="19" t="s">
        <v>595</v>
      </c>
      <c r="G674" s="66">
        <v>9663</v>
      </c>
      <c r="H674" s="66">
        <v>9663</v>
      </c>
      <c r="I674" s="66">
        <f t="shared" si="7"/>
        <v>0</v>
      </c>
    </row>
    <row r="675" spans="1:9" hidden="1">
      <c r="A675" s="78" t="s">
        <v>1508</v>
      </c>
      <c r="B675" s="53" t="s">
        <v>1362</v>
      </c>
      <c r="C675" s="53" t="s">
        <v>1363</v>
      </c>
      <c r="D675" s="53" t="s">
        <v>587</v>
      </c>
      <c r="E675" s="8" t="s">
        <v>592</v>
      </c>
      <c r="F675" s="18" t="s">
        <v>592</v>
      </c>
      <c r="G675" s="66">
        <v>2589</v>
      </c>
      <c r="H675" s="66">
        <v>4589</v>
      </c>
      <c r="I675" s="66">
        <f t="shared" si="7"/>
        <v>2000</v>
      </c>
    </row>
    <row r="676" spans="1:9" hidden="1">
      <c r="A676" s="78" t="s">
        <v>1508</v>
      </c>
      <c r="B676" s="41" t="s">
        <v>1364</v>
      </c>
      <c r="C676" s="41" t="s">
        <v>1365</v>
      </c>
      <c r="D676" s="62" t="s">
        <v>587</v>
      </c>
      <c r="E676" s="8" t="s">
        <v>592</v>
      </c>
      <c r="F676" s="18" t="s">
        <v>592</v>
      </c>
      <c r="G676" s="66">
        <v>6195</v>
      </c>
      <c r="H676" s="66">
        <v>9195</v>
      </c>
      <c r="I676" s="66">
        <f t="shared" si="7"/>
        <v>3000</v>
      </c>
    </row>
    <row r="677" spans="1:9">
      <c r="A677" s="78" t="s">
        <v>1508</v>
      </c>
      <c r="B677" s="46" t="s">
        <v>1366</v>
      </c>
      <c r="C677" s="46" t="s">
        <v>1367</v>
      </c>
      <c r="D677" s="42" t="s">
        <v>1164</v>
      </c>
      <c r="E677" s="8" t="s">
        <v>593</v>
      </c>
      <c r="F677" s="8" t="s">
        <v>593</v>
      </c>
      <c r="G677" s="66">
        <v>9870</v>
      </c>
      <c r="H677" s="66">
        <v>9870</v>
      </c>
      <c r="I677" s="66">
        <f t="shared" si="7"/>
        <v>0</v>
      </c>
    </row>
    <row r="678" spans="1:9">
      <c r="A678" s="78" t="s">
        <v>1508</v>
      </c>
      <c r="B678" s="42" t="s">
        <v>1368</v>
      </c>
      <c r="C678" s="42" t="s">
        <v>1369</v>
      </c>
      <c r="D678" s="42" t="s">
        <v>587</v>
      </c>
      <c r="E678" s="8" t="s">
        <v>593</v>
      </c>
      <c r="F678" s="8" t="s">
        <v>593</v>
      </c>
      <c r="G678" s="66">
        <v>5184.46</v>
      </c>
      <c r="H678" s="66">
        <v>7184</v>
      </c>
      <c r="I678" s="66">
        <f t="shared" si="7"/>
        <v>1999.54</v>
      </c>
    </row>
    <row r="679" spans="1:9" hidden="1">
      <c r="A679" s="78" t="s">
        <v>1508</v>
      </c>
      <c r="B679" s="55" t="s">
        <v>1370</v>
      </c>
      <c r="C679" s="55" t="s">
        <v>1371</v>
      </c>
      <c r="D679" s="64" t="s">
        <v>587</v>
      </c>
      <c r="E679" s="48" t="s">
        <v>594</v>
      </c>
      <c r="F679" s="19" t="s">
        <v>594</v>
      </c>
      <c r="G679" s="66">
        <v>3970</v>
      </c>
      <c r="H679" s="66">
        <v>8000</v>
      </c>
      <c r="I679" s="66">
        <f t="shared" si="7"/>
        <v>4030</v>
      </c>
    </row>
    <row r="680" spans="1:9">
      <c r="A680" s="78" t="s">
        <v>1508</v>
      </c>
      <c r="B680" s="53" t="s">
        <v>1372</v>
      </c>
      <c r="C680" s="40" t="s">
        <v>1373</v>
      </c>
      <c r="D680" s="42" t="s">
        <v>587</v>
      </c>
      <c r="E680" s="8" t="s">
        <v>593</v>
      </c>
      <c r="F680" s="8" t="s">
        <v>593</v>
      </c>
      <c r="G680" s="66">
        <v>5546</v>
      </c>
      <c r="H680" s="66">
        <v>7546</v>
      </c>
      <c r="I680" s="66">
        <f t="shared" si="7"/>
        <v>2000</v>
      </c>
    </row>
    <row r="681" spans="1:9">
      <c r="A681" s="78" t="s">
        <v>1508</v>
      </c>
      <c r="B681" s="48" t="s">
        <v>1374</v>
      </c>
      <c r="C681" s="48" t="s">
        <v>1375</v>
      </c>
      <c r="D681" s="48" t="s">
        <v>587</v>
      </c>
      <c r="E681" s="8" t="s">
        <v>593</v>
      </c>
      <c r="F681" s="8" t="s">
        <v>593</v>
      </c>
      <c r="G681" s="66">
        <v>7316</v>
      </c>
      <c r="H681" s="66">
        <v>8316</v>
      </c>
      <c r="I681" s="66">
        <f t="shared" si="7"/>
        <v>1000</v>
      </c>
    </row>
    <row r="682" spans="1:9" hidden="1">
      <c r="A682" s="78" t="s">
        <v>1508</v>
      </c>
      <c r="B682" s="56" t="s">
        <v>1376</v>
      </c>
      <c r="C682" s="57" t="s">
        <v>1377</v>
      </c>
      <c r="D682" s="65" t="s">
        <v>589</v>
      </c>
      <c r="E682" s="65" t="s">
        <v>594</v>
      </c>
      <c r="F682" s="19" t="s">
        <v>594</v>
      </c>
      <c r="G682" s="67">
        <v>19000</v>
      </c>
      <c r="H682" s="67">
        <v>21000</v>
      </c>
      <c r="I682" s="67">
        <f t="shared" si="7"/>
        <v>2000</v>
      </c>
    </row>
    <row r="683" spans="1:9" ht="15.75" hidden="1">
      <c r="A683" s="78" t="s">
        <v>1508</v>
      </c>
      <c r="B683" s="45" t="s">
        <v>1378</v>
      </c>
      <c r="C683" s="45" t="s">
        <v>1379</v>
      </c>
      <c r="D683" s="62" t="s">
        <v>587</v>
      </c>
      <c r="E683" s="8" t="s">
        <v>595</v>
      </c>
      <c r="F683" s="19" t="s">
        <v>595</v>
      </c>
      <c r="G683" s="66">
        <v>9086</v>
      </c>
      <c r="H683" s="66">
        <v>9186</v>
      </c>
      <c r="I683" s="66">
        <f t="shared" si="7"/>
        <v>100</v>
      </c>
    </row>
    <row r="684" spans="1:9">
      <c r="A684" s="78" t="s">
        <v>1508</v>
      </c>
      <c r="B684" s="46" t="s">
        <v>1380</v>
      </c>
      <c r="C684" s="46" t="s">
        <v>1381</v>
      </c>
      <c r="D684" s="42" t="s">
        <v>588</v>
      </c>
      <c r="E684" s="8" t="s">
        <v>593</v>
      </c>
      <c r="F684" s="8" t="s">
        <v>593</v>
      </c>
      <c r="G684" s="66">
        <v>7800</v>
      </c>
      <c r="H684" s="66">
        <v>9800</v>
      </c>
      <c r="I684" s="66">
        <f t="shared" si="7"/>
        <v>2000</v>
      </c>
    </row>
    <row r="685" spans="1:9" hidden="1">
      <c r="A685" s="78" t="s">
        <v>1508</v>
      </c>
      <c r="B685" s="46" t="s">
        <v>1382</v>
      </c>
      <c r="C685" s="46" t="s">
        <v>1383</v>
      </c>
      <c r="D685" s="42" t="s">
        <v>587</v>
      </c>
      <c r="E685" s="46" t="s">
        <v>594</v>
      </c>
      <c r="F685" s="19" t="s">
        <v>594</v>
      </c>
      <c r="G685" s="66">
        <v>1239</v>
      </c>
      <c r="H685" s="66">
        <v>3239</v>
      </c>
      <c r="I685" s="66">
        <f t="shared" si="7"/>
        <v>2000</v>
      </c>
    </row>
    <row r="686" spans="1:9" hidden="1">
      <c r="A686" s="78" t="s">
        <v>1508</v>
      </c>
      <c r="B686" s="31" t="s">
        <v>1384</v>
      </c>
      <c r="C686" s="31" t="s">
        <v>1385</v>
      </c>
      <c r="D686" s="62" t="s">
        <v>587</v>
      </c>
      <c r="E686" s="8" t="s">
        <v>595</v>
      </c>
      <c r="F686" s="19" t="s">
        <v>595</v>
      </c>
      <c r="G686" s="66">
        <v>9088</v>
      </c>
      <c r="H686" s="66">
        <v>9088</v>
      </c>
      <c r="I686" s="66">
        <f t="shared" si="7"/>
        <v>0</v>
      </c>
    </row>
    <row r="687" spans="1:9" hidden="1">
      <c r="A687" s="78" t="s">
        <v>1508</v>
      </c>
      <c r="B687" s="53" t="s">
        <v>1386</v>
      </c>
      <c r="C687" s="53" t="s">
        <v>1387</v>
      </c>
      <c r="D687" s="42" t="s">
        <v>587</v>
      </c>
      <c r="E687" s="8" t="s">
        <v>592</v>
      </c>
      <c r="F687" s="18" t="s">
        <v>592</v>
      </c>
      <c r="G687" s="66">
        <v>9622</v>
      </c>
      <c r="H687" s="66">
        <v>9622</v>
      </c>
      <c r="I687" s="66">
        <f t="shared" si="7"/>
        <v>0</v>
      </c>
    </row>
    <row r="688" spans="1:9" hidden="1">
      <c r="A688" s="78" t="s">
        <v>1508</v>
      </c>
      <c r="B688" s="41" t="s">
        <v>1388</v>
      </c>
      <c r="C688" s="41" t="s">
        <v>1389</v>
      </c>
      <c r="D688" s="2" t="s">
        <v>588</v>
      </c>
      <c r="E688" s="48" t="s">
        <v>594</v>
      </c>
      <c r="F688" s="19" t="s">
        <v>594</v>
      </c>
      <c r="G688" s="66">
        <v>3720</v>
      </c>
      <c r="H688" s="66">
        <v>6400</v>
      </c>
      <c r="I688" s="66">
        <f t="shared" si="7"/>
        <v>2680</v>
      </c>
    </row>
    <row r="689" spans="1:9" hidden="1">
      <c r="A689" s="78" t="s">
        <v>1508</v>
      </c>
      <c r="B689" s="48" t="s">
        <v>1390</v>
      </c>
      <c r="C689" s="48" t="s">
        <v>1391</v>
      </c>
      <c r="D689" s="42" t="s">
        <v>587</v>
      </c>
      <c r="E689" s="42" t="s">
        <v>594</v>
      </c>
      <c r="F689" s="19" t="s">
        <v>594</v>
      </c>
      <c r="G689" s="66">
        <v>2537</v>
      </c>
      <c r="H689" s="66">
        <v>4860</v>
      </c>
      <c r="I689" s="66">
        <f t="shared" si="7"/>
        <v>2323</v>
      </c>
    </row>
    <row r="690" spans="1:9" hidden="1">
      <c r="A690" s="78" t="s">
        <v>1508</v>
      </c>
      <c r="B690" s="33" t="s">
        <v>1392</v>
      </c>
      <c r="C690" s="33" t="s">
        <v>1393</v>
      </c>
      <c r="D690" s="62" t="s">
        <v>587</v>
      </c>
      <c r="E690" s="8" t="s">
        <v>595</v>
      </c>
      <c r="F690" s="19" t="s">
        <v>595</v>
      </c>
      <c r="G690" s="66">
        <v>9711</v>
      </c>
      <c r="H690" s="66">
        <v>9711</v>
      </c>
      <c r="I690" s="66">
        <f t="shared" si="7"/>
        <v>0</v>
      </c>
    </row>
    <row r="691" spans="1:9" ht="15.75" hidden="1">
      <c r="A691" s="78" t="s">
        <v>1508</v>
      </c>
      <c r="B691" s="45" t="s">
        <v>1394</v>
      </c>
      <c r="C691" s="45" t="s">
        <v>1395</v>
      </c>
      <c r="D691" s="62" t="s">
        <v>588</v>
      </c>
      <c r="E691" s="8" t="s">
        <v>595</v>
      </c>
      <c r="F691" s="19" t="s">
        <v>595</v>
      </c>
      <c r="G691" s="66">
        <v>7371</v>
      </c>
      <c r="H691" s="66">
        <v>8600</v>
      </c>
      <c r="I691" s="66">
        <f t="shared" si="7"/>
        <v>1229</v>
      </c>
    </row>
    <row r="692" spans="1:9" hidden="1">
      <c r="A692" s="78" t="s">
        <v>1508</v>
      </c>
      <c r="B692" s="58" t="s">
        <v>1396</v>
      </c>
      <c r="C692" s="58" t="s">
        <v>1397</v>
      </c>
      <c r="D692" s="58" t="s">
        <v>588</v>
      </c>
      <c r="E692" s="8" t="s">
        <v>595</v>
      </c>
      <c r="F692" s="19" t="s">
        <v>595</v>
      </c>
      <c r="G692" s="66">
        <v>9000</v>
      </c>
      <c r="H692" s="66">
        <v>10000</v>
      </c>
      <c r="I692" s="66">
        <f t="shared" si="7"/>
        <v>1000</v>
      </c>
    </row>
    <row r="693" spans="1:9" hidden="1">
      <c r="A693" s="78" t="s">
        <v>1508</v>
      </c>
      <c r="B693" s="40" t="s">
        <v>1398</v>
      </c>
      <c r="C693" s="40" t="s">
        <v>1399</v>
      </c>
      <c r="D693" s="42" t="s">
        <v>587</v>
      </c>
      <c r="E693" s="8" t="s">
        <v>595</v>
      </c>
      <c r="F693" s="19" t="s">
        <v>595</v>
      </c>
      <c r="G693" s="66">
        <v>2900</v>
      </c>
      <c r="H693" s="66">
        <v>4800</v>
      </c>
      <c r="I693" s="66">
        <f t="shared" si="7"/>
        <v>1900</v>
      </c>
    </row>
    <row r="694" spans="1:9" hidden="1">
      <c r="A694" s="78" t="s">
        <v>1508</v>
      </c>
      <c r="B694" s="44" t="s">
        <v>1400</v>
      </c>
      <c r="C694" s="44" t="s">
        <v>1401</v>
      </c>
      <c r="D694" s="42" t="s">
        <v>587</v>
      </c>
      <c r="E694" s="8" t="s">
        <v>595</v>
      </c>
      <c r="F694" s="19" t="s">
        <v>595</v>
      </c>
      <c r="G694" s="66">
        <v>9617</v>
      </c>
      <c r="H694" s="66">
        <v>9617</v>
      </c>
      <c r="I694" s="66">
        <f t="shared" si="7"/>
        <v>0</v>
      </c>
    </row>
    <row r="695" spans="1:9" hidden="1">
      <c r="A695" s="78" t="s">
        <v>1508</v>
      </c>
      <c r="B695" s="59" t="s">
        <v>1402</v>
      </c>
      <c r="C695" s="59" t="s">
        <v>1403</v>
      </c>
      <c r="D695" s="2" t="s">
        <v>587</v>
      </c>
      <c r="E695" s="8" t="s">
        <v>592</v>
      </c>
      <c r="F695" s="18" t="s">
        <v>592</v>
      </c>
      <c r="G695" s="66">
        <v>9336</v>
      </c>
      <c r="H695" s="66">
        <v>9336</v>
      </c>
      <c r="I695" s="66">
        <f t="shared" si="7"/>
        <v>0</v>
      </c>
    </row>
    <row r="696" spans="1:9">
      <c r="A696" s="78" t="s">
        <v>1508</v>
      </c>
      <c r="B696" s="42" t="s">
        <v>1404</v>
      </c>
      <c r="C696" s="42" t="s">
        <v>1405</v>
      </c>
      <c r="D696" s="42" t="s">
        <v>588</v>
      </c>
      <c r="E696" s="8" t="s">
        <v>593</v>
      </c>
      <c r="F696" s="8" t="s">
        <v>593</v>
      </c>
      <c r="G696" s="66">
        <v>8100</v>
      </c>
      <c r="H696" s="66">
        <v>9200</v>
      </c>
      <c r="I696" s="66">
        <f t="shared" si="7"/>
        <v>1100</v>
      </c>
    </row>
    <row r="697" spans="1:9" hidden="1">
      <c r="A697" s="78" t="s">
        <v>1508</v>
      </c>
      <c r="B697" s="53" t="s">
        <v>1406</v>
      </c>
      <c r="C697" s="53" t="s">
        <v>1407</v>
      </c>
      <c r="D697" s="42" t="s">
        <v>586</v>
      </c>
      <c r="E697" s="8" t="s">
        <v>595</v>
      </c>
      <c r="F697" s="8" t="s">
        <v>596</v>
      </c>
      <c r="G697" s="66">
        <v>10500</v>
      </c>
      <c r="H697" s="66">
        <v>10000</v>
      </c>
      <c r="I697" s="66">
        <f t="shared" si="7"/>
        <v>-500</v>
      </c>
    </row>
    <row r="698" spans="1:9" hidden="1">
      <c r="A698" s="78" t="s">
        <v>1508</v>
      </c>
      <c r="B698" s="53" t="s">
        <v>1408</v>
      </c>
      <c r="C698" s="53" t="s">
        <v>1409</v>
      </c>
      <c r="D698" s="42" t="s">
        <v>587</v>
      </c>
      <c r="E698" s="53" t="s">
        <v>594</v>
      </c>
      <c r="F698" s="19" t="s">
        <v>594</v>
      </c>
      <c r="G698" s="66">
        <v>5983</v>
      </c>
      <c r="H698" s="66">
        <v>7983</v>
      </c>
      <c r="I698" s="66">
        <f t="shared" si="7"/>
        <v>2000</v>
      </c>
    </row>
    <row r="699" spans="1:9" hidden="1">
      <c r="A699" s="78" t="s">
        <v>1508</v>
      </c>
      <c r="B699" s="46" t="s">
        <v>1410</v>
      </c>
      <c r="C699" s="46" t="s">
        <v>1411</v>
      </c>
      <c r="D699" s="42" t="s">
        <v>586</v>
      </c>
      <c r="E699" s="42" t="s">
        <v>594</v>
      </c>
      <c r="F699" s="19" t="s">
        <v>594</v>
      </c>
      <c r="G699" s="66">
        <v>9000</v>
      </c>
      <c r="H699" s="66">
        <v>10000</v>
      </c>
      <c r="I699" s="66">
        <f t="shared" si="7"/>
        <v>1000</v>
      </c>
    </row>
    <row r="700" spans="1:9" ht="15.75" hidden="1">
      <c r="A700" s="78" t="s">
        <v>1508</v>
      </c>
      <c r="B700" s="45" t="s">
        <v>1412</v>
      </c>
      <c r="C700" s="45" t="s">
        <v>1413</v>
      </c>
      <c r="D700" s="62" t="s">
        <v>587</v>
      </c>
      <c r="E700" s="8" t="s">
        <v>595</v>
      </c>
      <c r="F700" s="19" t="s">
        <v>595</v>
      </c>
      <c r="G700" s="66">
        <v>8603</v>
      </c>
      <c r="H700" s="66">
        <v>10000</v>
      </c>
      <c r="I700" s="66">
        <f t="shared" si="7"/>
        <v>1397</v>
      </c>
    </row>
    <row r="701" spans="1:9">
      <c r="A701" s="78" t="s">
        <v>1508</v>
      </c>
      <c r="B701" s="41" t="s">
        <v>1414</v>
      </c>
      <c r="C701" s="41" t="s">
        <v>1415</v>
      </c>
      <c r="D701" s="2" t="s">
        <v>1163</v>
      </c>
      <c r="E701" s="8" t="s">
        <v>593</v>
      </c>
      <c r="F701" s="8" t="s">
        <v>596</v>
      </c>
      <c r="G701" s="66">
        <v>8926</v>
      </c>
      <c r="H701" s="66">
        <v>9926</v>
      </c>
      <c r="I701" s="66">
        <f t="shared" si="7"/>
        <v>1000</v>
      </c>
    </row>
    <row r="702" spans="1:9" hidden="1">
      <c r="A702" s="78" t="s">
        <v>1508</v>
      </c>
      <c r="B702" s="42" t="s">
        <v>1416</v>
      </c>
      <c r="C702" s="42" t="s">
        <v>1417</v>
      </c>
      <c r="D702" s="42" t="s">
        <v>587</v>
      </c>
      <c r="E702" s="8" t="s">
        <v>592</v>
      </c>
      <c r="F702" s="8" t="s">
        <v>596</v>
      </c>
      <c r="G702" s="66">
        <v>5434</v>
      </c>
      <c r="H702" s="66">
        <v>9434</v>
      </c>
      <c r="I702" s="66">
        <f t="shared" si="7"/>
        <v>4000</v>
      </c>
    </row>
    <row r="703" spans="1:9">
      <c r="A703" s="78" t="s">
        <v>1508</v>
      </c>
      <c r="B703" s="42" t="s">
        <v>1418</v>
      </c>
      <c r="C703" s="42" t="s">
        <v>1419</v>
      </c>
      <c r="D703" s="42" t="s">
        <v>587</v>
      </c>
      <c r="E703" s="8" t="s">
        <v>593</v>
      </c>
      <c r="F703" s="8" t="s">
        <v>593</v>
      </c>
      <c r="G703" s="66">
        <v>3147</v>
      </c>
      <c r="H703" s="66">
        <v>6000</v>
      </c>
      <c r="I703" s="66">
        <f t="shared" si="7"/>
        <v>2853</v>
      </c>
    </row>
    <row r="704" spans="1:9" hidden="1">
      <c r="A704" s="78" t="s">
        <v>1508</v>
      </c>
      <c r="B704" s="40" t="s">
        <v>1420</v>
      </c>
      <c r="C704" s="40" t="s">
        <v>1421</v>
      </c>
      <c r="D704" s="42" t="s">
        <v>588</v>
      </c>
      <c r="E704" s="8" t="s">
        <v>592</v>
      </c>
      <c r="F704" s="48" t="s">
        <v>1507</v>
      </c>
      <c r="G704" s="66">
        <v>13795.11</v>
      </c>
      <c r="H704" s="66">
        <v>13795.11</v>
      </c>
      <c r="I704" s="66">
        <f t="shared" si="7"/>
        <v>0</v>
      </c>
    </row>
    <row r="705" spans="1:9" hidden="1">
      <c r="A705" s="78" t="s">
        <v>1508</v>
      </c>
      <c r="B705" s="40" t="s">
        <v>1422</v>
      </c>
      <c r="C705" s="40" t="s">
        <v>1423</v>
      </c>
      <c r="D705" s="42" t="s">
        <v>587</v>
      </c>
      <c r="E705" s="8" t="s">
        <v>592</v>
      </c>
      <c r="F705" s="18" t="s">
        <v>592</v>
      </c>
      <c r="G705" s="66">
        <v>10000</v>
      </c>
      <c r="H705" s="66">
        <v>10000</v>
      </c>
      <c r="I705" s="66">
        <f t="shared" si="7"/>
        <v>0</v>
      </c>
    </row>
    <row r="706" spans="1:9">
      <c r="A706" s="78" t="s">
        <v>1508</v>
      </c>
      <c r="B706" s="41" t="s">
        <v>1424</v>
      </c>
      <c r="C706" s="41" t="s">
        <v>1425</v>
      </c>
      <c r="D706" s="2" t="s">
        <v>589</v>
      </c>
      <c r="E706" s="8" t="s">
        <v>593</v>
      </c>
      <c r="F706" s="48" t="s">
        <v>1507</v>
      </c>
      <c r="G706" s="66">
        <v>7500</v>
      </c>
      <c r="H706" s="66">
        <v>9500</v>
      </c>
      <c r="I706" s="66">
        <f t="shared" ref="I706:I746" si="8">H706-G706</f>
        <v>2000</v>
      </c>
    </row>
    <row r="707" spans="1:9" hidden="1">
      <c r="A707" s="78" t="s">
        <v>1508</v>
      </c>
      <c r="B707" s="31" t="s">
        <v>1426</v>
      </c>
      <c r="C707" s="31" t="s">
        <v>1427</v>
      </c>
      <c r="D707" s="62" t="s">
        <v>586</v>
      </c>
      <c r="E707" s="8" t="s">
        <v>595</v>
      </c>
      <c r="F707" s="8" t="s">
        <v>596</v>
      </c>
      <c r="G707" s="66">
        <v>10500</v>
      </c>
      <c r="H707" s="66">
        <v>10000</v>
      </c>
      <c r="I707" s="66">
        <f t="shared" si="8"/>
        <v>-500</v>
      </c>
    </row>
    <row r="708" spans="1:9" hidden="1">
      <c r="A708" s="78" t="s">
        <v>1508</v>
      </c>
      <c r="B708" s="41" t="s">
        <v>1428</v>
      </c>
      <c r="C708" s="41" t="s">
        <v>1429</v>
      </c>
      <c r="D708" s="2" t="s">
        <v>589</v>
      </c>
      <c r="E708" s="8" t="s">
        <v>592</v>
      </c>
      <c r="F708" s="8" t="s">
        <v>596</v>
      </c>
      <c r="G708" s="66">
        <v>10000</v>
      </c>
      <c r="H708" s="66">
        <v>10000</v>
      </c>
      <c r="I708" s="66">
        <f t="shared" si="8"/>
        <v>0</v>
      </c>
    </row>
    <row r="709" spans="1:9" hidden="1">
      <c r="A709" s="78" t="s">
        <v>1508</v>
      </c>
      <c r="B709" s="42" t="s">
        <v>1430</v>
      </c>
      <c r="C709" s="42" t="s">
        <v>1431</v>
      </c>
      <c r="D709" s="42" t="s">
        <v>587</v>
      </c>
      <c r="E709" s="42" t="s">
        <v>594</v>
      </c>
      <c r="F709" s="19" t="s">
        <v>594</v>
      </c>
      <c r="G709" s="66">
        <v>5660.46</v>
      </c>
      <c r="H709" s="66">
        <v>6600</v>
      </c>
      <c r="I709" s="66">
        <f t="shared" si="8"/>
        <v>939.54</v>
      </c>
    </row>
    <row r="710" spans="1:9" hidden="1">
      <c r="A710" s="78" t="s">
        <v>1508</v>
      </c>
      <c r="B710" s="31" t="s">
        <v>1432</v>
      </c>
      <c r="C710" s="31" t="s">
        <v>1433</v>
      </c>
      <c r="D710" s="62" t="s">
        <v>587</v>
      </c>
      <c r="E710" s="8" t="s">
        <v>595</v>
      </c>
      <c r="F710" s="19" t="s">
        <v>595</v>
      </c>
      <c r="G710" s="66">
        <v>10080</v>
      </c>
      <c r="H710" s="66">
        <v>10000</v>
      </c>
      <c r="I710" s="66">
        <f t="shared" si="8"/>
        <v>-80</v>
      </c>
    </row>
    <row r="711" spans="1:9" hidden="1">
      <c r="A711" s="78" t="s">
        <v>1508</v>
      </c>
      <c r="B711" s="49" t="s">
        <v>1434</v>
      </c>
      <c r="C711" s="49" t="s">
        <v>1435</v>
      </c>
      <c r="D711" s="42" t="s">
        <v>587</v>
      </c>
      <c r="E711" s="8" t="s">
        <v>595</v>
      </c>
      <c r="F711" s="19" t="s">
        <v>595</v>
      </c>
      <c r="G711" s="66">
        <v>8496</v>
      </c>
      <c r="H711" s="66">
        <v>9496</v>
      </c>
      <c r="I711" s="66">
        <f t="shared" si="8"/>
        <v>1000</v>
      </c>
    </row>
    <row r="712" spans="1:9" hidden="1">
      <c r="A712" s="78" t="s">
        <v>1508</v>
      </c>
      <c r="B712" s="40" t="s">
        <v>1436</v>
      </c>
      <c r="C712" s="40" t="s">
        <v>1437</v>
      </c>
      <c r="D712" s="42" t="s">
        <v>589</v>
      </c>
      <c r="E712" s="8" t="s">
        <v>592</v>
      </c>
      <c r="F712" s="8" t="s">
        <v>596</v>
      </c>
      <c r="G712" s="66">
        <v>13650</v>
      </c>
      <c r="H712" s="66">
        <v>13500</v>
      </c>
      <c r="I712" s="66">
        <f t="shared" si="8"/>
        <v>-150</v>
      </c>
    </row>
    <row r="713" spans="1:9" hidden="1">
      <c r="A713" s="78" t="s">
        <v>1508</v>
      </c>
      <c r="B713" s="41" t="s">
        <v>1438</v>
      </c>
      <c r="C713" s="41" t="s">
        <v>1439</v>
      </c>
      <c r="D713" s="62" t="s">
        <v>589</v>
      </c>
      <c r="E713" s="8" t="s">
        <v>592</v>
      </c>
      <c r="F713" s="48" t="s">
        <v>1507</v>
      </c>
      <c r="G713" s="66">
        <v>9790</v>
      </c>
      <c r="H713" s="66">
        <v>9790</v>
      </c>
      <c r="I713" s="66">
        <f t="shared" si="8"/>
        <v>0</v>
      </c>
    </row>
    <row r="714" spans="1:9" hidden="1">
      <c r="A714" s="78" t="s">
        <v>1508</v>
      </c>
      <c r="B714" s="31" t="s">
        <v>1440</v>
      </c>
      <c r="C714" s="31" t="s">
        <v>1441</v>
      </c>
      <c r="D714" s="31" t="s">
        <v>587</v>
      </c>
      <c r="E714" s="8" t="s">
        <v>595</v>
      </c>
      <c r="F714" s="19" t="s">
        <v>595</v>
      </c>
      <c r="G714" s="66">
        <v>10232</v>
      </c>
      <c r="H714" s="66">
        <v>10000</v>
      </c>
      <c r="I714" s="66">
        <f t="shared" si="8"/>
        <v>-232</v>
      </c>
    </row>
    <row r="715" spans="1:9">
      <c r="A715" s="78" t="s">
        <v>1508</v>
      </c>
      <c r="B715" s="41" t="s">
        <v>1442</v>
      </c>
      <c r="C715" s="41" t="s">
        <v>1443</v>
      </c>
      <c r="D715" s="2" t="s">
        <v>587</v>
      </c>
      <c r="E715" s="8" t="s">
        <v>593</v>
      </c>
      <c r="F715" s="8" t="s">
        <v>593</v>
      </c>
      <c r="G715" s="66">
        <v>4893</v>
      </c>
      <c r="H715" s="66">
        <v>6893</v>
      </c>
      <c r="I715" s="66">
        <f t="shared" si="8"/>
        <v>2000</v>
      </c>
    </row>
    <row r="716" spans="1:9" hidden="1">
      <c r="A716" s="78" t="s">
        <v>1508</v>
      </c>
      <c r="B716" s="42" t="s">
        <v>1444</v>
      </c>
      <c r="C716" s="42" t="s">
        <v>1445</v>
      </c>
      <c r="D716" s="42" t="s">
        <v>589</v>
      </c>
      <c r="E716" s="8" t="s">
        <v>592</v>
      </c>
      <c r="F716" s="8" t="s">
        <v>596</v>
      </c>
      <c r="G716" s="66">
        <v>10000</v>
      </c>
      <c r="H716" s="66">
        <v>10000</v>
      </c>
      <c r="I716" s="66">
        <f t="shared" si="8"/>
        <v>0</v>
      </c>
    </row>
    <row r="717" spans="1:9" hidden="1">
      <c r="A717" s="78" t="s">
        <v>1508</v>
      </c>
      <c r="B717" s="53" t="s">
        <v>1446</v>
      </c>
      <c r="C717" s="53" t="s">
        <v>1447</v>
      </c>
      <c r="D717" s="42" t="s">
        <v>587</v>
      </c>
      <c r="E717" s="53" t="s">
        <v>594</v>
      </c>
      <c r="F717" s="19" t="s">
        <v>594</v>
      </c>
      <c r="G717" s="66">
        <v>8850</v>
      </c>
      <c r="H717" s="66">
        <v>9850</v>
      </c>
      <c r="I717" s="66">
        <f t="shared" si="8"/>
        <v>1000</v>
      </c>
    </row>
    <row r="718" spans="1:9" hidden="1">
      <c r="A718" s="78" t="s">
        <v>1508</v>
      </c>
      <c r="B718" s="58" t="s">
        <v>1448</v>
      </c>
      <c r="C718" s="58" t="s">
        <v>1449</v>
      </c>
      <c r="D718" s="58" t="s">
        <v>586</v>
      </c>
      <c r="E718" s="8" t="s">
        <v>595</v>
      </c>
      <c r="F718" s="19" t="s">
        <v>595</v>
      </c>
      <c r="G718" s="66">
        <v>9000</v>
      </c>
      <c r="H718" s="66">
        <v>10000</v>
      </c>
      <c r="I718" s="66">
        <f t="shared" si="8"/>
        <v>1000</v>
      </c>
    </row>
    <row r="719" spans="1:9" hidden="1">
      <c r="A719" s="78" t="s">
        <v>1508</v>
      </c>
      <c r="B719" s="44" t="s">
        <v>1450</v>
      </c>
      <c r="C719" s="44" t="s">
        <v>1451</v>
      </c>
      <c r="D719" s="42" t="s">
        <v>587</v>
      </c>
      <c r="E719" s="8" t="s">
        <v>595</v>
      </c>
      <c r="F719" s="19" t="s">
        <v>595</v>
      </c>
      <c r="G719" s="66">
        <v>6835</v>
      </c>
      <c r="H719" s="66">
        <v>8835</v>
      </c>
      <c r="I719" s="66">
        <f t="shared" si="8"/>
        <v>2000</v>
      </c>
    </row>
    <row r="720" spans="1:9" ht="15.75" hidden="1">
      <c r="A720" s="78" t="s">
        <v>1508</v>
      </c>
      <c r="B720" s="45" t="s">
        <v>1452</v>
      </c>
      <c r="C720" s="45" t="s">
        <v>1453</v>
      </c>
      <c r="D720" s="62" t="s">
        <v>587</v>
      </c>
      <c r="E720" s="8" t="s">
        <v>595</v>
      </c>
      <c r="F720" s="19" t="s">
        <v>595</v>
      </c>
      <c r="G720" s="66">
        <v>2373</v>
      </c>
      <c r="H720" s="66">
        <v>3600</v>
      </c>
      <c r="I720" s="66">
        <f t="shared" si="8"/>
        <v>1227</v>
      </c>
    </row>
    <row r="721" spans="1:9">
      <c r="A721" s="78" t="s">
        <v>1508</v>
      </c>
      <c r="B721" s="40" t="s">
        <v>1454</v>
      </c>
      <c r="C721" s="40" t="s">
        <v>1455</v>
      </c>
      <c r="D721" s="42" t="s">
        <v>587</v>
      </c>
      <c r="E721" s="8" t="s">
        <v>593</v>
      </c>
      <c r="F721" s="8" t="s">
        <v>593</v>
      </c>
      <c r="G721" s="66">
        <v>3450</v>
      </c>
      <c r="H721" s="66">
        <v>6600</v>
      </c>
      <c r="I721" s="66">
        <f t="shared" si="8"/>
        <v>3150</v>
      </c>
    </row>
    <row r="722" spans="1:9">
      <c r="A722" s="78" t="s">
        <v>1508</v>
      </c>
      <c r="B722" s="42" t="s">
        <v>1456</v>
      </c>
      <c r="C722" s="42" t="s">
        <v>1457</v>
      </c>
      <c r="D722" s="42" t="s">
        <v>587</v>
      </c>
      <c r="E722" s="8" t="s">
        <v>593</v>
      </c>
      <c r="F722" s="8" t="s">
        <v>593</v>
      </c>
      <c r="G722" s="66">
        <v>6370</v>
      </c>
      <c r="H722" s="66">
        <v>9370</v>
      </c>
      <c r="I722" s="66">
        <f t="shared" si="8"/>
        <v>3000</v>
      </c>
    </row>
    <row r="723" spans="1:9" hidden="1">
      <c r="A723" s="78" t="s">
        <v>1508</v>
      </c>
      <c r="B723" s="31" t="s">
        <v>1458</v>
      </c>
      <c r="C723" s="31" t="s">
        <v>1459</v>
      </c>
      <c r="D723" s="62" t="s">
        <v>589</v>
      </c>
      <c r="E723" s="8" t="s">
        <v>595</v>
      </c>
      <c r="F723" s="19" t="s">
        <v>595</v>
      </c>
      <c r="G723" s="66">
        <v>8350</v>
      </c>
      <c r="H723" s="66">
        <v>9350</v>
      </c>
      <c r="I723" s="66">
        <f t="shared" si="8"/>
        <v>1000</v>
      </c>
    </row>
    <row r="724" spans="1:9" hidden="1">
      <c r="A724" s="78" t="s">
        <v>1508</v>
      </c>
      <c r="B724" s="48" t="s">
        <v>1460</v>
      </c>
      <c r="C724" s="48" t="s">
        <v>1461</v>
      </c>
      <c r="D724" s="42" t="s">
        <v>587</v>
      </c>
      <c r="E724" s="42" t="s">
        <v>594</v>
      </c>
      <c r="F724" s="19" t="s">
        <v>594</v>
      </c>
      <c r="G724" s="66">
        <v>9215</v>
      </c>
      <c r="H724" s="66">
        <v>9215</v>
      </c>
      <c r="I724" s="66">
        <f t="shared" si="8"/>
        <v>0</v>
      </c>
    </row>
    <row r="725" spans="1:9" hidden="1">
      <c r="A725" s="78" t="s">
        <v>1508</v>
      </c>
      <c r="B725" s="42" t="s">
        <v>1462</v>
      </c>
      <c r="C725" s="42" t="s">
        <v>1463</v>
      </c>
      <c r="D725" s="42" t="s">
        <v>588</v>
      </c>
      <c r="E725" s="42" t="s">
        <v>594</v>
      </c>
      <c r="F725" s="19" t="s">
        <v>594</v>
      </c>
      <c r="G725" s="66">
        <v>9450</v>
      </c>
      <c r="H725" s="66">
        <v>9450</v>
      </c>
      <c r="I725" s="66">
        <f t="shared" si="8"/>
        <v>0</v>
      </c>
    </row>
    <row r="726" spans="1:9" hidden="1">
      <c r="A726" s="78" t="s">
        <v>1508</v>
      </c>
      <c r="B726" s="60" t="s">
        <v>1464</v>
      </c>
      <c r="C726" s="61" t="s">
        <v>317</v>
      </c>
      <c r="D726" s="42" t="s">
        <v>587</v>
      </c>
      <c r="E726" s="8" t="s">
        <v>592</v>
      </c>
      <c r="F726" s="18" t="s">
        <v>592</v>
      </c>
      <c r="G726" s="66">
        <v>5898</v>
      </c>
      <c r="H726" s="66">
        <v>7898</v>
      </c>
      <c r="I726" s="66">
        <f t="shared" si="8"/>
        <v>2000</v>
      </c>
    </row>
    <row r="727" spans="1:9">
      <c r="A727" s="78" t="s">
        <v>1508</v>
      </c>
      <c r="B727" s="42" t="s">
        <v>1465</v>
      </c>
      <c r="C727" s="42" t="s">
        <v>1466</v>
      </c>
      <c r="D727" s="42" t="s">
        <v>589</v>
      </c>
      <c r="E727" s="8" t="s">
        <v>593</v>
      </c>
      <c r="F727" s="8" t="s">
        <v>596</v>
      </c>
      <c r="G727" s="66">
        <v>8500</v>
      </c>
      <c r="H727" s="66">
        <v>9500</v>
      </c>
      <c r="I727" s="66">
        <f t="shared" si="8"/>
        <v>1000</v>
      </c>
    </row>
    <row r="728" spans="1:9">
      <c r="A728" s="78" t="s">
        <v>1508</v>
      </c>
      <c r="B728" s="40" t="s">
        <v>1467</v>
      </c>
      <c r="C728" s="40" t="s">
        <v>1468</v>
      </c>
      <c r="D728" s="42" t="s">
        <v>1164</v>
      </c>
      <c r="E728" s="8" t="s">
        <v>593</v>
      </c>
      <c r="F728" s="8" t="s">
        <v>593</v>
      </c>
      <c r="G728" s="66">
        <v>9450</v>
      </c>
      <c r="H728" s="66">
        <v>9450</v>
      </c>
      <c r="I728" s="66">
        <f t="shared" si="8"/>
        <v>0</v>
      </c>
    </row>
    <row r="729" spans="1:9" hidden="1">
      <c r="A729" s="78" t="s">
        <v>1508</v>
      </c>
      <c r="B729" s="49" t="s">
        <v>1469</v>
      </c>
      <c r="C729" s="49" t="s">
        <v>1470</v>
      </c>
      <c r="D729" s="42" t="s">
        <v>587</v>
      </c>
      <c r="E729" s="8" t="s">
        <v>595</v>
      </c>
      <c r="F729" s="19" t="s">
        <v>595</v>
      </c>
      <c r="G729" s="66">
        <v>10000</v>
      </c>
      <c r="H729" s="66">
        <v>10000</v>
      </c>
      <c r="I729" s="66">
        <f t="shared" si="8"/>
        <v>0</v>
      </c>
    </row>
    <row r="730" spans="1:9">
      <c r="A730" s="78" t="s">
        <v>1508</v>
      </c>
      <c r="B730" s="40" t="s">
        <v>1471</v>
      </c>
      <c r="C730" s="40" t="s">
        <v>1472</v>
      </c>
      <c r="D730" s="42" t="s">
        <v>1164</v>
      </c>
      <c r="E730" s="8" t="s">
        <v>593</v>
      </c>
      <c r="F730" s="8" t="s">
        <v>593</v>
      </c>
      <c r="G730" s="66">
        <v>9450</v>
      </c>
      <c r="H730" s="66">
        <v>9450</v>
      </c>
      <c r="I730" s="66">
        <f t="shared" si="8"/>
        <v>0</v>
      </c>
    </row>
    <row r="731" spans="1:9">
      <c r="A731" s="78" t="s">
        <v>1508</v>
      </c>
      <c r="B731" s="44" t="s">
        <v>1473</v>
      </c>
      <c r="C731" s="44" t="s">
        <v>1474</v>
      </c>
      <c r="D731" s="42" t="s">
        <v>587</v>
      </c>
      <c r="E731" s="8" t="s">
        <v>593</v>
      </c>
      <c r="F731" s="8" t="s">
        <v>593</v>
      </c>
      <c r="G731" s="66">
        <v>9440</v>
      </c>
      <c r="H731" s="66">
        <v>9440</v>
      </c>
      <c r="I731" s="66">
        <f t="shared" si="8"/>
        <v>0</v>
      </c>
    </row>
    <row r="732" spans="1:9">
      <c r="A732" s="78" t="s">
        <v>1508</v>
      </c>
      <c r="B732" s="48" t="s">
        <v>1475</v>
      </c>
      <c r="C732" s="48" t="s">
        <v>1476</v>
      </c>
      <c r="D732" s="42" t="s">
        <v>587</v>
      </c>
      <c r="E732" s="8" t="s">
        <v>593</v>
      </c>
      <c r="F732" s="8" t="s">
        <v>593</v>
      </c>
      <c r="G732" s="66">
        <v>9440</v>
      </c>
      <c r="H732" s="66">
        <v>9440</v>
      </c>
      <c r="I732" s="66">
        <f t="shared" si="8"/>
        <v>0</v>
      </c>
    </row>
    <row r="733" spans="1:9" ht="28.5" hidden="1">
      <c r="A733" s="78" t="s">
        <v>1508</v>
      </c>
      <c r="B733" s="40" t="s">
        <v>1477</v>
      </c>
      <c r="C733" s="40" t="s">
        <v>1478</v>
      </c>
      <c r="D733" s="42" t="s">
        <v>587</v>
      </c>
      <c r="E733" s="8" t="s">
        <v>595</v>
      </c>
      <c r="F733" s="19" t="s">
        <v>595</v>
      </c>
      <c r="G733" s="66">
        <v>7619</v>
      </c>
      <c r="H733" s="66">
        <v>10000</v>
      </c>
      <c r="I733" s="66">
        <f t="shared" si="8"/>
        <v>2381</v>
      </c>
    </row>
    <row r="734" spans="1:9" hidden="1">
      <c r="A734" s="78" t="s">
        <v>1508</v>
      </c>
      <c r="B734" s="58" t="s">
        <v>1479</v>
      </c>
      <c r="C734" s="58" t="s">
        <v>1480</v>
      </c>
      <c r="D734" s="58" t="s">
        <v>587</v>
      </c>
      <c r="E734" s="8" t="s">
        <v>595</v>
      </c>
      <c r="F734" s="19" t="s">
        <v>595</v>
      </c>
      <c r="G734" s="66">
        <v>10130</v>
      </c>
      <c r="H734" s="66">
        <v>10000</v>
      </c>
      <c r="I734" s="66">
        <f t="shared" si="8"/>
        <v>-130</v>
      </c>
    </row>
    <row r="735" spans="1:9" hidden="1">
      <c r="A735" s="78" t="s">
        <v>1508</v>
      </c>
      <c r="B735" s="48" t="s">
        <v>1481</v>
      </c>
      <c r="C735" s="44" t="s">
        <v>1482</v>
      </c>
      <c r="D735" s="42" t="s">
        <v>587</v>
      </c>
      <c r="E735" s="8" t="s">
        <v>592</v>
      </c>
      <c r="F735" s="18" t="s">
        <v>592</v>
      </c>
      <c r="G735" s="66">
        <v>3578</v>
      </c>
      <c r="H735" s="66">
        <v>6578</v>
      </c>
      <c r="I735" s="66">
        <f t="shared" si="8"/>
        <v>3000</v>
      </c>
    </row>
    <row r="736" spans="1:9">
      <c r="A736" s="78" t="s">
        <v>1508</v>
      </c>
      <c r="B736" s="42" t="s">
        <v>1483</v>
      </c>
      <c r="C736" s="42" t="s">
        <v>1484</v>
      </c>
      <c r="D736" s="42" t="s">
        <v>587</v>
      </c>
      <c r="E736" s="8" t="s">
        <v>593</v>
      </c>
      <c r="F736" s="8" t="s">
        <v>593</v>
      </c>
      <c r="G736" s="66">
        <v>9435</v>
      </c>
      <c r="H736" s="66">
        <v>9435</v>
      </c>
      <c r="I736" s="66">
        <f t="shared" si="8"/>
        <v>0</v>
      </c>
    </row>
    <row r="737" spans="1:9">
      <c r="A737" s="78" t="s">
        <v>1508</v>
      </c>
      <c r="B737" s="48" t="s">
        <v>1485</v>
      </c>
      <c r="C737" s="48" t="s">
        <v>1486</v>
      </c>
      <c r="D737" s="42" t="s">
        <v>588</v>
      </c>
      <c r="E737" s="8" t="s">
        <v>593</v>
      </c>
      <c r="F737" s="8" t="s">
        <v>593</v>
      </c>
      <c r="G737" s="66">
        <v>7600</v>
      </c>
      <c r="H737" s="66">
        <v>7600</v>
      </c>
      <c r="I737" s="66">
        <f t="shared" si="8"/>
        <v>0</v>
      </c>
    </row>
    <row r="738" spans="1:9">
      <c r="A738" s="78" t="s">
        <v>1508</v>
      </c>
      <c r="B738" s="42" t="s">
        <v>1487</v>
      </c>
      <c r="C738" s="42" t="s">
        <v>1488</v>
      </c>
      <c r="D738" s="42" t="s">
        <v>589</v>
      </c>
      <c r="E738" s="8" t="s">
        <v>593</v>
      </c>
      <c r="F738" s="8" t="s">
        <v>593</v>
      </c>
      <c r="G738" s="66">
        <v>10500</v>
      </c>
      <c r="H738" s="66">
        <v>10000</v>
      </c>
      <c r="I738" s="66">
        <f t="shared" si="8"/>
        <v>-500</v>
      </c>
    </row>
    <row r="739" spans="1:9">
      <c r="A739" s="78" t="s">
        <v>1508</v>
      </c>
      <c r="B739" s="41" t="s">
        <v>1489</v>
      </c>
      <c r="C739" s="41" t="s">
        <v>1490</v>
      </c>
      <c r="D739" s="62" t="s">
        <v>587</v>
      </c>
      <c r="E739" s="8" t="s">
        <v>593</v>
      </c>
      <c r="F739" s="48" t="s">
        <v>1507</v>
      </c>
      <c r="G739" s="66">
        <v>10000</v>
      </c>
      <c r="H739" s="66">
        <v>10000</v>
      </c>
      <c r="I739" s="66">
        <f t="shared" si="8"/>
        <v>0</v>
      </c>
    </row>
    <row r="740" spans="1:9">
      <c r="A740" s="78" t="s">
        <v>1508</v>
      </c>
      <c r="B740" s="48" t="s">
        <v>1491</v>
      </c>
      <c r="C740" s="40" t="s">
        <v>1492</v>
      </c>
      <c r="D740" s="42" t="s">
        <v>587</v>
      </c>
      <c r="E740" s="8" t="s">
        <v>593</v>
      </c>
      <c r="F740" s="8" t="s">
        <v>593</v>
      </c>
      <c r="G740" s="66">
        <v>9435</v>
      </c>
      <c r="H740" s="66">
        <v>9435</v>
      </c>
      <c r="I740" s="66">
        <f t="shared" si="8"/>
        <v>0</v>
      </c>
    </row>
    <row r="741" spans="1:9" hidden="1">
      <c r="A741" s="78" t="s">
        <v>1508</v>
      </c>
      <c r="B741" s="41" t="s">
        <v>1493</v>
      </c>
      <c r="C741" s="41" t="s">
        <v>1494</v>
      </c>
      <c r="D741" s="41" t="s">
        <v>587</v>
      </c>
      <c r="E741" s="8" t="s">
        <v>592</v>
      </c>
      <c r="F741" s="18" t="s">
        <v>592</v>
      </c>
      <c r="G741" s="66">
        <v>9628</v>
      </c>
      <c r="H741" s="66">
        <v>9628</v>
      </c>
      <c r="I741" s="66">
        <f t="shared" si="8"/>
        <v>0</v>
      </c>
    </row>
    <row r="742" spans="1:9" hidden="1">
      <c r="A742" s="78" t="s">
        <v>1508</v>
      </c>
      <c r="B742" s="42" t="s">
        <v>1495</v>
      </c>
      <c r="C742" s="42" t="s">
        <v>1496</v>
      </c>
      <c r="D742" s="42" t="s">
        <v>1505</v>
      </c>
      <c r="E742" s="42" t="s">
        <v>594</v>
      </c>
      <c r="F742" s="19" t="s">
        <v>594</v>
      </c>
      <c r="G742" s="66">
        <v>4914</v>
      </c>
      <c r="H742" s="66">
        <v>7914</v>
      </c>
      <c r="I742" s="66">
        <f t="shared" si="8"/>
        <v>3000</v>
      </c>
    </row>
    <row r="743" spans="1:9" hidden="1">
      <c r="A743" s="78" t="s">
        <v>1508</v>
      </c>
      <c r="B743" s="49" t="s">
        <v>1497</v>
      </c>
      <c r="C743" s="49" t="s">
        <v>1498</v>
      </c>
      <c r="D743" s="42" t="s">
        <v>587</v>
      </c>
      <c r="E743" s="8" t="s">
        <v>595</v>
      </c>
      <c r="F743" s="19" t="s">
        <v>595</v>
      </c>
      <c r="G743" s="66">
        <v>3354</v>
      </c>
      <c r="H743" s="66">
        <v>6534</v>
      </c>
      <c r="I743" s="66">
        <f t="shared" si="8"/>
        <v>3180</v>
      </c>
    </row>
    <row r="744" spans="1:9" hidden="1">
      <c r="A744" s="78" t="s">
        <v>1508</v>
      </c>
      <c r="B744" s="40" t="s">
        <v>1499</v>
      </c>
      <c r="C744" s="40" t="s">
        <v>1500</v>
      </c>
      <c r="D744" s="42" t="s">
        <v>587</v>
      </c>
      <c r="E744" s="8" t="s">
        <v>592</v>
      </c>
      <c r="F744" s="18" t="s">
        <v>592</v>
      </c>
      <c r="G744" s="66">
        <v>3776</v>
      </c>
      <c r="H744" s="66">
        <v>6600</v>
      </c>
      <c r="I744" s="66">
        <f t="shared" si="8"/>
        <v>2824</v>
      </c>
    </row>
    <row r="745" spans="1:9" hidden="1">
      <c r="A745" s="78" t="s">
        <v>1508</v>
      </c>
      <c r="B745" s="42" t="s">
        <v>1501</v>
      </c>
      <c r="C745" s="42" t="s">
        <v>1502</v>
      </c>
      <c r="D745" s="42" t="s">
        <v>587</v>
      </c>
      <c r="E745" s="8" t="s">
        <v>595</v>
      </c>
      <c r="F745" s="19" t="s">
        <v>595</v>
      </c>
      <c r="G745" s="66">
        <v>9198</v>
      </c>
      <c r="H745" s="66">
        <v>9198</v>
      </c>
      <c r="I745" s="66">
        <f t="shared" si="8"/>
        <v>0</v>
      </c>
    </row>
    <row r="746" spans="1:9">
      <c r="A746" s="78" t="s">
        <v>1508</v>
      </c>
      <c r="B746" s="42" t="s">
        <v>1503</v>
      </c>
      <c r="C746" s="42" t="s">
        <v>1504</v>
      </c>
      <c r="D746" s="42" t="s">
        <v>586</v>
      </c>
      <c r="E746" s="8" t="s">
        <v>593</v>
      </c>
      <c r="F746" s="8" t="s">
        <v>593</v>
      </c>
      <c r="G746" s="66">
        <v>10000</v>
      </c>
      <c r="H746" s="66">
        <v>10000</v>
      </c>
      <c r="I746" s="66">
        <f t="shared" si="8"/>
        <v>0</v>
      </c>
    </row>
    <row r="747" spans="1:9" hidden="1">
      <c r="A747" s="78" t="s">
        <v>1870</v>
      </c>
      <c r="B747" s="68" t="s">
        <v>1509</v>
      </c>
      <c r="C747" s="68" t="s">
        <v>1510</v>
      </c>
      <c r="D747" s="72" t="s">
        <v>1864</v>
      </c>
      <c r="E747" s="8" t="s">
        <v>595</v>
      </c>
      <c r="F747" s="19" t="s">
        <v>595</v>
      </c>
      <c r="G747" s="75">
        <v>3585</v>
      </c>
      <c r="H747" s="75">
        <v>9500</v>
      </c>
      <c r="I747" s="75">
        <f>H747-G747</f>
        <v>5915</v>
      </c>
    </row>
    <row r="748" spans="1:9" hidden="1">
      <c r="A748" s="78" t="s">
        <v>1870</v>
      </c>
      <c r="B748" s="68" t="s">
        <v>1511</v>
      </c>
      <c r="C748" s="68" t="s">
        <v>1512</v>
      </c>
      <c r="D748" s="72" t="s">
        <v>589</v>
      </c>
      <c r="E748" s="8" t="s">
        <v>595</v>
      </c>
      <c r="F748" s="19" t="s">
        <v>595</v>
      </c>
      <c r="G748" s="75">
        <v>10000</v>
      </c>
      <c r="H748" s="75">
        <v>10000</v>
      </c>
      <c r="I748" s="75">
        <f t="shared" ref="I748:I811" si="9">H748-G748</f>
        <v>0</v>
      </c>
    </row>
    <row r="749" spans="1:9">
      <c r="A749" s="78" t="s">
        <v>1870</v>
      </c>
      <c r="B749" s="68" t="s">
        <v>1513</v>
      </c>
      <c r="C749" s="68" t="s">
        <v>1514</v>
      </c>
      <c r="D749" s="72" t="s">
        <v>587</v>
      </c>
      <c r="E749" s="8" t="s">
        <v>593</v>
      </c>
      <c r="F749" s="8" t="s">
        <v>593</v>
      </c>
      <c r="G749" s="75">
        <v>9164.58</v>
      </c>
      <c r="H749" s="75">
        <v>9500</v>
      </c>
      <c r="I749" s="75">
        <f t="shared" si="9"/>
        <v>335.42000000000007</v>
      </c>
    </row>
    <row r="750" spans="1:9">
      <c r="A750" s="78" t="s">
        <v>1870</v>
      </c>
      <c r="B750" s="68" t="s">
        <v>1515</v>
      </c>
      <c r="C750" s="68" t="s">
        <v>1516</v>
      </c>
      <c r="D750" s="72" t="s">
        <v>589</v>
      </c>
      <c r="E750" s="8" t="s">
        <v>593</v>
      </c>
      <c r="F750" s="48" t="s">
        <v>1507</v>
      </c>
      <c r="G750" s="75">
        <v>10000</v>
      </c>
      <c r="H750" s="75">
        <v>10000</v>
      </c>
      <c r="I750" s="75">
        <f t="shared" si="9"/>
        <v>0</v>
      </c>
    </row>
    <row r="751" spans="1:9" hidden="1">
      <c r="A751" s="78" t="s">
        <v>1870</v>
      </c>
      <c r="B751" s="68" t="s">
        <v>1517</v>
      </c>
      <c r="C751" s="68" t="s">
        <v>1518</v>
      </c>
      <c r="D751" s="72" t="s">
        <v>586</v>
      </c>
      <c r="E751" s="8" t="s">
        <v>592</v>
      </c>
      <c r="F751" s="48" t="s">
        <v>1507</v>
      </c>
      <c r="G751" s="75">
        <v>11000</v>
      </c>
      <c r="H751" s="75">
        <v>10000</v>
      </c>
      <c r="I751" s="75">
        <f t="shared" si="9"/>
        <v>-1000</v>
      </c>
    </row>
    <row r="752" spans="1:9">
      <c r="A752" s="78" t="s">
        <v>1870</v>
      </c>
      <c r="B752" s="68" t="s">
        <v>1519</v>
      </c>
      <c r="C752" s="68" t="s">
        <v>1520</v>
      </c>
      <c r="D752" s="72" t="s">
        <v>586</v>
      </c>
      <c r="E752" s="8" t="s">
        <v>593</v>
      </c>
      <c r="F752" s="8" t="s">
        <v>593</v>
      </c>
      <c r="G752" s="75">
        <v>10000</v>
      </c>
      <c r="H752" s="75">
        <v>10000</v>
      </c>
      <c r="I752" s="75">
        <f t="shared" si="9"/>
        <v>0</v>
      </c>
    </row>
    <row r="753" spans="1:9" hidden="1">
      <c r="A753" s="78" t="s">
        <v>1870</v>
      </c>
      <c r="B753" s="68" t="s">
        <v>1521</v>
      </c>
      <c r="C753" s="68" t="s">
        <v>1522</v>
      </c>
      <c r="D753" s="72" t="s">
        <v>1864</v>
      </c>
      <c r="E753" s="8" t="s">
        <v>592</v>
      </c>
      <c r="F753" s="8" t="s">
        <v>596</v>
      </c>
      <c r="G753" s="75">
        <f>30+8956</f>
        <v>8986</v>
      </c>
      <c r="H753" s="75">
        <v>9500</v>
      </c>
      <c r="I753" s="75">
        <f t="shared" si="9"/>
        <v>514</v>
      </c>
    </row>
    <row r="754" spans="1:9">
      <c r="A754" s="78" t="s">
        <v>1870</v>
      </c>
      <c r="B754" s="68" t="s">
        <v>1523</v>
      </c>
      <c r="C754" s="68" t="s">
        <v>1524</v>
      </c>
      <c r="D754" s="72" t="s">
        <v>587</v>
      </c>
      <c r="E754" s="8" t="s">
        <v>593</v>
      </c>
      <c r="F754" s="8" t="s">
        <v>593</v>
      </c>
      <c r="G754" s="75">
        <v>8548</v>
      </c>
      <c r="H754" s="75">
        <v>9548</v>
      </c>
      <c r="I754" s="75">
        <f t="shared" si="9"/>
        <v>1000</v>
      </c>
    </row>
    <row r="755" spans="1:9">
      <c r="A755" s="78" t="s">
        <v>1870</v>
      </c>
      <c r="B755" s="68" t="s">
        <v>1525</v>
      </c>
      <c r="C755" s="68" t="s">
        <v>1526</v>
      </c>
      <c r="D755" s="72" t="s">
        <v>587</v>
      </c>
      <c r="E755" s="8" t="s">
        <v>593</v>
      </c>
      <c r="F755" s="8" t="s">
        <v>593</v>
      </c>
      <c r="G755" s="75">
        <v>4725</v>
      </c>
      <c r="H755" s="75">
        <v>7725</v>
      </c>
      <c r="I755" s="75">
        <f t="shared" si="9"/>
        <v>3000</v>
      </c>
    </row>
    <row r="756" spans="1:9">
      <c r="A756" s="78" t="s">
        <v>1870</v>
      </c>
      <c r="B756" s="68" t="s">
        <v>1527</v>
      </c>
      <c r="C756" s="68" t="s">
        <v>1528</v>
      </c>
      <c r="D756" s="72" t="s">
        <v>587</v>
      </c>
      <c r="E756" s="8" t="s">
        <v>593</v>
      </c>
      <c r="F756" s="8" t="s">
        <v>593</v>
      </c>
      <c r="G756" s="75">
        <v>4717.6400000000003</v>
      </c>
      <c r="H756" s="75">
        <v>9717.64</v>
      </c>
      <c r="I756" s="75">
        <f t="shared" si="9"/>
        <v>4999.9999999999991</v>
      </c>
    </row>
    <row r="757" spans="1:9">
      <c r="A757" s="78" t="s">
        <v>1870</v>
      </c>
      <c r="B757" s="68" t="s">
        <v>1529</v>
      </c>
      <c r="C757" s="68" t="s">
        <v>1530</v>
      </c>
      <c r="D757" s="72" t="s">
        <v>589</v>
      </c>
      <c r="E757" s="8" t="s">
        <v>593</v>
      </c>
      <c r="F757" s="48" t="s">
        <v>1507</v>
      </c>
      <c r="G757" s="75">
        <v>9350</v>
      </c>
      <c r="H757" s="75">
        <v>9500</v>
      </c>
      <c r="I757" s="75">
        <f t="shared" si="9"/>
        <v>150</v>
      </c>
    </row>
    <row r="758" spans="1:9" hidden="1">
      <c r="A758" s="78" t="s">
        <v>1870</v>
      </c>
      <c r="B758" s="68" t="s">
        <v>1531</v>
      </c>
      <c r="C758" s="68" t="s">
        <v>1532</v>
      </c>
      <c r="D758" s="72" t="s">
        <v>587</v>
      </c>
      <c r="E758" s="8" t="s">
        <v>592</v>
      </c>
      <c r="F758" s="48" t="s">
        <v>1507</v>
      </c>
      <c r="G758" s="75">
        <v>8491</v>
      </c>
      <c r="H758" s="75">
        <v>9500</v>
      </c>
      <c r="I758" s="75">
        <f t="shared" si="9"/>
        <v>1009</v>
      </c>
    </row>
    <row r="759" spans="1:9">
      <c r="A759" s="78" t="s">
        <v>1870</v>
      </c>
      <c r="B759" s="68" t="s">
        <v>1533</v>
      </c>
      <c r="C759" s="68" t="s">
        <v>1534</v>
      </c>
      <c r="D759" s="72" t="s">
        <v>587</v>
      </c>
      <c r="E759" s="8" t="s">
        <v>593</v>
      </c>
      <c r="F759" s="48" t="s">
        <v>1507</v>
      </c>
      <c r="G759" s="75">
        <v>2999</v>
      </c>
      <c r="H759" s="75">
        <v>6999</v>
      </c>
      <c r="I759" s="75">
        <f t="shared" si="9"/>
        <v>4000</v>
      </c>
    </row>
    <row r="760" spans="1:9" hidden="1">
      <c r="A760" s="78" t="s">
        <v>1870</v>
      </c>
      <c r="B760" s="68" t="s">
        <v>1535</v>
      </c>
      <c r="C760" s="68" t="s">
        <v>1536</v>
      </c>
      <c r="D760" s="72" t="s">
        <v>587</v>
      </c>
      <c r="E760" s="8" t="s">
        <v>592</v>
      </c>
      <c r="F760" s="18" t="s">
        <v>592</v>
      </c>
      <c r="G760" s="75">
        <v>1098</v>
      </c>
      <c r="H760" s="75">
        <v>4098</v>
      </c>
      <c r="I760" s="75">
        <f t="shared" si="9"/>
        <v>3000</v>
      </c>
    </row>
    <row r="761" spans="1:9" hidden="1">
      <c r="A761" s="78" t="s">
        <v>1870</v>
      </c>
      <c r="B761" s="68" t="s">
        <v>1537</v>
      </c>
      <c r="C761" s="68" t="s">
        <v>1538</v>
      </c>
      <c r="D761" s="72" t="s">
        <v>1168</v>
      </c>
      <c r="E761" s="8" t="s">
        <v>595</v>
      </c>
      <c r="F761" s="19" t="s">
        <v>595</v>
      </c>
      <c r="G761" s="75">
        <v>12986</v>
      </c>
      <c r="H761" s="75">
        <f>G761</f>
        <v>12986</v>
      </c>
      <c r="I761" s="75">
        <f t="shared" si="9"/>
        <v>0</v>
      </c>
    </row>
    <row r="762" spans="1:9" hidden="1">
      <c r="A762" s="78" t="s">
        <v>1870</v>
      </c>
      <c r="B762" s="68" t="s">
        <v>1539</v>
      </c>
      <c r="C762" s="68" t="s">
        <v>1540</v>
      </c>
      <c r="D762" s="72" t="s">
        <v>589</v>
      </c>
      <c r="E762" s="8" t="s">
        <v>595</v>
      </c>
      <c r="F762" s="19" t="s">
        <v>595</v>
      </c>
      <c r="G762" s="75">
        <v>9499</v>
      </c>
      <c r="H762" s="75">
        <v>9499</v>
      </c>
      <c r="I762" s="75">
        <f t="shared" si="9"/>
        <v>0</v>
      </c>
    </row>
    <row r="763" spans="1:9">
      <c r="A763" s="78" t="s">
        <v>1870</v>
      </c>
      <c r="B763" s="68" t="s">
        <v>1541</v>
      </c>
      <c r="C763" s="68" t="s">
        <v>1542</v>
      </c>
      <c r="D763" s="72" t="s">
        <v>1865</v>
      </c>
      <c r="E763" s="8" t="s">
        <v>593</v>
      </c>
      <c r="F763" s="48" t="s">
        <v>1507</v>
      </c>
      <c r="G763" s="75">
        <v>10000</v>
      </c>
      <c r="H763" s="75">
        <v>10000</v>
      </c>
      <c r="I763" s="75">
        <f t="shared" si="9"/>
        <v>0</v>
      </c>
    </row>
    <row r="764" spans="1:9" hidden="1">
      <c r="A764" s="78" t="s">
        <v>1870</v>
      </c>
      <c r="B764" s="68" t="s">
        <v>1543</v>
      </c>
      <c r="C764" s="68" t="s">
        <v>1544</v>
      </c>
      <c r="D764" s="72" t="s">
        <v>589</v>
      </c>
      <c r="E764" s="8" t="s">
        <v>592</v>
      </c>
      <c r="F764" s="48" t="s">
        <v>1507</v>
      </c>
      <c r="G764" s="75">
        <v>11000</v>
      </c>
      <c r="H764" s="75">
        <v>10000</v>
      </c>
      <c r="I764" s="75">
        <f t="shared" si="9"/>
        <v>-1000</v>
      </c>
    </row>
    <row r="765" spans="1:9">
      <c r="A765" s="78" t="s">
        <v>1870</v>
      </c>
      <c r="B765" s="68" t="s">
        <v>1545</v>
      </c>
      <c r="C765" s="68" t="s">
        <v>1546</v>
      </c>
      <c r="D765" s="72" t="s">
        <v>587</v>
      </c>
      <c r="E765" s="8" t="s">
        <v>593</v>
      </c>
      <c r="F765" s="8" t="s">
        <v>593</v>
      </c>
      <c r="G765" s="75">
        <v>7000</v>
      </c>
      <c r="H765" s="75">
        <v>9000</v>
      </c>
      <c r="I765" s="75">
        <f t="shared" si="9"/>
        <v>2000</v>
      </c>
    </row>
    <row r="766" spans="1:9">
      <c r="A766" s="78" t="s">
        <v>1870</v>
      </c>
      <c r="B766" s="68" t="s">
        <v>1547</v>
      </c>
      <c r="C766" s="68" t="s">
        <v>1548</v>
      </c>
      <c r="D766" s="72" t="s">
        <v>587</v>
      </c>
      <c r="E766" s="8" t="s">
        <v>593</v>
      </c>
      <c r="F766" s="8" t="s">
        <v>593</v>
      </c>
      <c r="G766" s="75">
        <v>8488.7999999999993</v>
      </c>
      <c r="H766" s="75">
        <v>9488</v>
      </c>
      <c r="I766" s="75">
        <f t="shared" si="9"/>
        <v>999.20000000000073</v>
      </c>
    </row>
    <row r="767" spans="1:9">
      <c r="A767" s="78" t="s">
        <v>1870</v>
      </c>
      <c r="B767" s="68" t="s">
        <v>1549</v>
      </c>
      <c r="C767" s="68" t="s">
        <v>1550</v>
      </c>
      <c r="D767" s="72" t="s">
        <v>587</v>
      </c>
      <c r="E767" s="8" t="s">
        <v>593</v>
      </c>
      <c r="F767" s="8" t="s">
        <v>593</v>
      </c>
      <c r="G767" s="75">
        <v>3683</v>
      </c>
      <c r="H767" s="75">
        <v>7683</v>
      </c>
      <c r="I767" s="75">
        <f t="shared" si="9"/>
        <v>4000</v>
      </c>
    </row>
    <row r="768" spans="1:9">
      <c r="A768" s="78" t="s">
        <v>1870</v>
      </c>
      <c r="B768" s="68" t="s">
        <v>1551</v>
      </c>
      <c r="C768" s="68" t="s">
        <v>1552</v>
      </c>
      <c r="D768" s="72" t="s">
        <v>587</v>
      </c>
      <c r="E768" s="8" t="s">
        <v>593</v>
      </c>
      <c r="F768" s="48" t="s">
        <v>1507</v>
      </c>
      <c r="G768" s="75">
        <v>2319</v>
      </c>
      <c r="H768" s="75">
        <v>5319</v>
      </c>
      <c r="I768" s="75">
        <f t="shared" si="9"/>
        <v>3000</v>
      </c>
    </row>
    <row r="769" spans="1:9">
      <c r="A769" s="78" t="s">
        <v>1870</v>
      </c>
      <c r="B769" s="68" t="s">
        <v>1553</v>
      </c>
      <c r="C769" s="68" t="s">
        <v>1554</v>
      </c>
      <c r="D769" s="72" t="s">
        <v>588</v>
      </c>
      <c r="E769" s="8" t="s">
        <v>593</v>
      </c>
      <c r="F769" s="8" t="s">
        <v>593</v>
      </c>
      <c r="G769" s="75">
        <v>5500</v>
      </c>
      <c r="H769" s="75">
        <v>7500</v>
      </c>
      <c r="I769" s="75">
        <f t="shared" si="9"/>
        <v>2000</v>
      </c>
    </row>
    <row r="770" spans="1:9" hidden="1">
      <c r="A770" s="78" t="s">
        <v>1870</v>
      </c>
      <c r="B770" s="68" t="s">
        <v>1555</v>
      </c>
      <c r="C770" s="68" t="s">
        <v>1556</v>
      </c>
      <c r="D770" s="72" t="s">
        <v>588</v>
      </c>
      <c r="E770" s="8" t="s">
        <v>595</v>
      </c>
      <c r="F770" s="19" t="s">
        <v>595</v>
      </c>
      <c r="G770" s="75">
        <v>8243</v>
      </c>
      <c r="H770" s="75">
        <v>9600</v>
      </c>
      <c r="I770" s="75">
        <f t="shared" si="9"/>
        <v>1357</v>
      </c>
    </row>
    <row r="771" spans="1:9" hidden="1">
      <c r="A771" s="78" t="s">
        <v>1870</v>
      </c>
      <c r="B771" s="68" t="s">
        <v>1557</v>
      </c>
      <c r="C771" s="68" t="s">
        <v>1558</v>
      </c>
      <c r="D771" s="72" t="s">
        <v>589</v>
      </c>
      <c r="E771" s="8" t="s">
        <v>595</v>
      </c>
      <c r="F771" s="48" t="s">
        <v>1507</v>
      </c>
      <c r="G771" s="75">
        <v>9000</v>
      </c>
      <c r="H771" s="75">
        <v>10000</v>
      </c>
      <c r="I771" s="75">
        <f t="shared" si="9"/>
        <v>1000</v>
      </c>
    </row>
    <row r="772" spans="1:9" hidden="1">
      <c r="A772" s="78" t="s">
        <v>1870</v>
      </c>
      <c r="B772" s="68" t="s">
        <v>1559</v>
      </c>
      <c r="C772" s="68" t="s">
        <v>1560</v>
      </c>
      <c r="D772" s="72" t="s">
        <v>587</v>
      </c>
      <c r="E772" s="8" t="s">
        <v>592</v>
      </c>
      <c r="F772" s="18" t="s">
        <v>592</v>
      </c>
      <c r="G772" s="75">
        <v>2950</v>
      </c>
      <c r="H772" s="75">
        <v>7500</v>
      </c>
      <c r="I772" s="75">
        <f t="shared" si="9"/>
        <v>4550</v>
      </c>
    </row>
    <row r="773" spans="1:9" hidden="1">
      <c r="A773" s="78" t="s">
        <v>1870</v>
      </c>
      <c r="B773" s="68" t="s">
        <v>1561</v>
      </c>
      <c r="C773" s="68" t="s">
        <v>1562</v>
      </c>
      <c r="D773" s="72" t="s">
        <v>587</v>
      </c>
      <c r="E773" s="8" t="s">
        <v>592</v>
      </c>
      <c r="F773" s="18" t="s">
        <v>592</v>
      </c>
      <c r="G773" s="75">
        <v>9785</v>
      </c>
      <c r="H773" s="75">
        <v>9785</v>
      </c>
      <c r="I773" s="75">
        <f t="shared" si="9"/>
        <v>0</v>
      </c>
    </row>
    <row r="774" spans="1:9">
      <c r="A774" s="78" t="s">
        <v>1870</v>
      </c>
      <c r="B774" s="68" t="s">
        <v>1563</v>
      </c>
      <c r="C774" s="68" t="s">
        <v>1564</v>
      </c>
      <c r="D774" s="72" t="s">
        <v>587</v>
      </c>
      <c r="E774" s="8" t="s">
        <v>593</v>
      </c>
      <c r="F774" s="8" t="s">
        <v>593</v>
      </c>
      <c r="G774" s="75">
        <v>10569</v>
      </c>
      <c r="H774" s="75">
        <v>10000</v>
      </c>
      <c r="I774" s="75">
        <f t="shared" si="9"/>
        <v>-569</v>
      </c>
    </row>
    <row r="775" spans="1:9" hidden="1">
      <c r="A775" s="78" t="s">
        <v>1870</v>
      </c>
      <c r="B775" s="68" t="s">
        <v>1565</v>
      </c>
      <c r="C775" s="68" t="s">
        <v>1566</v>
      </c>
      <c r="D775" s="72" t="s">
        <v>589</v>
      </c>
      <c r="E775" s="8" t="s">
        <v>595</v>
      </c>
      <c r="F775" s="48" t="s">
        <v>1507</v>
      </c>
      <c r="G775" s="75">
        <v>7000</v>
      </c>
      <c r="H775" s="75">
        <v>10000</v>
      </c>
      <c r="I775" s="75">
        <f t="shared" si="9"/>
        <v>3000</v>
      </c>
    </row>
    <row r="776" spans="1:9" hidden="1">
      <c r="A776" s="78" t="s">
        <v>1870</v>
      </c>
      <c r="B776" s="68" t="s">
        <v>1567</v>
      </c>
      <c r="C776" s="68" t="s">
        <v>1568</v>
      </c>
      <c r="D776" s="72" t="s">
        <v>586</v>
      </c>
      <c r="E776" s="8" t="s">
        <v>592</v>
      </c>
      <c r="F776" s="48" t="s">
        <v>1507</v>
      </c>
      <c r="G776" s="75">
        <v>10000</v>
      </c>
      <c r="H776" s="75">
        <v>10000</v>
      </c>
      <c r="I776" s="75">
        <f t="shared" si="9"/>
        <v>0</v>
      </c>
    </row>
    <row r="777" spans="1:9" hidden="1">
      <c r="A777" s="78" t="s">
        <v>1870</v>
      </c>
      <c r="B777" s="68" t="s">
        <v>1569</v>
      </c>
      <c r="C777" s="68" t="s">
        <v>1570</v>
      </c>
      <c r="D777" s="72" t="s">
        <v>587</v>
      </c>
      <c r="E777" s="69" t="s">
        <v>594</v>
      </c>
      <c r="F777" s="19" t="s">
        <v>594</v>
      </c>
      <c r="G777" s="75">
        <v>10832</v>
      </c>
      <c r="H777" s="75">
        <v>10000</v>
      </c>
      <c r="I777" s="75">
        <f t="shared" si="9"/>
        <v>-832</v>
      </c>
    </row>
    <row r="778" spans="1:9" hidden="1">
      <c r="A778" s="78" t="s">
        <v>1870</v>
      </c>
      <c r="B778" s="68" t="s">
        <v>1571</v>
      </c>
      <c r="C778" s="68" t="s">
        <v>1572</v>
      </c>
      <c r="D778" s="72" t="s">
        <v>587</v>
      </c>
      <c r="E778" s="69" t="s">
        <v>594</v>
      </c>
      <c r="F778" s="19" t="s">
        <v>594</v>
      </c>
      <c r="G778" s="75">
        <v>2074</v>
      </c>
      <c r="H778" s="75">
        <v>8074</v>
      </c>
      <c r="I778" s="75">
        <f t="shared" si="9"/>
        <v>6000</v>
      </c>
    </row>
    <row r="779" spans="1:9" hidden="1">
      <c r="A779" s="78" t="s">
        <v>1870</v>
      </c>
      <c r="B779" s="68" t="s">
        <v>1573</v>
      </c>
      <c r="C779" s="68" t="s">
        <v>1574</v>
      </c>
      <c r="D779" s="72" t="s">
        <v>587</v>
      </c>
      <c r="E779" s="69" t="s">
        <v>594</v>
      </c>
      <c r="F779" s="19" t="s">
        <v>594</v>
      </c>
      <c r="G779" s="75">
        <v>3670</v>
      </c>
      <c r="H779" s="75">
        <v>8670</v>
      </c>
      <c r="I779" s="75">
        <f t="shared" si="9"/>
        <v>5000</v>
      </c>
    </row>
    <row r="780" spans="1:9" hidden="1">
      <c r="A780" s="78" t="s">
        <v>1870</v>
      </c>
      <c r="B780" s="68" t="s">
        <v>1575</v>
      </c>
      <c r="C780" s="68" t="s">
        <v>1576</v>
      </c>
      <c r="D780" s="72" t="s">
        <v>587</v>
      </c>
      <c r="E780" s="69" t="s">
        <v>594</v>
      </c>
      <c r="F780" s="19" t="s">
        <v>594</v>
      </c>
      <c r="G780" s="75">
        <v>10573</v>
      </c>
      <c r="H780" s="75">
        <v>10000</v>
      </c>
      <c r="I780" s="75">
        <f t="shared" si="9"/>
        <v>-573</v>
      </c>
    </row>
    <row r="781" spans="1:9" hidden="1">
      <c r="A781" s="78" t="s">
        <v>1870</v>
      </c>
      <c r="B781" s="68" t="s">
        <v>1577</v>
      </c>
      <c r="C781" s="68" t="s">
        <v>1578</v>
      </c>
      <c r="D781" s="72" t="s">
        <v>587</v>
      </c>
      <c r="E781" s="69" t="s">
        <v>594</v>
      </c>
      <c r="F781" s="19" t="s">
        <v>594</v>
      </c>
      <c r="G781" s="75">
        <v>8350</v>
      </c>
      <c r="H781" s="75">
        <v>9350</v>
      </c>
      <c r="I781" s="75">
        <f t="shared" si="9"/>
        <v>1000</v>
      </c>
    </row>
    <row r="782" spans="1:9" hidden="1">
      <c r="A782" s="78" t="s">
        <v>1870</v>
      </c>
      <c r="B782" s="68" t="s">
        <v>1579</v>
      </c>
      <c r="C782" s="68" t="s">
        <v>1580</v>
      </c>
      <c r="D782" s="72" t="s">
        <v>587</v>
      </c>
      <c r="E782" s="69" t="s">
        <v>594</v>
      </c>
      <c r="F782" s="19" t="s">
        <v>594</v>
      </c>
      <c r="G782" s="75">
        <v>8361</v>
      </c>
      <c r="H782" s="75">
        <v>9361</v>
      </c>
      <c r="I782" s="75">
        <f t="shared" si="9"/>
        <v>1000</v>
      </c>
    </row>
    <row r="783" spans="1:9">
      <c r="A783" s="78" t="s">
        <v>1870</v>
      </c>
      <c r="B783" s="68" t="s">
        <v>1581</v>
      </c>
      <c r="C783" s="68" t="s">
        <v>1582</v>
      </c>
      <c r="D783" s="72" t="s">
        <v>587</v>
      </c>
      <c r="E783" s="8" t="s">
        <v>593</v>
      </c>
      <c r="F783" s="8" t="s">
        <v>593</v>
      </c>
      <c r="G783" s="75">
        <v>5000</v>
      </c>
      <c r="H783" s="75">
        <v>8500</v>
      </c>
      <c r="I783" s="75">
        <f t="shared" si="9"/>
        <v>3500</v>
      </c>
    </row>
    <row r="784" spans="1:9" hidden="1">
      <c r="A784" s="78" t="s">
        <v>1870</v>
      </c>
      <c r="B784" s="68" t="s">
        <v>1583</v>
      </c>
      <c r="C784" s="68" t="s">
        <v>1584</v>
      </c>
      <c r="D784" s="72" t="s">
        <v>588</v>
      </c>
      <c r="E784" s="8" t="s">
        <v>595</v>
      </c>
      <c r="F784" s="19" t="s">
        <v>595</v>
      </c>
      <c r="G784" s="75">
        <v>12600</v>
      </c>
      <c r="H784" s="75">
        <v>10000</v>
      </c>
      <c r="I784" s="75">
        <f t="shared" si="9"/>
        <v>-2600</v>
      </c>
    </row>
    <row r="785" spans="1:9" hidden="1">
      <c r="A785" s="78" t="s">
        <v>1870</v>
      </c>
      <c r="B785" s="68" t="s">
        <v>1585</v>
      </c>
      <c r="C785" s="68" t="s">
        <v>1586</v>
      </c>
      <c r="D785" s="72" t="s">
        <v>587</v>
      </c>
      <c r="E785" s="8" t="s">
        <v>595</v>
      </c>
      <c r="F785" s="19" t="s">
        <v>595</v>
      </c>
      <c r="G785" s="75">
        <v>5156</v>
      </c>
      <c r="H785" s="75">
        <v>9860</v>
      </c>
      <c r="I785" s="75">
        <f t="shared" si="9"/>
        <v>4704</v>
      </c>
    </row>
    <row r="786" spans="1:9" hidden="1">
      <c r="A786" s="78" t="s">
        <v>1870</v>
      </c>
      <c r="B786" s="68" t="s">
        <v>1587</v>
      </c>
      <c r="C786" s="68" t="s">
        <v>1588</v>
      </c>
      <c r="D786" s="72" t="s">
        <v>588</v>
      </c>
      <c r="E786" s="8" t="s">
        <v>595</v>
      </c>
      <c r="F786" s="19" t="s">
        <v>595</v>
      </c>
      <c r="G786" s="75">
        <v>10710</v>
      </c>
      <c r="H786" s="75">
        <v>10000</v>
      </c>
      <c r="I786" s="75">
        <f t="shared" si="9"/>
        <v>-710</v>
      </c>
    </row>
    <row r="787" spans="1:9" hidden="1">
      <c r="A787" s="78" t="s">
        <v>1870</v>
      </c>
      <c r="B787" s="68" t="s">
        <v>1589</v>
      </c>
      <c r="C787" s="68" t="s">
        <v>1590</v>
      </c>
      <c r="D787" s="72" t="s">
        <v>587</v>
      </c>
      <c r="E787" s="8" t="s">
        <v>595</v>
      </c>
      <c r="F787" s="19" t="s">
        <v>595</v>
      </c>
      <c r="G787" s="75">
        <v>8873</v>
      </c>
      <c r="H787" s="75">
        <v>9873</v>
      </c>
      <c r="I787" s="75">
        <f t="shared" si="9"/>
        <v>1000</v>
      </c>
    </row>
    <row r="788" spans="1:9" hidden="1">
      <c r="A788" s="78" t="s">
        <v>1870</v>
      </c>
      <c r="B788" s="68" t="s">
        <v>1591</v>
      </c>
      <c r="C788" s="68" t="s">
        <v>1592</v>
      </c>
      <c r="D788" s="72" t="s">
        <v>587</v>
      </c>
      <c r="E788" s="8" t="s">
        <v>595</v>
      </c>
      <c r="F788" s="19" t="s">
        <v>595</v>
      </c>
      <c r="G788" s="75">
        <v>6427</v>
      </c>
      <c r="H788" s="75">
        <v>9600</v>
      </c>
      <c r="I788" s="75">
        <f t="shared" si="9"/>
        <v>3173</v>
      </c>
    </row>
    <row r="789" spans="1:9" hidden="1">
      <c r="A789" s="78" t="s">
        <v>1870</v>
      </c>
      <c r="B789" s="68" t="s">
        <v>1593</v>
      </c>
      <c r="C789" s="68" t="s">
        <v>1594</v>
      </c>
      <c r="D789" s="72" t="s">
        <v>587</v>
      </c>
      <c r="E789" s="8" t="s">
        <v>595</v>
      </c>
      <c r="F789" s="19" t="s">
        <v>595</v>
      </c>
      <c r="G789" s="75">
        <v>12361</v>
      </c>
      <c r="H789" s="75">
        <f>G789</f>
        <v>12361</v>
      </c>
      <c r="I789" s="75">
        <f t="shared" si="9"/>
        <v>0</v>
      </c>
    </row>
    <row r="790" spans="1:9" hidden="1">
      <c r="A790" s="78" t="s">
        <v>1870</v>
      </c>
      <c r="B790" s="68" t="s">
        <v>1595</v>
      </c>
      <c r="C790" s="68" t="s">
        <v>1596</v>
      </c>
      <c r="D790" s="72" t="s">
        <v>588</v>
      </c>
      <c r="E790" s="8" t="s">
        <v>595</v>
      </c>
      <c r="F790" s="19" t="s">
        <v>595</v>
      </c>
      <c r="G790" s="75">
        <v>7139</v>
      </c>
      <c r="H790" s="75">
        <v>9400</v>
      </c>
      <c r="I790" s="75">
        <f t="shared" si="9"/>
        <v>2261</v>
      </c>
    </row>
    <row r="791" spans="1:9" hidden="1">
      <c r="A791" s="78" t="s">
        <v>1870</v>
      </c>
      <c r="B791" s="68" t="s">
        <v>1597</v>
      </c>
      <c r="C791" s="68" t="s">
        <v>1598</v>
      </c>
      <c r="D791" s="72" t="s">
        <v>586</v>
      </c>
      <c r="E791" s="8" t="s">
        <v>592</v>
      </c>
      <c r="F791" s="48" t="s">
        <v>1507</v>
      </c>
      <c r="G791" s="75">
        <v>10300</v>
      </c>
      <c r="H791" s="75">
        <v>10000</v>
      </c>
      <c r="I791" s="75">
        <f t="shared" si="9"/>
        <v>-300</v>
      </c>
    </row>
    <row r="792" spans="1:9" hidden="1">
      <c r="A792" s="78" t="s">
        <v>1870</v>
      </c>
      <c r="B792" s="68" t="s">
        <v>1599</v>
      </c>
      <c r="C792" s="68" t="s">
        <v>1600</v>
      </c>
      <c r="D792" s="72" t="s">
        <v>587</v>
      </c>
      <c r="E792" s="69" t="s">
        <v>594</v>
      </c>
      <c r="F792" s="48" t="s">
        <v>1507</v>
      </c>
      <c r="G792" s="75">
        <v>8499</v>
      </c>
      <c r="H792" s="75">
        <v>9499</v>
      </c>
      <c r="I792" s="75">
        <f t="shared" si="9"/>
        <v>1000</v>
      </c>
    </row>
    <row r="793" spans="1:9">
      <c r="A793" s="78" t="s">
        <v>1870</v>
      </c>
      <c r="B793" s="68" t="s">
        <v>1601</v>
      </c>
      <c r="C793" s="68" t="s">
        <v>1602</v>
      </c>
      <c r="D793" s="72" t="s">
        <v>587</v>
      </c>
      <c r="E793" s="8" t="s">
        <v>593</v>
      </c>
      <c r="F793" s="8" t="s">
        <v>593</v>
      </c>
      <c r="G793" s="75">
        <v>4930</v>
      </c>
      <c r="H793" s="75">
        <v>10000</v>
      </c>
      <c r="I793" s="75">
        <f t="shared" si="9"/>
        <v>5070</v>
      </c>
    </row>
    <row r="794" spans="1:9">
      <c r="A794" s="78" t="s">
        <v>1870</v>
      </c>
      <c r="B794" s="68" t="s">
        <v>1603</v>
      </c>
      <c r="C794" s="68" t="s">
        <v>1604</v>
      </c>
      <c r="D794" s="72" t="s">
        <v>587</v>
      </c>
      <c r="E794" s="8" t="s">
        <v>593</v>
      </c>
      <c r="F794" s="8" t="s">
        <v>593</v>
      </c>
      <c r="G794" s="75">
        <v>3000</v>
      </c>
      <c r="H794" s="75">
        <v>6450</v>
      </c>
      <c r="I794" s="75">
        <f t="shared" si="9"/>
        <v>3450</v>
      </c>
    </row>
    <row r="795" spans="1:9">
      <c r="A795" s="78" t="s">
        <v>1870</v>
      </c>
      <c r="B795" s="68" t="s">
        <v>1605</v>
      </c>
      <c r="C795" s="68" t="s">
        <v>1606</v>
      </c>
      <c r="D795" s="72" t="s">
        <v>586</v>
      </c>
      <c r="E795" s="8" t="s">
        <v>593</v>
      </c>
      <c r="F795" s="8" t="s">
        <v>593</v>
      </c>
      <c r="G795" s="75">
        <v>9200</v>
      </c>
      <c r="H795" s="75">
        <v>9200</v>
      </c>
      <c r="I795" s="75">
        <f t="shared" si="9"/>
        <v>0</v>
      </c>
    </row>
    <row r="796" spans="1:9">
      <c r="A796" s="78" t="s">
        <v>1870</v>
      </c>
      <c r="B796" s="68" t="s">
        <v>1607</v>
      </c>
      <c r="C796" s="68" t="s">
        <v>1608</v>
      </c>
      <c r="D796" s="72" t="s">
        <v>587</v>
      </c>
      <c r="E796" s="8" t="s">
        <v>593</v>
      </c>
      <c r="F796" s="8" t="s">
        <v>593</v>
      </c>
      <c r="G796" s="75">
        <v>10620</v>
      </c>
      <c r="H796" s="75">
        <v>10000</v>
      </c>
      <c r="I796" s="75">
        <f t="shared" si="9"/>
        <v>-620</v>
      </c>
    </row>
    <row r="797" spans="1:9" hidden="1">
      <c r="A797" s="78" t="s">
        <v>1870</v>
      </c>
      <c r="B797" s="68" t="s">
        <v>1609</v>
      </c>
      <c r="C797" s="68" t="s">
        <v>1610</v>
      </c>
      <c r="D797" s="72" t="s">
        <v>589</v>
      </c>
      <c r="E797" s="8" t="s">
        <v>595</v>
      </c>
      <c r="F797" s="48" t="s">
        <v>1507</v>
      </c>
      <c r="G797" s="75">
        <v>10000</v>
      </c>
      <c r="H797" s="75">
        <v>10000</v>
      </c>
      <c r="I797" s="75">
        <f t="shared" si="9"/>
        <v>0</v>
      </c>
    </row>
    <row r="798" spans="1:9">
      <c r="A798" s="78" t="s">
        <v>1870</v>
      </c>
      <c r="B798" s="68" t="s">
        <v>1611</v>
      </c>
      <c r="C798" s="68" t="s">
        <v>1612</v>
      </c>
      <c r="D798" s="72" t="s">
        <v>589</v>
      </c>
      <c r="E798" s="8" t="s">
        <v>593</v>
      </c>
      <c r="F798" s="48" t="s">
        <v>1507</v>
      </c>
      <c r="G798" s="75">
        <v>10000</v>
      </c>
      <c r="H798" s="75">
        <v>10000</v>
      </c>
      <c r="I798" s="75">
        <f t="shared" si="9"/>
        <v>0</v>
      </c>
    </row>
    <row r="799" spans="1:9" hidden="1">
      <c r="A799" s="78" t="s">
        <v>1870</v>
      </c>
      <c r="B799" s="68" t="s">
        <v>1613</v>
      </c>
      <c r="C799" s="68" t="s">
        <v>1614</v>
      </c>
      <c r="D799" s="72" t="s">
        <v>589</v>
      </c>
      <c r="E799" s="8" t="s">
        <v>595</v>
      </c>
      <c r="F799" s="48" t="s">
        <v>1507</v>
      </c>
      <c r="G799" s="75">
        <v>10800</v>
      </c>
      <c r="H799" s="75">
        <v>10000</v>
      </c>
      <c r="I799" s="75">
        <f t="shared" si="9"/>
        <v>-800</v>
      </c>
    </row>
    <row r="800" spans="1:9" hidden="1">
      <c r="A800" s="78" t="s">
        <v>1870</v>
      </c>
      <c r="B800" s="68" t="s">
        <v>1615</v>
      </c>
      <c r="C800" s="68" t="s">
        <v>1616</v>
      </c>
      <c r="D800" s="72" t="s">
        <v>1865</v>
      </c>
      <c r="E800" s="8" t="s">
        <v>595</v>
      </c>
      <c r="F800" s="48" t="s">
        <v>1507</v>
      </c>
      <c r="G800" s="75">
        <v>10000</v>
      </c>
      <c r="H800" s="75">
        <v>10000</v>
      </c>
      <c r="I800" s="75">
        <f t="shared" si="9"/>
        <v>0</v>
      </c>
    </row>
    <row r="801" spans="1:9" hidden="1">
      <c r="A801" s="78" t="s">
        <v>1870</v>
      </c>
      <c r="B801" s="68" t="s">
        <v>1617</v>
      </c>
      <c r="C801" s="68" t="s">
        <v>1618</v>
      </c>
      <c r="D801" s="72" t="s">
        <v>1865</v>
      </c>
      <c r="E801" s="8" t="s">
        <v>595</v>
      </c>
      <c r="F801" s="48" t="s">
        <v>1507</v>
      </c>
      <c r="G801" s="75">
        <v>10000</v>
      </c>
      <c r="H801" s="75">
        <v>10000</v>
      </c>
      <c r="I801" s="75">
        <f t="shared" si="9"/>
        <v>0</v>
      </c>
    </row>
    <row r="802" spans="1:9">
      <c r="A802" s="78" t="s">
        <v>1870</v>
      </c>
      <c r="B802" s="68" t="s">
        <v>1619</v>
      </c>
      <c r="C802" s="68" t="s">
        <v>1620</v>
      </c>
      <c r="D802" s="72" t="s">
        <v>589</v>
      </c>
      <c r="E802" s="8" t="s">
        <v>593</v>
      </c>
      <c r="F802" s="48" t="s">
        <v>1507</v>
      </c>
      <c r="G802" s="75">
        <v>10000</v>
      </c>
      <c r="H802" s="75">
        <v>10000</v>
      </c>
      <c r="I802" s="75">
        <f t="shared" si="9"/>
        <v>0</v>
      </c>
    </row>
    <row r="803" spans="1:9">
      <c r="A803" s="78" t="s">
        <v>1870</v>
      </c>
      <c r="B803" s="68" t="s">
        <v>1621</v>
      </c>
      <c r="C803" s="68" t="s">
        <v>1622</v>
      </c>
      <c r="D803" s="72" t="s">
        <v>588</v>
      </c>
      <c r="E803" s="8" t="s">
        <v>593</v>
      </c>
      <c r="F803" s="8" t="s">
        <v>593</v>
      </c>
      <c r="G803" s="75">
        <v>9857</v>
      </c>
      <c r="H803" s="75">
        <v>9857</v>
      </c>
      <c r="I803" s="75">
        <f t="shared" si="9"/>
        <v>0</v>
      </c>
    </row>
    <row r="804" spans="1:9" hidden="1">
      <c r="A804" s="78" t="s">
        <v>1870</v>
      </c>
      <c r="B804" s="68" t="s">
        <v>1623</v>
      </c>
      <c r="C804" s="68" t="s">
        <v>1624</v>
      </c>
      <c r="D804" s="72" t="s">
        <v>589</v>
      </c>
      <c r="E804" s="8" t="s">
        <v>595</v>
      </c>
      <c r="F804" s="48" t="s">
        <v>1507</v>
      </c>
      <c r="G804" s="75">
        <v>12000</v>
      </c>
      <c r="H804" s="75">
        <f>G804</f>
        <v>12000</v>
      </c>
      <c r="I804" s="75">
        <f t="shared" si="9"/>
        <v>0</v>
      </c>
    </row>
    <row r="805" spans="1:9" hidden="1">
      <c r="A805" s="78" t="s">
        <v>1870</v>
      </c>
      <c r="B805" s="68" t="s">
        <v>1625</v>
      </c>
      <c r="C805" s="68" t="s">
        <v>1626</v>
      </c>
      <c r="D805" s="72" t="s">
        <v>587</v>
      </c>
      <c r="E805" s="8" t="s">
        <v>595</v>
      </c>
      <c r="F805" s="19" t="s">
        <v>595</v>
      </c>
      <c r="G805" s="75">
        <v>10098</v>
      </c>
      <c r="H805" s="75">
        <v>10000</v>
      </c>
      <c r="I805" s="75">
        <f t="shared" si="9"/>
        <v>-98</v>
      </c>
    </row>
    <row r="806" spans="1:9" hidden="1">
      <c r="A806" s="78" t="s">
        <v>1870</v>
      </c>
      <c r="B806" s="68" t="s">
        <v>1627</v>
      </c>
      <c r="C806" s="68" t="s">
        <v>1628</v>
      </c>
      <c r="D806" s="72" t="s">
        <v>587</v>
      </c>
      <c r="E806" s="8" t="s">
        <v>595</v>
      </c>
      <c r="F806" s="19" t="s">
        <v>595</v>
      </c>
      <c r="G806" s="75">
        <v>4785</v>
      </c>
      <c r="H806" s="75">
        <v>7785</v>
      </c>
      <c r="I806" s="75">
        <f t="shared" si="9"/>
        <v>3000</v>
      </c>
    </row>
    <row r="807" spans="1:9" hidden="1">
      <c r="A807" s="78" t="s">
        <v>1870</v>
      </c>
      <c r="B807" s="68" t="s">
        <v>1629</v>
      </c>
      <c r="C807" s="68" t="s">
        <v>1630</v>
      </c>
      <c r="D807" s="72" t="s">
        <v>587</v>
      </c>
      <c r="E807" s="8" t="s">
        <v>595</v>
      </c>
      <c r="F807" s="19" t="s">
        <v>595</v>
      </c>
      <c r="G807" s="75">
        <v>8850</v>
      </c>
      <c r="H807" s="75">
        <v>9850</v>
      </c>
      <c r="I807" s="75">
        <f t="shared" si="9"/>
        <v>1000</v>
      </c>
    </row>
    <row r="808" spans="1:9" hidden="1">
      <c r="A808" s="78" t="s">
        <v>1870</v>
      </c>
      <c r="B808" s="68" t="s">
        <v>1631</v>
      </c>
      <c r="C808" s="68" t="s">
        <v>1632</v>
      </c>
      <c r="D808" s="72" t="s">
        <v>587</v>
      </c>
      <c r="E808" s="8" t="s">
        <v>595</v>
      </c>
      <c r="F808" s="19" t="s">
        <v>595</v>
      </c>
      <c r="G808" s="75">
        <v>3356</v>
      </c>
      <c r="H808" s="75">
        <v>8356</v>
      </c>
      <c r="I808" s="75">
        <f t="shared" si="9"/>
        <v>5000</v>
      </c>
    </row>
    <row r="809" spans="1:9" hidden="1">
      <c r="A809" s="78" t="s">
        <v>1870</v>
      </c>
      <c r="B809" s="68" t="s">
        <v>1633</v>
      </c>
      <c r="C809" s="68" t="s">
        <v>1634</v>
      </c>
      <c r="D809" s="72" t="s">
        <v>587</v>
      </c>
      <c r="E809" s="8" t="s">
        <v>592</v>
      </c>
      <c r="F809" s="48" t="s">
        <v>1507</v>
      </c>
      <c r="G809" s="75">
        <v>3183</v>
      </c>
      <c r="H809" s="75">
        <v>6183</v>
      </c>
      <c r="I809" s="75">
        <f t="shared" si="9"/>
        <v>3000</v>
      </c>
    </row>
    <row r="810" spans="1:9" hidden="1">
      <c r="A810" s="78" t="s">
        <v>1870</v>
      </c>
      <c r="B810" s="68" t="s">
        <v>1635</v>
      </c>
      <c r="C810" s="68" t="s">
        <v>1636</v>
      </c>
      <c r="D810" s="72" t="s">
        <v>587</v>
      </c>
      <c r="E810" s="8" t="s">
        <v>592</v>
      </c>
      <c r="F810" s="48" t="s">
        <v>1507</v>
      </c>
      <c r="G810" s="75">
        <f>3370+466</f>
        <v>3836</v>
      </c>
      <c r="H810" s="75">
        <v>6836</v>
      </c>
      <c r="I810" s="75">
        <f t="shared" si="9"/>
        <v>3000</v>
      </c>
    </row>
    <row r="811" spans="1:9" hidden="1">
      <c r="A811" s="78" t="s">
        <v>1870</v>
      </c>
      <c r="B811" s="68" t="s">
        <v>1637</v>
      </c>
      <c r="C811" s="68" t="s">
        <v>1638</v>
      </c>
      <c r="D811" s="72" t="s">
        <v>587</v>
      </c>
      <c r="E811" s="8" t="s">
        <v>592</v>
      </c>
      <c r="F811" s="48" t="s">
        <v>1507</v>
      </c>
      <c r="G811" s="75">
        <v>12272</v>
      </c>
      <c r="H811" s="75">
        <f>G811</f>
        <v>12272</v>
      </c>
      <c r="I811" s="75">
        <f t="shared" si="9"/>
        <v>0</v>
      </c>
    </row>
    <row r="812" spans="1:9" hidden="1">
      <c r="A812" s="78" t="s">
        <v>1870</v>
      </c>
      <c r="B812" s="68" t="s">
        <v>1639</v>
      </c>
      <c r="C812" s="68" t="s">
        <v>1640</v>
      </c>
      <c r="D812" s="72" t="s">
        <v>587</v>
      </c>
      <c r="E812" s="8" t="s">
        <v>592</v>
      </c>
      <c r="F812" s="48" t="s">
        <v>1507</v>
      </c>
      <c r="G812" s="75">
        <v>4717.62</v>
      </c>
      <c r="H812" s="75">
        <v>6400</v>
      </c>
      <c r="I812" s="75">
        <f t="shared" ref="I812:I875" si="10">H812-G812</f>
        <v>1682.38</v>
      </c>
    </row>
    <row r="813" spans="1:9">
      <c r="A813" s="78" t="s">
        <v>1870</v>
      </c>
      <c r="B813" s="68" t="s">
        <v>1641</v>
      </c>
      <c r="C813" s="68" t="s">
        <v>1642</v>
      </c>
      <c r="D813" s="72" t="s">
        <v>587</v>
      </c>
      <c r="E813" s="8" t="s">
        <v>593</v>
      </c>
      <c r="F813" s="48" t="s">
        <v>1507</v>
      </c>
      <c r="G813" s="75">
        <v>6206</v>
      </c>
      <c r="H813" s="75">
        <v>8206</v>
      </c>
      <c r="I813" s="75">
        <f t="shared" si="10"/>
        <v>2000</v>
      </c>
    </row>
    <row r="814" spans="1:9" hidden="1">
      <c r="A814" s="78" t="s">
        <v>1870</v>
      </c>
      <c r="B814" s="68" t="s">
        <v>1643</v>
      </c>
      <c r="C814" s="68" t="s">
        <v>1644</v>
      </c>
      <c r="D814" s="72" t="s">
        <v>587</v>
      </c>
      <c r="E814" s="8" t="s">
        <v>595</v>
      </c>
      <c r="F814" s="19" t="s">
        <v>595</v>
      </c>
      <c r="G814" s="75">
        <v>10000</v>
      </c>
      <c r="H814" s="75">
        <v>10000</v>
      </c>
      <c r="I814" s="75">
        <f t="shared" si="10"/>
        <v>0</v>
      </c>
    </row>
    <row r="815" spans="1:9" hidden="1">
      <c r="A815" s="78" t="s">
        <v>1870</v>
      </c>
      <c r="B815" s="68" t="s">
        <v>1645</v>
      </c>
      <c r="C815" s="68" t="s">
        <v>1646</v>
      </c>
      <c r="D815" s="72" t="s">
        <v>587</v>
      </c>
      <c r="E815" s="69" t="s">
        <v>594</v>
      </c>
      <c r="F815" s="48" t="s">
        <v>1507</v>
      </c>
      <c r="G815" s="75">
        <v>9081</v>
      </c>
      <c r="H815" s="75">
        <v>9081</v>
      </c>
      <c r="I815" s="75">
        <f t="shared" si="10"/>
        <v>0</v>
      </c>
    </row>
    <row r="816" spans="1:9" hidden="1">
      <c r="A816" s="78" t="s">
        <v>1870</v>
      </c>
      <c r="B816" s="68" t="s">
        <v>1647</v>
      </c>
      <c r="C816" s="68" t="s">
        <v>1648</v>
      </c>
      <c r="D816" s="72" t="s">
        <v>587</v>
      </c>
      <c r="E816" s="69" t="s">
        <v>594</v>
      </c>
      <c r="F816" s="48" t="s">
        <v>1507</v>
      </c>
      <c r="G816" s="75">
        <v>4248</v>
      </c>
      <c r="H816" s="75">
        <v>6400</v>
      </c>
      <c r="I816" s="75">
        <f t="shared" si="10"/>
        <v>2152</v>
      </c>
    </row>
    <row r="817" spans="1:9" hidden="1">
      <c r="A817" s="78" t="s">
        <v>1870</v>
      </c>
      <c r="B817" s="68" t="s">
        <v>1649</v>
      </c>
      <c r="C817" s="68" t="s">
        <v>1650</v>
      </c>
      <c r="D817" s="72" t="s">
        <v>587</v>
      </c>
      <c r="E817" s="69" t="s">
        <v>594</v>
      </c>
      <c r="F817" s="48" t="s">
        <v>1507</v>
      </c>
      <c r="G817" s="75">
        <v>5823</v>
      </c>
      <c r="H817" s="75">
        <v>8823</v>
      </c>
      <c r="I817" s="75">
        <f t="shared" si="10"/>
        <v>3000</v>
      </c>
    </row>
    <row r="818" spans="1:9" hidden="1">
      <c r="A818" s="78" t="s">
        <v>1870</v>
      </c>
      <c r="B818" s="68" t="s">
        <v>1651</v>
      </c>
      <c r="C818" s="68" t="s">
        <v>1652</v>
      </c>
      <c r="D818" s="72" t="s">
        <v>587</v>
      </c>
      <c r="E818" s="8" t="s">
        <v>592</v>
      </c>
      <c r="F818" s="48" t="s">
        <v>1507</v>
      </c>
      <c r="G818" s="75">
        <v>4718</v>
      </c>
      <c r="H818" s="75">
        <v>9600</v>
      </c>
      <c r="I818" s="75">
        <f t="shared" si="10"/>
        <v>4882</v>
      </c>
    </row>
    <row r="819" spans="1:9" hidden="1">
      <c r="A819" s="78" t="s">
        <v>1870</v>
      </c>
      <c r="B819" s="68" t="s">
        <v>1653</v>
      </c>
      <c r="C819" s="68" t="s">
        <v>1654</v>
      </c>
      <c r="D819" s="72" t="s">
        <v>588</v>
      </c>
      <c r="E819" s="8" t="s">
        <v>595</v>
      </c>
      <c r="F819" s="48" t="s">
        <v>1507</v>
      </c>
      <c r="G819" s="75">
        <v>12387</v>
      </c>
      <c r="H819" s="75">
        <f t="shared" ref="H819:H820" si="11">G819</f>
        <v>12387</v>
      </c>
      <c r="I819" s="75">
        <f t="shared" si="10"/>
        <v>0</v>
      </c>
    </row>
    <row r="820" spans="1:9" hidden="1">
      <c r="A820" s="78" t="s">
        <v>1870</v>
      </c>
      <c r="B820" s="68" t="s">
        <v>1655</v>
      </c>
      <c r="C820" s="68" t="s">
        <v>1656</v>
      </c>
      <c r="D820" s="72" t="s">
        <v>587</v>
      </c>
      <c r="E820" s="8" t="s">
        <v>595</v>
      </c>
      <c r="F820" s="19" t="s">
        <v>595</v>
      </c>
      <c r="G820" s="75">
        <v>12744</v>
      </c>
      <c r="H820" s="75">
        <f t="shared" si="11"/>
        <v>12744</v>
      </c>
      <c r="I820" s="75">
        <f t="shared" si="10"/>
        <v>0</v>
      </c>
    </row>
    <row r="821" spans="1:9" hidden="1">
      <c r="A821" s="78" t="s">
        <v>1870</v>
      </c>
      <c r="B821" s="68" t="s">
        <v>1657</v>
      </c>
      <c r="C821" s="68" t="s">
        <v>1658</v>
      </c>
      <c r="D821" s="72" t="s">
        <v>587</v>
      </c>
      <c r="E821" s="8" t="s">
        <v>595</v>
      </c>
      <c r="F821" s="19" t="s">
        <v>595</v>
      </c>
      <c r="G821" s="75">
        <v>6136</v>
      </c>
      <c r="H821" s="75">
        <v>10000</v>
      </c>
      <c r="I821" s="75">
        <f t="shared" si="10"/>
        <v>3864</v>
      </c>
    </row>
    <row r="822" spans="1:9" hidden="1">
      <c r="A822" s="78" t="s">
        <v>1870</v>
      </c>
      <c r="B822" s="68" t="s">
        <v>1659</v>
      </c>
      <c r="C822" s="68" t="s">
        <v>1660</v>
      </c>
      <c r="D822" s="72" t="s">
        <v>587</v>
      </c>
      <c r="E822" s="8" t="s">
        <v>595</v>
      </c>
      <c r="F822" s="19" t="s">
        <v>595</v>
      </c>
      <c r="G822" s="75">
        <f>4841+1450</f>
        <v>6291</v>
      </c>
      <c r="H822" s="75">
        <v>8291</v>
      </c>
      <c r="I822" s="75">
        <f t="shared" si="10"/>
        <v>2000</v>
      </c>
    </row>
    <row r="823" spans="1:9" hidden="1">
      <c r="A823" s="78" t="s">
        <v>1870</v>
      </c>
      <c r="B823" s="68" t="s">
        <v>1661</v>
      </c>
      <c r="C823" s="68" t="s">
        <v>1662</v>
      </c>
      <c r="D823" s="72" t="s">
        <v>587</v>
      </c>
      <c r="E823" s="8" t="s">
        <v>595</v>
      </c>
      <c r="F823" s="19" t="s">
        <v>595</v>
      </c>
      <c r="G823" s="75">
        <v>6608</v>
      </c>
      <c r="H823" s="75">
        <v>7608</v>
      </c>
      <c r="I823" s="75">
        <f t="shared" si="10"/>
        <v>1000</v>
      </c>
    </row>
    <row r="824" spans="1:9" hidden="1">
      <c r="A824" s="78" t="s">
        <v>1870</v>
      </c>
      <c r="B824" s="68" t="s">
        <v>1663</v>
      </c>
      <c r="C824" s="68" t="s">
        <v>1664</v>
      </c>
      <c r="D824" s="72" t="s">
        <v>587</v>
      </c>
      <c r="E824" s="8" t="s">
        <v>595</v>
      </c>
      <c r="F824" s="19" t="s">
        <v>595</v>
      </c>
      <c r="G824" s="75">
        <v>9523</v>
      </c>
      <c r="H824" s="75">
        <v>9523</v>
      </c>
      <c r="I824" s="75">
        <f t="shared" si="10"/>
        <v>0</v>
      </c>
    </row>
    <row r="825" spans="1:9">
      <c r="A825" s="78" t="s">
        <v>1870</v>
      </c>
      <c r="B825" s="68" t="s">
        <v>1665</v>
      </c>
      <c r="C825" s="68" t="s">
        <v>1666</v>
      </c>
      <c r="D825" s="72" t="s">
        <v>587</v>
      </c>
      <c r="E825" s="8" t="s">
        <v>593</v>
      </c>
      <c r="F825" s="48" t="s">
        <v>1507</v>
      </c>
      <c r="G825" s="75">
        <v>2100</v>
      </c>
      <c r="H825" s="75">
        <v>6100</v>
      </c>
      <c r="I825" s="75">
        <f t="shared" si="10"/>
        <v>4000</v>
      </c>
    </row>
    <row r="826" spans="1:9">
      <c r="A826" s="78" t="s">
        <v>1870</v>
      </c>
      <c r="B826" s="68" t="s">
        <v>1667</v>
      </c>
      <c r="C826" s="68" t="s">
        <v>1668</v>
      </c>
      <c r="D826" s="72" t="s">
        <v>1506</v>
      </c>
      <c r="E826" s="8" t="s">
        <v>593</v>
      </c>
      <c r="F826" s="8" t="s">
        <v>596</v>
      </c>
      <c r="G826" s="75">
        <v>11080</v>
      </c>
      <c r="H826" s="75">
        <v>10000</v>
      </c>
      <c r="I826" s="75">
        <f t="shared" si="10"/>
        <v>-1080</v>
      </c>
    </row>
    <row r="827" spans="1:9">
      <c r="A827" s="78" t="s">
        <v>1870</v>
      </c>
      <c r="B827" s="68" t="s">
        <v>1669</v>
      </c>
      <c r="C827" s="68" t="s">
        <v>1670</v>
      </c>
      <c r="D827" s="72" t="s">
        <v>589</v>
      </c>
      <c r="E827" s="8" t="s">
        <v>593</v>
      </c>
      <c r="F827" s="48" t="s">
        <v>1507</v>
      </c>
      <c r="G827" s="75">
        <v>10000</v>
      </c>
      <c r="H827" s="75">
        <v>10000</v>
      </c>
      <c r="I827" s="75">
        <f t="shared" si="10"/>
        <v>0</v>
      </c>
    </row>
    <row r="828" spans="1:9">
      <c r="A828" s="78" t="s">
        <v>1870</v>
      </c>
      <c r="B828" s="68" t="s">
        <v>1671</v>
      </c>
      <c r="C828" s="68" t="s">
        <v>1672</v>
      </c>
      <c r="D828" s="72" t="s">
        <v>589</v>
      </c>
      <c r="E828" s="8" t="s">
        <v>593</v>
      </c>
      <c r="F828" s="48" t="s">
        <v>1507</v>
      </c>
      <c r="G828" s="75">
        <v>10000</v>
      </c>
      <c r="H828" s="75">
        <v>10000</v>
      </c>
      <c r="I828" s="75">
        <f t="shared" si="10"/>
        <v>0</v>
      </c>
    </row>
    <row r="829" spans="1:9">
      <c r="A829" s="78" t="s">
        <v>1870</v>
      </c>
      <c r="B829" s="68" t="s">
        <v>1673</v>
      </c>
      <c r="C829" s="68" t="s">
        <v>1674</v>
      </c>
      <c r="D829" s="72" t="s">
        <v>587</v>
      </c>
      <c r="E829" s="8" t="s">
        <v>593</v>
      </c>
      <c r="F829" s="8" t="s">
        <v>593</v>
      </c>
      <c r="G829" s="75">
        <v>10000</v>
      </c>
      <c r="H829" s="75">
        <v>10000</v>
      </c>
      <c r="I829" s="75">
        <f t="shared" si="10"/>
        <v>0</v>
      </c>
    </row>
    <row r="830" spans="1:9">
      <c r="A830" s="78" t="s">
        <v>1870</v>
      </c>
      <c r="B830" s="68" t="s">
        <v>1675</v>
      </c>
      <c r="C830" s="68" t="s">
        <v>1676</v>
      </c>
      <c r="D830" s="72" t="s">
        <v>587</v>
      </c>
      <c r="E830" s="8" t="s">
        <v>593</v>
      </c>
      <c r="F830" s="8" t="s">
        <v>593</v>
      </c>
      <c r="G830" s="75">
        <v>6842</v>
      </c>
      <c r="H830" s="75">
        <v>7842</v>
      </c>
      <c r="I830" s="75">
        <f t="shared" si="10"/>
        <v>1000</v>
      </c>
    </row>
    <row r="831" spans="1:9">
      <c r="A831" s="78" t="s">
        <v>1870</v>
      </c>
      <c r="B831" s="68" t="s">
        <v>1677</v>
      </c>
      <c r="C831" s="68" t="s">
        <v>1292</v>
      </c>
      <c r="D831" s="72" t="s">
        <v>587</v>
      </c>
      <c r="E831" s="8" t="s">
        <v>593</v>
      </c>
      <c r="F831" s="8" t="s">
        <v>593</v>
      </c>
      <c r="G831" s="75">
        <v>9500</v>
      </c>
      <c r="H831" s="75">
        <v>9500</v>
      </c>
      <c r="I831" s="75">
        <f t="shared" si="10"/>
        <v>0</v>
      </c>
    </row>
    <row r="832" spans="1:9" hidden="1">
      <c r="A832" s="78" t="s">
        <v>1870</v>
      </c>
      <c r="B832" s="68" t="s">
        <v>1678</v>
      </c>
      <c r="C832" s="68" t="s">
        <v>1679</v>
      </c>
      <c r="D832" s="72" t="s">
        <v>589</v>
      </c>
      <c r="E832" s="8" t="s">
        <v>592</v>
      </c>
      <c r="F832" s="8" t="s">
        <v>596</v>
      </c>
      <c r="G832" s="75">
        <v>9000</v>
      </c>
      <c r="H832" s="75">
        <v>10000</v>
      </c>
      <c r="I832" s="75">
        <f t="shared" si="10"/>
        <v>1000</v>
      </c>
    </row>
    <row r="833" spans="1:9" hidden="1">
      <c r="A833" s="78" t="s">
        <v>1870</v>
      </c>
      <c r="B833" s="68" t="s">
        <v>1680</v>
      </c>
      <c r="C833" s="68" t="s">
        <v>1681</v>
      </c>
      <c r="D833" s="72" t="s">
        <v>588</v>
      </c>
      <c r="E833" s="8" t="s">
        <v>592</v>
      </c>
      <c r="F833" s="8" t="s">
        <v>596</v>
      </c>
      <c r="G833" s="75">
        <v>9450</v>
      </c>
      <c r="H833" s="75">
        <v>9450</v>
      </c>
      <c r="I833" s="75">
        <f t="shared" si="10"/>
        <v>0</v>
      </c>
    </row>
    <row r="834" spans="1:9" hidden="1">
      <c r="A834" s="78" t="s">
        <v>1870</v>
      </c>
      <c r="B834" s="68" t="s">
        <v>1682</v>
      </c>
      <c r="C834" s="68" t="s">
        <v>1683</v>
      </c>
      <c r="D834" s="72" t="s">
        <v>586</v>
      </c>
      <c r="E834" s="8" t="s">
        <v>592</v>
      </c>
      <c r="F834" s="8" t="s">
        <v>596</v>
      </c>
      <c r="G834" s="75">
        <v>11800</v>
      </c>
      <c r="H834" s="75">
        <f>G834</f>
        <v>11800</v>
      </c>
      <c r="I834" s="75">
        <f t="shared" si="10"/>
        <v>0</v>
      </c>
    </row>
    <row r="835" spans="1:9" hidden="1">
      <c r="A835" s="78" t="s">
        <v>1870</v>
      </c>
      <c r="B835" s="68" t="s">
        <v>1684</v>
      </c>
      <c r="C835" s="68" t="s">
        <v>1685</v>
      </c>
      <c r="D835" s="72" t="s">
        <v>1163</v>
      </c>
      <c r="E835" s="8" t="s">
        <v>592</v>
      </c>
      <c r="F835" s="8" t="s">
        <v>596</v>
      </c>
      <c r="G835" s="75">
        <v>5250</v>
      </c>
      <c r="H835" s="75">
        <v>7250</v>
      </c>
      <c r="I835" s="75">
        <f t="shared" si="10"/>
        <v>2000</v>
      </c>
    </row>
    <row r="836" spans="1:9" hidden="1">
      <c r="A836" s="78" t="s">
        <v>1870</v>
      </c>
      <c r="B836" s="68" t="s">
        <v>1686</v>
      </c>
      <c r="C836" s="68" t="s">
        <v>1687</v>
      </c>
      <c r="D836" s="72" t="s">
        <v>587</v>
      </c>
      <c r="E836" s="69" t="s">
        <v>594</v>
      </c>
      <c r="F836" s="8" t="s">
        <v>596</v>
      </c>
      <c r="G836" s="75">
        <v>13172</v>
      </c>
      <c r="H836" s="75">
        <f t="shared" ref="H836:H837" si="12">G836</f>
        <v>13172</v>
      </c>
      <c r="I836" s="75">
        <f t="shared" si="10"/>
        <v>0</v>
      </c>
    </row>
    <row r="837" spans="1:9" hidden="1">
      <c r="A837" s="78" t="s">
        <v>1870</v>
      </c>
      <c r="B837" s="68" t="s">
        <v>1688</v>
      </c>
      <c r="C837" s="68" t="s">
        <v>1689</v>
      </c>
      <c r="D837" s="72" t="s">
        <v>587</v>
      </c>
      <c r="E837" s="69" t="s">
        <v>594</v>
      </c>
      <c r="F837" s="8" t="s">
        <v>596</v>
      </c>
      <c r="G837" s="75">
        <v>13772</v>
      </c>
      <c r="H837" s="75">
        <f t="shared" si="12"/>
        <v>13772</v>
      </c>
      <c r="I837" s="75">
        <f t="shared" si="10"/>
        <v>0</v>
      </c>
    </row>
    <row r="838" spans="1:9" hidden="1">
      <c r="A838" s="78" t="s">
        <v>1870</v>
      </c>
      <c r="B838" s="68" t="s">
        <v>1690</v>
      </c>
      <c r="C838" s="68" t="s">
        <v>1691</v>
      </c>
      <c r="D838" s="72" t="s">
        <v>1163</v>
      </c>
      <c r="E838" s="8" t="s">
        <v>592</v>
      </c>
      <c r="F838" s="8" t="s">
        <v>596</v>
      </c>
      <c r="G838" s="75">
        <v>7839</v>
      </c>
      <c r="H838" s="75">
        <v>9839</v>
      </c>
      <c r="I838" s="75">
        <f t="shared" si="10"/>
        <v>2000</v>
      </c>
    </row>
    <row r="839" spans="1:9">
      <c r="A839" s="78" t="s">
        <v>1870</v>
      </c>
      <c r="B839" s="68" t="s">
        <v>1692</v>
      </c>
      <c r="C839" s="68" t="s">
        <v>1693</v>
      </c>
      <c r="D839" s="72" t="s">
        <v>587</v>
      </c>
      <c r="E839" s="8" t="s">
        <v>593</v>
      </c>
      <c r="F839" s="8" t="s">
        <v>593</v>
      </c>
      <c r="G839" s="75">
        <v>7788</v>
      </c>
      <c r="H839" s="75">
        <v>8899</v>
      </c>
      <c r="I839" s="75">
        <f t="shared" si="10"/>
        <v>1111</v>
      </c>
    </row>
    <row r="840" spans="1:9" hidden="1">
      <c r="A840" s="78" t="s">
        <v>1870</v>
      </c>
      <c r="B840" s="68" t="s">
        <v>1694</v>
      </c>
      <c r="C840" s="68" t="s">
        <v>1695</v>
      </c>
      <c r="D840" s="72" t="s">
        <v>1164</v>
      </c>
      <c r="E840" s="8" t="s">
        <v>592</v>
      </c>
      <c r="F840" s="18" t="s">
        <v>592</v>
      </c>
      <c r="G840" s="75">
        <v>2000</v>
      </c>
      <c r="H840" s="75">
        <v>4800</v>
      </c>
      <c r="I840" s="75">
        <f t="shared" si="10"/>
        <v>2800</v>
      </c>
    </row>
    <row r="841" spans="1:9" hidden="1">
      <c r="A841" s="78" t="s">
        <v>1870</v>
      </c>
      <c r="B841" s="68" t="s">
        <v>1696</v>
      </c>
      <c r="C841" s="68" t="s">
        <v>1697</v>
      </c>
      <c r="D841" s="72" t="s">
        <v>588</v>
      </c>
      <c r="E841" s="8" t="s">
        <v>592</v>
      </c>
      <c r="F841" s="18" t="s">
        <v>592</v>
      </c>
      <c r="G841" s="75">
        <v>8379</v>
      </c>
      <c r="H841" s="75">
        <v>9379</v>
      </c>
      <c r="I841" s="75">
        <f t="shared" si="10"/>
        <v>1000</v>
      </c>
    </row>
    <row r="842" spans="1:9" hidden="1">
      <c r="A842" s="78" t="s">
        <v>1870</v>
      </c>
      <c r="B842" s="68" t="s">
        <v>1698</v>
      </c>
      <c r="C842" s="68" t="s">
        <v>1699</v>
      </c>
      <c r="D842" s="72" t="s">
        <v>587</v>
      </c>
      <c r="E842" s="8" t="s">
        <v>595</v>
      </c>
      <c r="F842" s="19" t="s">
        <v>595</v>
      </c>
      <c r="G842" s="75">
        <f>5000+5313</f>
        <v>10313</v>
      </c>
      <c r="H842" s="75">
        <v>10000</v>
      </c>
      <c r="I842" s="75">
        <f t="shared" si="10"/>
        <v>-313</v>
      </c>
    </row>
    <row r="843" spans="1:9" hidden="1">
      <c r="A843" s="78" t="s">
        <v>1870</v>
      </c>
      <c r="B843" s="68" t="s">
        <v>1700</v>
      </c>
      <c r="C843" s="68" t="s">
        <v>1701</v>
      </c>
      <c r="D843" s="72" t="s">
        <v>586</v>
      </c>
      <c r="E843" s="8" t="s">
        <v>595</v>
      </c>
      <c r="F843" s="19" t="s">
        <v>595</v>
      </c>
      <c r="G843" s="75">
        <v>10000</v>
      </c>
      <c r="H843" s="75">
        <v>10000</v>
      </c>
      <c r="I843" s="75">
        <f t="shared" si="10"/>
        <v>0</v>
      </c>
    </row>
    <row r="844" spans="1:9">
      <c r="A844" s="78" t="s">
        <v>1870</v>
      </c>
      <c r="B844" s="68" t="s">
        <v>1702</v>
      </c>
      <c r="C844" s="68" t="s">
        <v>1703</v>
      </c>
      <c r="D844" s="72" t="s">
        <v>587</v>
      </c>
      <c r="E844" s="8" t="s">
        <v>593</v>
      </c>
      <c r="F844" s="8" t="s">
        <v>593</v>
      </c>
      <c r="G844" s="75">
        <v>4518</v>
      </c>
      <c r="H844" s="75">
        <v>9860</v>
      </c>
      <c r="I844" s="75">
        <f t="shared" si="10"/>
        <v>5342</v>
      </c>
    </row>
    <row r="845" spans="1:9" hidden="1">
      <c r="A845" s="78" t="s">
        <v>1870</v>
      </c>
      <c r="B845" s="68" t="s">
        <v>1704</v>
      </c>
      <c r="C845" s="68" t="s">
        <v>1705</v>
      </c>
      <c r="D845" s="72" t="s">
        <v>587</v>
      </c>
      <c r="E845" s="69" t="s">
        <v>594</v>
      </c>
      <c r="F845" s="48" t="s">
        <v>1507</v>
      </c>
      <c r="G845" s="75">
        <v>5231</v>
      </c>
      <c r="H845" s="75">
        <v>9780</v>
      </c>
      <c r="I845" s="75">
        <f t="shared" si="10"/>
        <v>4549</v>
      </c>
    </row>
    <row r="846" spans="1:9" hidden="1">
      <c r="A846" s="78" t="s">
        <v>1870</v>
      </c>
      <c r="B846" s="68" t="s">
        <v>1706</v>
      </c>
      <c r="C846" s="68" t="s">
        <v>1707</v>
      </c>
      <c r="D846" s="72" t="s">
        <v>589</v>
      </c>
      <c r="E846" s="8" t="s">
        <v>592</v>
      </c>
      <c r="F846" s="48" t="s">
        <v>1507</v>
      </c>
      <c r="G846" s="75">
        <v>10000</v>
      </c>
      <c r="H846" s="75">
        <v>10000</v>
      </c>
      <c r="I846" s="75">
        <f t="shared" si="10"/>
        <v>0</v>
      </c>
    </row>
    <row r="847" spans="1:9" hidden="1">
      <c r="A847" s="78" t="s">
        <v>1870</v>
      </c>
      <c r="B847" s="68" t="s">
        <v>1708</v>
      </c>
      <c r="C847" s="68" t="s">
        <v>1709</v>
      </c>
      <c r="D847" s="72" t="s">
        <v>589</v>
      </c>
      <c r="E847" s="8" t="s">
        <v>592</v>
      </c>
      <c r="F847" s="48" t="s">
        <v>1507</v>
      </c>
      <c r="G847" s="75">
        <v>8500</v>
      </c>
      <c r="H847" s="75">
        <v>9700</v>
      </c>
      <c r="I847" s="75">
        <f t="shared" si="10"/>
        <v>1200</v>
      </c>
    </row>
    <row r="848" spans="1:9" hidden="1">
      <c r="A848" s="78" t="s">
        <v>1870</v>
      </c>
      <c r="B848" s="68" t="s">
        <v>1710</v>
      </c>
      <c r="C848" s="68" t="s">
        <v>1711</v>
      </c>
      <c r="D848" s="72" t="s">
        <v>587</v>
      </c>
      <c r="E848" s="69" t="s">
        <v>594</v>
      </c>
      <c r="F848" s="48" t="s">
        <v>1507</v>
      </c>
      <c r="G848" s="75">
        <v>8272</v>
      </c>
      <c r="H848" s="75">
        <v>9872</v>
      </c>
      <c r="I848" s="75">
        <f t="shared" si="10"/>
        <v>1600</v>
      </c>
    </row>
    <row r="849" spans="1:9">
      <c r="A849" s="78" t="s">
        <v>1870</v>
      </c>
      <c r="B849" s="68" t="s">
        <v>1712</v>
      </c>
      <c r="C849" s="68" t="s">
        <v>1713</v>
      </c>
      <c r="D849" s="72" t="s">
        <v>587</v>
      </c>
      <c r="E849" s="8" t="s">
        <v>593</v>
      </c>
      <c r="F849" s="8" t="s">
        <v>593</v>
      </c>
      <c r="G849" s="75">
        <v>9853</v>
      </c>
      <c r="H849" s="75">
        <v>9853</v>
      </c>
      <c r="I849" s="75">
        <f t="shared" si="10"/>
        <v>0</v>
      </c>
    </row>
    <row r="850" spans="1:9">
      <c r="A850" s="78" t="s">
        <v>1870</v>
      </c>
      <c r="B850" s="68" t="s">
        <v>1714</v>
      </c>
      <c r="C850" s="68" t="s">
        <v>1715</v>
      </c>
      <c r="D850" s="72" t="s">
        <v>587</v>
      </c>
      <c r="E850" s="8" t="s">
        <v>593</v>
      </c>
      <c r="F850" s="8" t="s">
        <v>593</v>
      </c>
      <c r="G850" s="75">
        <v>8732</v>
      </c>
      <c r="H850" s="75">
        <v>10000</v>
      </c>
      <c r="I850" s="75">
        <f t="shared" si="10"/>
        <v>1268</v>
      </c>
    </row>
    <row r="851" spans="1:9" hidden="1">
      <c r="A851" s="78" t="s">
        <v>1870</v>
      </c>
      <c r="B851" s="68" t="s">
        <v>1716</v>
      </c>
      <c r="C851" s="68" t="s">
        <v>1717</v>
      </c>
      <c r="D851" s="72" t="s">
        <v>589</v>
      </c>
      <c r="E851" s="8" t="s">
        <v>595</v>
      </c>
      <c r="F851" s="19" t="s">
        <v>595</v>
      </c>
      <c r="G851" s="75">
        <v>10000</v>
      </c>
      <c r="H851" s="75">
        <v>10000</v>
      </c>
      <c r="I851" s="75">
        <f t="shared" si="10"/>
        <v>0</v>
      </c>
    </row>
    <row r="852" spans="1:9">
      <c r="A852" s="78" t="s">
        <v>1870</v>
      </c>
      <c r="B852" s="68" t="s">
        <v>1718</v>
      </c>
      <c r="C852" s="68" t="s">
        <v>1719</v>
      </c>
      <c r="D852" s="72" t="s">
        <v>587</v>
      </c>
      <c r="E852" s="8" t="s">
        <v>593</v>
      </c>
      <c r="F852" s="8" t="s">
        <v>593</v>
      </c>
      <c r="G852" s="75">
        <v>10000</v>
      </c>
      <c r="H852" s="75">
        <v>10000</v>
      </c>
      <c r="I852" s="75">
        <f t="shared" si="10"/>
        <v>0</v>
      </c>
    </row>
    <row r="853" spans="1:9">
      <c r="A853" s="78" t="s">
        <v>1870</v>
      </c>
      <c r="B853" s="68" t="s">
        <v>1720</v>
      </c>
      <c r="C853" s="68" t="s">
        <v>1721</v>
      </c>
      <c r="D853" s="72" t="s">
        <v>587</v>
      </c>
      <c r="E853" s="8" t="s">
        <v>593</v>
      </c>
      <c r="F853" s="8" t="s">
        <v>593</v>
      </c>
      <c r="G853" s="75">
        <v>12372</v>
      </c>
      <c r="H853" s="75">
        <f>G853</f>
        <v>12372</v>
      </c>
      <c r="I853" s="75">
        <f t="shared" si="10"/>
        <v>0</v>
      </c>
    </row>
    <row r="854" spans="1:9">
      <c r="A854" s="78" t="s">
        <v>1870</v>
      </c>
      <c r="B854" s="68" t="s">
        <v>1722</v>
      </c>
      <c r="C854" s="68" t="s">
        <v>1723</v>
      </c>
      <c r="D854" s="72" t="s">
        <v>587</v>
      </c>
      <c r="E854" s="8" t="s">
        <v>593</v>
      </c>
      <c r="F854" s="8" t="s">
        <v>593</v>
      </c>
      <c r="G854" s="75">
        <v>8380</v>
      </c>
      <c r="H854" s="75">
        <v>9380</v>
      </c>
      <c r="I854" s="75">
        <f t="shared" si="10"/>
        <v>1000</v>
      </c>
    </row>
    <row r="855" spans="1:9">
      <c r="A855" s="78" t="s">
        <v>1870</v>
      </c>
      <c r="B855" s="68" t="s">
        <v>1724</v>
      </c>
      <c r="C855" s="68" t="s">
        <v>1725</v>
      </c>
      <c r="D855" s="72" t="s">
        <v>586</v>
      </c>
      <c r="E855" s="8" t="s">
        <v>593</v>
      </c>
      <c r="F855" s="48" t="s">
        <v>1507</v>
      </c>
      <c r="G855" s="75">
        <v>10200</v>
      </c>
      <c r="H855" s="75">
        <v>10000</v>
      </c>
      <c r="I855" s="75">
        <f t="shared" si="10"/>
        <v>-200</v>
      </c>
    </row>
    <row r="856" spans="1:9" hidden="1">
      <c r="A856" s="78" t="s">
        <v>1870</v>
      </c>
      <c r="B856" s="68" t="s">
        <v>1726</v>
      </c>
      <c r="C856" s="68" t="s">
        <v>1727</v>
      </c>
      <c r="D856" s="72" t="s">
        <v>587</v>
      </c>
      <c r="E856" s="8" t="s">
        <v>595</v>
      </c>
      <c r="F856" s="19" t="s">
        <v>595</v>
      </c>
      <c r="G856" s="75">
        <v>4741</v>
      </c>
      <c r="H856" s="75">
        <v>8471</v>
      </c>
      <c r="I856" s="75">
        <f t="shared" si="10"/>
        <v>3730</v>
      </c>
    </row>
    <row r="857" spans="1:9" hidden="1">
      <c r="A857" s="78" t="s">
        <v>1870</v>
      </c>
      <c r="B857" s="68" t="s">
        <v>1728</v>
      </c>
      <c r="C857" s="68" t="s">
        <v>1729</v>
      </c>
      <c r="D857" s="72" t="s">
        <v>587</v>
      </c>
      <c r="E857" s="8" t="s">
        <v>595</v>
      </c>
      <c r="F857" s="19" t="s">
        <v>595</v>
      </c>
      <c r="G857" s="75">
        <v>4314</v>
      </c>
      <c r="H857" s="75">
        <v>8850</v>
      </c>
      <c r="I857" s="75">
        <f t="shared" si="10"/>
        <v>4536</v>
      </c>
    </row>
    <row r="858" spans="1:9" hidden="1">
      <c r="A858" s="78" t="s">
        <v>1870</v>
      </c>
      <c r="B858" s="68" t="s">
        <v>1730</v>
      </c>
      <c r="C858" s="68" t="s">
        <v>1731</v>
      </c>
      <c r="D858" s="72" t="s">
        <v>587</v>
      </c>
      <c r="E858" s="8" t="s">
        <v>595</v>
      </c>
      <c r="F858" s="19" t="s">
        <v>595</v>
      </c>
      <c r="G858" s="75">
        <v>8875</v>
      </c>
      <c r="H858" s="75">
        <v>9875</v>
      </c>
      <c r="I858" s="75">
        <f t="shared" si="10"/>
        <v>1000</v>
      </c>
    </row>
    <row r="859" spans="1:9" hidden="1">
      <c r="A859" s="78" t="s">
        <v>1870</v>
      </c>
      <c r="B859" s="68" t="s">
        <v>1732</v>
      </c>
      <c r="C859" s="68" t="s">
        <v>1733</v>
      </c>
      <c r="D859" s="72" t="s">
        <v>587</v>
      </c>
      <c r="E859" s="69" t="s">
        <v>594</v>
      </c>
      <c r="F859" s="48" t="s">
        <v>1507</v>
      </c>
      <c r="G859" s="75">
        <v>11033</v>
      </c>
      <c r="H859" s="75">
        <v>10000</v>
      </c>
      <c r="I859" s="75">
        <f t="shared" si="10"/>
        <v>-1033</v>
      </c>
    </row>
    <row r="860" spans="1:9" hidden="1">
      <c r="A860" s="78" t="s">
        <v>1870</v>
      </c>
      <c r="B860" s="68" t="s">
        <v>1734</v>
      </c>
      <c r="C860" s="68" t="s">
        <v>1735</v>
      </c>
      <c r="D860" s="72" t="s">
        <v>587</v>
      </c>
      <c r="E860" s="69" t="s">
        <v>594</v>
      </c>
      <c r="F860" s="48" t="s">
        <v>1507</v>
      </c>
      <c r="G860" s="75">
        <v>6984</v>
      </c>
      <c r="H860" s="75">
        <v>10000</v>
      </c>
      <c r="I860" s="75">
        <f t="shared" si="10"/>
        <v>3016</v>
      </c>
    </row>
    <row r="861" spans="1:9" hidden="1">
      <c r="A861" s="78" t="s">
        <v>1870</v>
      </c>
      <c r="B861" s="68" t="s">
        <v>1736</v>
      </c>
      <c r="C861" s="68" t="s">
        <v>1737</v>
      </c>
      <c r="D861" s="72" t="s">
        <v>587</v>
      </c>
      <c r="E861" s="8" t="s">
        <v>592</v>
      </c>
      <c r="F861" s="48" t="s">
        <v>1507</v>
      </c>
      <c r="G861" s="75">
        <v>7582</v>
      </c>
      <c r="H861" s="75">
        <v>9528</v>
      </c>
      <c r="I861" s="75">
        <f t="shared" si="10"/>
        <v>1946</v>
      </c>
    </row>
    <row r="862" spans="1:9" hidden="1">
      <c r="A862" s="78" t="s">
        <v>1870</v>
      </c>
      <c r="B862" s="68" t="s">
        <v>1738</v>
      </c>
      <c r="C862" s="68" t="s">
        <v>1739</v>
      </c>
      <c r="D862" s="72" t="s">
        <v>587</v>
      </c>
      <c r="E862" s="8" t="s">
        <v>592</v>
      </c>
      <c r="F862" s="48" t="s">
        <v>1507</v>
      </c>
      <c r="G862" s="75">
        <v>10379</v>
      </c>
      <c r="H862" s="75">
        <v>10000</v>
      </c>
      <c r="I862" s="75">
        <f t="shared" si="10"/>
        <v>-379</v>
      </c>
    </row>
    <row r="863" spans="1:9" hidden="1">
      <c r="A863" s="78" t="s">
        <v>1870</v>
      </c>
      <c r="B863" s="68" t="s">
        <v>1740</v>
      </c>
      <c r="C863" s="68" t="s">
        <v>1741</v>
      </c>
      <c r="D863" s="72" t="s">
        <v>587</v>
      </c>
      <c r="E863" s="69" t="s">
        <v>594</v>
      </c>
      <c r="F863" s="48" t="s">
        <v>1507</v>
      </c>
      <c r="G863" s="75">
        <v>7965</v>
      </c>
      <c r="H863" s="75">
        <v>9900</v>
      </c>
      <c r="I863" s="75">
        <f t="shared" si="10"/>
        <v>1935</v>
      </c>
    </row>
    <row r="864" spans="1:9" hidden="1">
      <c r="A864" s="78" t="s">
        <v>1870</v>
      </c>
      <c r="B864" s="68" t="s">
        <v>1742</v>
      </c>
      <c r="C864" s="68" t="s">
        <v>1743</v>
      </c>
      <c r="D864" s="72" t="s">
        <v>587</v>
      </c>
      <c r="E864" s="69" t="s">
        <v>594</v>
      </c>
      <c r="F864" s="48" t="s">
        <v>1507</v>
      </c>
      <c r="G864" s="75">
        <v>10001</v>
      </c>
      <c r="H864" s="75">
        <v>10000</v>
      </c>
      <c r="I864" s="75">
        <f t="shared" si="10"/>
        <v>-1</v>
      </c>
    </row>
    <row r="865" spans="1:9" hidden="1">
      <c r="A865" s="78" t="s">
        <v>1870</v>
      </c>
      <c r="B865" s="68" t="s">
        <v>1744</v>
      </c>
      <c r="C865" s="68" t="s">
        <v>1745</v>
      </c>
      <c r="D865" s="72" t="s">
        <v>587</v>
      </c>
      <c r="E865" s="8" t="s">
        <v>592</v>
      </c>
      <c r="F865" s="18" t="s">
        <v>592</v>
      </c>
      <c r="G865" s="75">
        <v>10735</v>
      </c>
      <c r="H865" s="75">
        <v>10000</v>
      </c>
      <c r="I865" s="75">
        <f t="shared" si="10"/>
        <v>-735</v>
      </c>
    </row>
    <row r="866" spans="1:9">
      <c r="A866" s="78" t="s">
        <v>1870</v>
      </c>
      <c r="B866" s="68" t="s">
        <v>1746</v>
      </c>
      <c r="C866" s="68" t="s">
        <v>1747</v>
      </c>
      <c r="D866" s="72" t="s">
        <v>589</v>
      </c>
      <c r="E866" s="8" t="s">
        <v>593</v>
      </c>
      <c r="F866" s="48" t="s">
        <v>1507</v>
      </c>
      <c r="G866" s="75">
        <v>10000</v>
      </c>
      <c r="H866" s="75">
        <v>10000</v>
      </c>
      <c r="I866" s="75">
        <f t="shared" si="10"/>
        <v>0</v>
      </c>
    </row>
    <row r="867" spans="1:9" hidden="1">
      <c r="A867" s="78" t="s">
        <v>1870</v>
      </c>
      <c r="B867" s="68" t="s">
        <v>1748</v>
      </c>
      <c r="C867" s="68" t="s">
        <v>1749</v>
      </c>
      <c r="D867" s="72" t="s">
        <v>586</v>
      </c>
      <c r="E867" s="8" t="s">
        <v>595</v>
      </c>
      <c r="F867" s="48" t="s">
        <v>1507</v>
      </c>
      <c r="G867" s="75">
        <v>11000</v>
      </c>
      <c r="H867" s="75">
        <v>10000</v>
      </c>
      <c r="I867" s="75">
        <f t="shared" si="10"/>
        <v>-1000</v>
      </c>
    </row>
    <row r="868" spans="1:9">
      <c r="A868" s="78" t="s">
        <v>1870</v>
      </c>
      <c r="B868" s="68" t="s">
        <v>1750</v>
      </c>
      <c r="C868" s="68" t="s">
        <v>1751</v>
      </c>
      <c r="D868" s="72" t="s">
        <v>1167</v>
      </c>
      <c r="E868" s="8" t="s">
        <v>593</v>
      </c>
      <c r="F868" s="48" t="s">
        <v>1507</v>
      </c>
      <c r="G868" s="75">
        <v>10000</v>
      </c>
      <c r="H868" s="75">
        <v>10000</v>
      </c>
      <c r="I868" s="75">
        <f t="shared" si="10"/>
        <v>0</v>
      </c>
    </row>
    <row r="869" spans="1:9" hidden="1">
      <c r="A869" s="78" t="s">
        <v>1870</v>
      </c>
      <c r="B869" s="68" t="s">
        <v>1752</v>
      </c>
      <c r="C869" s="68" t="s">
        <v>1753</v>
      </c>
      <c r="D869" s="72" t="s">
        <v>587</v>
      </c>
      <c r="E869" s="69" t="s">
        <v>594</v>
      </c>
      <c r="F869" s="19" t="s">
        <v>594</v>
      </c>
      <c r="G869" s="75">
        <v>10857</v>
      </c>
      <c r="H869" s="75">
        <v>10000</v>
      </c>
      <c r="I869" s="75">
        <f t="shared" si="10"/>
        <v>-857</v>
      </c>
    </row>
    <row r="870" spans="1:9" hidden="1">
      <c r="A870" s="78" t="s">
        <v>1870</v>
      </c>
      <c r="B870" s="68" t="s">
        <v>1754</v>
      </c>
      <c r="C870" s="68" t="s">
        <v>1755</v>
      </c>
      <c r="D870" s="72" t="s">
        <v>587</v>
      </c>
      <c r="E870" s="69" t="s">
        <v>594</v>
      </c>
      <c r="F870" s="19" t="s">
        <v>594</v>
      </c>
      <c r="G870" s="75">
        <v>4130</v>
      </c>
      <c r="H870" s="75">
        <v>8200</v>
      </c>
      <c r="I870" s="75">
        <f t="shared" si="10"/>
        <v>4070</v>
      </c>
    </row>
    <row r="871" spans="1:9" hidden="1">
      <c r="A871" s="78" t="s">
        <v>1870</v>
      </c>
      <c r="B871" s="68" t="s">
        <v>1756</v>
      </c>
      <c r="C871" s="68" t="s">
        <v>1757</v>
      </c>
      <c r="D871" s="72" t="s">
        <v>587</v>
      </c>
      <c r="E871" s="69" t="s">
        <v>594</v>
      </c>
      <c r="F871" s="19" t="s">
        <v>594</v>
      </c>
      <c r="G871" s="75">
        <v>7786</v>
      </c>
      <c r="H871" s="75">
        <v>10000</v>
      </c>
      <c r="I871" s="75">
        <f t="shared" si="10"/>
        <v>2214</v>
      </c>
    </row>
    <row r="872" spans="1:9" hidden="1">
      <c r="A872" s="78" t="s">
        <v>1870</v>
      </c>
      <c r="B872" s="68" t="s">
        <v>1758</v>
      </c>
      <c r="C872" s="68" t="s">
        <v>1759</v>
      </c>
      <c r="D872" s="72" t="s">
        <v>587</v>
      </c>
      <c r="E872" s="69" t="s">
        <v>594</v>
      </c>
      <c r="F872" s="19" t="s">
        <v>594</v>
      </c>
      <c r="G872" s="75">
        <v>4480</v>
      </c>
      <c r="H872" s="75">
        <v>7500</v>
      </c>
      <c r="I872" s="75">
        <f t="shared" si="10"/>
        <v>3020</v>
      </c>
    </row>
    <row r="873" spans="1:9" hidden="1">
      <c r="A873" s="78" t="s">
        <v>1870</v>
      </c>
      <c r="B873" s="68" t="s">
        <v>1760</v>
      </c>
      <c r="C873" s="68" t="s">
        <v>1761</v>
      </c>
      <c r="D873" s="72" t="s">
        <v>587</v>
      </c>
      <c r="E873" s="69" t="s">
        <v>594</v>
      </c>
      <c r="F873" s="19" t="s">
        <v>594</v>
      </c>
      <c r="G873" s="75">
        <v>2347</v>
      </c>
      <c r="H873" s="75">
        <v>5680</v>
      </c>
      <c r="I873" s="75">
        <f t="shared" si="10"/>
        <v>3333</v>
      </c>
    </row>
    <row r="874" spans="1:9" hidden="1">
      <c r="A874" s="78" t="s">
        <v>1870</v>
      </c>
      <c r="B874" s="68" t="s">
        <v>1762</v>
      </c>
      <c r="C874" s="68" t="s">
        <v>1763</v>
      </c>
      <c r="D874" s="72" t="s">
        <v>587</v>
      </c>
      <c r="E874" s="69" t="s">
        <v>594</v>
      </c>
      <c r="F874" s="19" t="s">
        <v>594</v>
      </c>
      <c r="G874" s="75">
        <v>6590</v>
      </c>
      <c r="H874" s="75">
        <v>8590</v>
      </c>
      <c r="I874" s="75">
        <f t="shared" si="10"/>
        <v>2000</v>
      </c>
    </row>
    <row r="875" spans="1:9" hidden="1">
      <c r="A875" s="78" t="s">
        <v>1870</v>
      </c>
      <c r="B875" s="68" t="s">
        <v>1764</v>
      </c>
      <c r="C875" s="68" t="s">
        <v>1765</v>
      </c>
      <c r="D875" s="72" t="s">
        <v>587</v>
      </c>
      <c r="E875" s="69" t="s">
        <v>594</v>
      </c>
      <c r="F875" s="19" t="s">
        <v>594</v>
      </c>
      <c r="G875" s="75">
        <v>3758</v>
      </c>
      <c r="H875" s="75">
        <v>9858</v>
      </c>
      <c r="I875" s="75">
        <f t="shared" si="10"/>
        <v>6100</v>
      </c>
    </row>
    <row r="876" spans="1:9" hidden="1">
      <c r="A876" s="78" t="s">
        <v>1870</v>
      </c>
      <c r="B876" s="68" t="s">
        <v>1766</v>
      </c>
      <c r="C876" s="68" t="s">
        <v>1767</v>
      </c>
      <c r="D876" s="72" t="s">
        <v>587</v>
      </c>
      <c r="E876" s="69" t="s">
        <v>594</v>
      </c>
      <c r="F876" s="19" t="s">
        <v>594</v>
      </c>
      <c r="G876" s="75">
        <v>9435</v>
      </c>
      <c r="H876" s="75">
        <v>9435</v>
      </c>
      <c r="I876" s="75">
        <f t="shared" ref="I876:I924" si="13">H876-G876</f>
        <v>0</v>
      </c>
    </row>
    <row r="877" spans="1:9" hidden="1">
      <c r="A877" s="78" t="s">
        <v>1870</v>
      </c>
      <c r="B877" s="68" t="s">
        <v>1768</v>
      </c>
      <c r="C877" s="68" t="s">
        <v>1769</v>
      </c>
      <c r="D877" s="72" t="s">
        <v>587</v>
      </c>
      <c r="E877" s="69" t="s">
        <v>594</v>
      </c>
      <c r="F877" s="19" t="s">
        <v>594</v>
      </c>
      <c r="G877" s="75">
        <v>5900</v>
      </c>
      <c r="H877" s="75">
        <v>8900</v>
      </c>
      <c r="I877" s="75">
        <f t="shared" si="13"/>
        <v>3000</v>
      </c>
    </row>
    <row r="878" spans="1:9" hidden="1">
      <c r="A878" s="78" t="s">
        <v>1870</v>
      </c>
      <c r="B878" s="68" t="s">
        <v>1770</v>
      </c>
      <c r="C878" s="68" t="s">
        <v>1771</v>
      </c>
      <c r="D878" s="72" t="s">
        <v>587</v>
      </c>
      <c r="E878" s="69" t="s">
        <v>594</v>
      </c>
      <c r="F878" s="19" t="s">
        <v>594</v>
      </c>
      <c r="G878" s="75">
        <v>7667</v>
      </c>
      <c r="H878" s="75">
        <v>10000</v>
      </c>
      <c r="I878" s="75">
        <f t="shared" si="13"/>
        <v>2333</v>
      </c>
    </row>
    <row r="879" spans="1:9" hidden="1">
      <c r="A879" s="78" t="s">
        <v>1870</v>
      </c>
      <c r="B879" s="68" t="s">
        <v>1772</v>
      </c>
      <c r="C879" s="68" t="s">
        <v>1773</v>
      </c>
      <c r="D879" s="72" t="s">
        <v>587</v>
      </c>
      <c r="E879" s="69" t="s">
        <v>594</v>
      </c>
      <c r="F879" s="19" t="s">
        <v>594</v>
      </c>
      <c r="G879" s="75">
        <v>10024</v>
      </c>
      <c r="H879" s="75">
        <v>10000</v>
      </c>
      <c r="I879" s="75">
        <f t="shared" si="13"/>
        <v>-24</v>
      </c>
    </row>
    <row r="880" spans="1:9" hidden="1">
      <c r="A880" s="78" t="s">
        <v>1870</v>
      </c>
      <c r="B880" s="68" t="s">
        <v>1774</v>
      </c>
      <c r="C880" s="68" t="s">
        <v>1775</v>
      </c>
      <c r="D880" s="72" t="s">
        <v>587</v>
      </c>
      <c r="E880" s="69" t="s">
        <v>594</v>
      </c>
      <c r="F880" s="19" t="s">
        <v>594</v>
      </c>
      <c r="G880" s="75">
        <v>7245</v>
      </c>
      <c r="H880" s="75">
        <v>9245</v>
      </c>
      <c r="I880" s="75">
        <f t="shared" si="13"/>
        <v>2000</v>
      </c>
    </row>
    <row r="881" spans="1:9" hidden="1">
      <c r="A881" s="78" t="s">
        <v>1870</v>
      </c>
      <c r="B881" s="68" t="s">
        <v>1776</v>
      </c>
      <c r="C881" s="68" t="s">
        <v>1777</v>
      </c>
      <c r="D881" s="72" t="s">
        <v>587</v>
      </c>
      <c r="E881" s="69" t="s">
        <v>594</v>
      </c>
      <c r="F881" s="19" t="s">
        <v>594</v>
      </c>
      <c r="G881" s="75">
        <v>7221.6</v>
      </c>
      <c r="H881" s="75">
        <v>9221.6</v>
      </c>
      <c r="I881" s="75">
        <f t="shared" si="13"/>
        <v>2000</v>
      </c>
    </row>
    <row r="882" spans="1:9" hidden="1">
      <c r="A882" s="78" t="s">
        <v>1870</v>
      </c>
      <c r="B882" s="68" t="s">
        <v>1778</v>
      </c>
      <c r="C882" s="68" t="s">
        <v>1779</v>
      </c>
      <c r="D882" s="72" t="s">
        <v>587</v>
      </c>
      <c r="E882" s="69" t="s">
        <v>594</v>
      </c>
      <c r="F882" s="19" t="s">
        <v>594</v>
      </c>
      <c r="G882" s="75">
        <v>5266</v>
      </c>
      <c r="H882" s="75">
        <v>7266</v>
      </c>
      <c r="I882" s="75">
        <f t="shared" si="13"/>
        <v>2000</v>
      </c>
    </row>
    <row r="883" spans="1:9">
      <c r="A883" s="78" t="s">
        <v>1870</v>
      </c>
      <c r="B883" s="68" t="s">
        <v>1780</v>
      </c>
      <c r="C883" s="68" t="s">
        <v>1781</v>
      </c>
      <c r="D883" s="72" t="s">
        <v>587</v>
      </c>
      <c r="E883" s="8" t="s">
        <v>593</v>
      </c>
      <c r="F883" s="8" t="s">
        <v>593</v>
      </c>
      <c r="G883" s="75">
        <v>10742</v>
      </c>
      <c r="H883" s="75">
        <v>10000</v>
      </c>
      <c r="I883" s="75">
        <f t="shared" si="13"/>
        <v>-742</v>
      </c>
    </row>
    <row r="884" spans="1:9">
      <c r="A884" s="78" t="s">
        <v>1870</v>
      </c>
      <c r="B884" s="68" t="s">
        <v>1782</v>
      </c>
      <c r="C884" s="68" t="s">
        <v>1783</v>
      </c>
      <c r="D884" s="72" t="s">
        <v>587</v>
      </c>
      <c r="E884" s="8" t="s">
        <v>593</v>
      </c>
      <c r="F884" s="48" t="s">
        <v>1507</v>
      </c>
      <c r="G884" s="75">
        <v>10504</v>
      </c>
      <c r="H884" s="75">
        <v>10000</v>
      </c>
      <c r="I884" s="75">
        <f t="shared" si="13"/>
        <v>-504</v>
      </c>
    </row>
    <row r="885" spans="1:9" hidden="1">
      <c r="A885" s="78" t="s">
        <v>1870</v>
      </c>
      <c r="B885" s="68" t="s">
        <v>1784</v>
      </c>
      <c r="C885" s="68" t="s">
        <v>1785</v>
      </c>
      <c r="D885" s="72" t="s">
        <v>1866</v>
      </c>
      <c r="E885" s="69" t="s">
        <v>594</v>
      </c>
      <c r="F885" s="8" t="s">
        <v>596</v>
      </c>
      <c r="G885" s="75">
        <v>5100</v>
      </c>
      <c r="H885" s="75">
        <v>7200</v>
      </c>
      <c r="I885" s="75">
        <f t="shared" si="13"/>
        <v>2100</v>
      </c>
    </row>
    <row r="886" spans="1:9" hidden="1">
      <c r="A886" s="78" t="s">
        <v>1870</v>
      </c>
      <c r="B886" s="68" t="s">
        <v>1786</v>
      </c>
      <c r="C886" s="68" t="s">
        <v>1787</v>
      </c>
      <c r="D886" s="72" t="s">
        <v>587</v>
      </c>
      <c r="E886" s="69" t="s">
        <v>594</v>
      </c>
      <c r="F886" s="19" t="s">
        <v>594</v>
      </c>
      <c r="G886" s="75">
        <v>7788</v>
      </c>
      <c r="H886" s="75">
        <v>10000</v>
      </c>
      <c r="I886" s="75">
        <f t="shared" si="13"/>
        <v>2212</v>
      </c>
    </row>
    <row r="887" spans="1:9" hidden="1">
      <c r="A887" s="78" t="s">
        <v>1870</v>
      </c>
      <c r="B887" s="68" t="s">
        <v>1788</v>
      </c>
      <c r="C887" s="68" t="s">
        <v>1789</v>
      </c>
      <c r="D887" s="72" t="s">
        <v>587</v>
      </c>
      <c r="E887" s="69" t="s">
        <v>594</v>
      </c>
      <c r="F887" s="48" t="s">
        <v>1507</v>
      </c>
      <c r="G887" s="75">
        <v>9440</v>
      </c>
      <c r="H887" s="75">
        <v>9440</v>
      </c>
      <c r="I887" s="75">
        <f t="shared" si="13"/>
        <v>0</v>
      </c>
    </row>
    <row r="888" spans="1:9" hidden="1">
      <c r="A888" s="78" t="s">
        <v>1870</v>
      </c>
      <c r="B888" s="68" t="s">
        <v>1790</v>
      </c>
      <c r="C888" s="68" t="s">
        <v>1791</v>
      </c>
      <c r="D888" s="72" t="s">
        <v>587</v>
      </c>
      <c r="E888" s="69" t="s">
        <v>594</v>
      </c>
      <c r="F888" s="48" t="s">
        <v>1507</v>
      </c>
      <c r="G888" s="75">
        <v>2852</v>
      </c>
      <c r="H888" s="75">
        <v>6000</v>
      </c>
      <c r="I888" s="75">
        <f t="shared" si="13"/>
        <v>3148</v>
      </c>
    </row>
    <row r="889" spans="1:9" hidden="1">
      <c r="A889" s="78" t="s">
        <v>1870</v>
      </c>
      <c r="B889" s="68" t="s">
        <v>1792</v>
      </c>
      <c r="C889" s="68" t="s">
        <v>1793</v>
      </c>
      <c r="D889" s="72" t="s">
        <v>587</v>
      </c>
      <c r="E889" s="69" t="s">
        <v>594</v>
      </c>
      <c r="F889" s="19" t="s">
        <v>594</v>
      </c>
      <c r="G889" s="75">
        <f>5192+1500</f>
        <v>6692</v>
      </c>
      <c r="H889" s="75">
        <v>8692</v>
      </c>
      <c r="I889" s="75">
        <f t="shared" si="13"/>
        <v>2000</v>
      </c>
    </row>
    <row r="890" spans="1:9" hidden="1">
      <c r="A890" s="78" t="s">
        <v>1870</v>
      </c>
      <c r="B890" s="68" t="s">
        <v>1794</v>
      </c>
      <c r="C890" s="68" t="s">
        <v>1795</v>
      </c>
      <c r="D890" s="72" t="s">
        <v>1866</v>
      </c>
      <c r="E890" s="69" t="s">
        <v>594</v>
      </c>
      <c r="F890" s="8" t="s">
        <v>596</v>
      </c>
      <c r="G890" s="75">
        <v>5100</v>
      </c>
      <c r="H890" s="75">
        <v>6200</v>
      </c>
      <c r="I890" s="75">
        <f t="shared" si="13"/>
        <v>1100</v>
      </c>
    </row>
    <row r="891" spans="1:9" hidden="1">
      <c r="A891" s="78" t="s">
        <v>1870</v>
      </c>
      <c r="B891" s="68" t="s">
        <v>1796</v>
      </c>
      <c r="C891" s="68" t="s">
        <v>1797</v>
      </c>
      <c r="D891" s="72" t="s">
        <v>587</v>
      </c>
      <c r="E891" s="69" t="s">
        <v>594</v>
      </c>
      <c r="F891" s="19" t="s">
        <v>594</v>
      </c>
      <c r="G891" s="75">
        <v>5192</v>
      </c>
      <c r="H891" s="75">
        <v>10000</v>
      </c>
      <c r="I891" s="75">
        <f t="shared" si="13"/>
        <v>4808</v>
      </c>
    </row>
    <row r="892" spans="1:9" hidden="1">
      <c r="A892" s="78" t="s">
        <v>1870</v>
      </c>
      <c r="B892" s="68" t="s">
        <v>1798</v>
      </c>
      <c r="C892" s="68" t="s">
        <v>1799</v>
      </c>
      <c r="D892" s="72" t="s">
        <v>587</v>
      </c>
      <c r="E892" s="8" t="s">
        <v>592</v>
      </c>
      <c r="F892" s="48" t="s">
        <v>1507</v>
      </c>
      <c r="G892" s="75">
        <v>8260</v>
      </c>
      <c r="H892" s="75">
        <v>9260</v>
      </c>
      <c r="I892" s="75">
        <f t="shared" si="13"/>
        <v>1000</v>
      </c>
    </row>
    <row r="893" spans="1:9" hidden="1">
      <c r="A893" s="78" t="s">
        <v>1870</v>
      </c>
      <c r="B893" s="68" t="s">
        <v>1800</v>
      </c>
      <c r="C893" s="68" t="s">
        <v>1801</v>
      </c>
      <c r="D893" s="72" t="s">
        <v>1867</v>
      </c>
      <c r="E893" s="8" t="s">
        <v>595</v>
      </c>
      <c r="F893" s="8" t="s">
        <v>596</v>
      </c>
      <c r="G893" s="75">
        <v>4500</v>
      </c>
      <c r="H893" s="75">
        <v>6500</v>
      </c>
      <c r="I893" s="75">
        <f t="shared" si="13"/>
        <v>2000</v>
      </c>
    </row>
    <row r="894" spans="1:9" hidden="1">
      <c r="A894" s="78" t="s">
        <v>1870</v>
      </c>
      <c r="B894" s="68" t="s">
        <v>1802</v>
      </c>
      <c r="C894" s="68" t="s">
        <v>1803</v>
      </c>
      <c r="D894" s="72" t="s">
        <v>1163</v>
      </c>
      <c r="E894" s="8" t="s">
        <v>595</v>
      </c>
      <c r="F894" s="8" t="s">
        <v>596</v>
      </c>
      <c r="G894" s="75">
        <v>10000</v>
      </c>
      <c r="H894" s="75">
        <v>10000</v>
      </c>
      <c r="I894" s="75">
        <f t="shared" si="13"/>
        <v>0</v>
      </c>
    </row>
    <row r="895" spans="1:9" hidden="1">
      <c r="A895" s="78" t="s">
        <v>1870</v>
      </c>
      <c r="B895" s="68" t="s">
        <v>1804</v>
      </c>
      <c r="C895" s="68" t="s">
        <v>1805</v>
      </c>
      <c r="D895" s="72" t="s">
        <v>1163</v>
      </c>
      <c r="E895" s="8" t="s">
        <v>592</v>
      </c>
      <c r="F895" s="8" t="s">
        <v>596</v>
      </c>
      <c r="G895" s="75">
        <v>2530</v>
      </c>
      <c r="H895" s="75">
        <v>2530</v>
      </c>
      <c r="I895" s="75">
        <f t="shared" si="13"/>
        <v>0</v>
      </c>
    </row>
    <row r="896" spans="1:9" hidden="1">
      <c r="A896" s="78" t="s">
        <v>1870</v>
      </c>
      <c r="B896" s="68" t="s">
        <v>1806</v>
      </c>
      <c r="C896" s="68" t="s">
        <v>1807</v>
      </c>
      <c r="D896" s="72" t="s">
        <v>589</v>
      </c>
      <c r="E896" s="8" t="s">
        <v>592</v>
      </c>
      <c r="F896" s="8" t="s">
        <v>596</v>
      </c>
      <c r="G896" s="75">
        <v>12500</v>
      </c>
      <c r="H896" s="75">
        <f t="shared" ref="H896:H897" si="14">G896</f>
        <v>12500</v>
      </c>
      <c r="I896" s="75">
        <f t="shared" si="13"/>
        <v>0</v>
      </c>
    </row>
    <row r="897" spans="1:9" hidden="1">
      <c r="A897" s="78" t="s">
        <v>1870</v>
      </c>
      <c r="B897" s="68" t="s">
        <v>1808</v>
      </c>
      <c r="C897" s="68" t="s">
        <v>1809</v>
      </c>
      <c r="D897" s="72" t="s">
        <v>589</v>
      </c>
      <c r="E897" s="8" t="s">
        <v>592</v>
      </c>
      <c r="F897" s="8" t="s">
        <v>596</v>
      </c>
      <c r="G897" s="75">
        <v>14000</v>
      </c>
      <c r="H897" s="75">
        <f t="shared" si="14"/>
        <v>14000</v>
      </c>
      <c r="I897" s="75">
        <f t="shared" si="13"/>
        <v>0</v>
      </c>
    </row>
    <row r="898" spans="1:9" hidden="1">
      <c r="A898" s="78" t="s">
        <v>1870</v>
      </c>
      <c r="B898" s="68" t="s">
        <v>1810</v>
      </c>
      <c r="C898" s="68" t="s">
        <v>1811</v>
      </c>
      <c r="D898" s="72" t="s">
        <v>589</v>
      </c>
      <c r="E898" s="8" t="s">
        <v>592</v>
      </c>
      <c r="F898" s="8" t="s">
        <v>596</v>
      </c>
      <c r="G898" s="75">
        <v>9000</v>
      </c>
      <c r="H898" s="75">
        <v>10000</v>
      </c>
      <c r="I898" s="75">
        <f t="shared" si="13"/>
        <v>1000</v>
      </c>
    </row>
    <row r="899" spans="1:9" hidden="1">
      <c r="A899" s="78" t="s">
        <v>1870</v>
      </c>
      <c r="B899" s="68" t="s">
        <v>1812</v>
      </c>
      <c r="C899" s="68" t="s">
        <v>1813</v>
      </c>
      <c r="D899" s="72" t="s">
        <v>1168</v>
      </c>
      <c r="E899" s="8" t="s">
        <v>592</v>
      </c>
      <c r="F899" s="8" t="s">
        <v>596</v>
      </c>
      <c r="G899" s="75">
        <v>10722</v>
      </c>
      <c r="H899" s="75">
        <v>10000</v>
      </c>
      <c r="I899" s="75">
        <f t="shared" si="13"/>
        <v>-722</v>
      </c>
    </row>
    <row r="900" spans="1:9" hidden="1">
      <c r="A900" s="78" t="s">
        <v>1870</v>
      </c>
      <c r="B900" s="68" t="s">
        <v>1814</v>
      </c>
      <c r="C900" s="68" t="s">
        <v>1815</v>
      </c>
      <c r="D900" s="72" t="s">
        <v>586</v>
      </c>
      <c r="E900" s="69" t="s">
        <v>594</v>
      </c>
      <c r="F900" s="8" t="s">
        <v>596</v>
      </c>
      <c r="G900" s="75">
        <v>10500</v>
      </c>
      <c r="H900" s="75">
        <v>10000</v>
      </c>
      <c r="I900" s="75">
        <f t="shared" si="13"/>
        <v>-500</v>
      </c>
    </row>
    <row r="901" spans="1:9" hidden="1">
      <c r="A901" s="78" t="s">
        <v>1870</v>
      </c>
      <c r="B901" s="68" t="s">
        <v>1816</v>
      </c>
      <c r="C901" s="68" t="s">
        <v>1817</v>
      </c>
      <c r="D901" s="72" t="s">
        <v>588</v>
      </c>
      <c r="E901" s="8" t="s">
        <v>592</v>
      </c>
      <c r="F901" s="48" t="s">
        <v>1507</v>
      </c>
      <c r="G901" s="75">
        <v>9156</v>
      </c>
      <c r="H901" s="75">
        <v>9156</v>
      </c>
      <c r="I901" s="75">
        <f t="shared" si="13"/>
        <v>0</v>
      </c>
    </row>
    <row r="902" spans="1:9" hidden="1">
      <c r="A902" s="78" t="s">
        <v>1870</v>
      </c>
      <c r="B902" s="69" t="s">
        <v>1818</v>
      </c>
      <c r="C902" s="69" t="s">
        <v>1819</v>
      </c>
      <c r="D902" s="69" t="s">
        <v>587</v>
      </c>
      <c r="E902" s="8" t="s">
        <v>592</v>
      </c>
      <c r="F902" s="48" t="s">
        <v>1507</v>
      </c>
      <c r="G902" s="75">
        <v>6220.96</v>
      </c>
      <c r="H902" s="75">
        <v>10000</v>
      </c>
      <c r="I902" s="75">
        <f t="shared" si="13"/>
        <v>3779.04</v>
      </c>
    </row>
    <row r="903" spans="1:9" hidden="1">
      <c r="A903" s="78" t="s">
        <v>1870</v>
      </c>
      <c r="B903" s="69" t="s">
        <v>1820</v>
      </c>
      <c r="C903" s="69" t="s">
        <v>1821</v>
      </c>
      <c r="D903" s="73" t="s">
        <v>589</v>
      </c>
      <c r="E903" s="8" t="s">
        <v>592</v>
      </c>
      <c r="F903" s="48" t="s">
        <v>1507</v>
      </c>
      <c r="G903" s="75">
        <v>10000</v>
      </c>
      <c r="H903" s="75">
        <v>10000</v>
      </c>
      <c r="I903" s="75">
        <f t="shared" si="13"/>
        <v>0</v>
      </c>
    </row>
    <row r="904" spans="1:9" hidden="1">
      <c r="A904" s="78" t="s">
        <v>1870</v>
      </c>
      <c r="B904" s="70" t="s">
        <v>1822</v>
      </c>
      <c r="C904" s="70" t="s">
        <v>1823</v>
      </c>
      <c r="D904" s="70" t="s">
        <v>587</v>
      </c>
      <c r="E904" s="69" t="s">
        <v>594</v>
      </c>
      <c r="F904" s="48" t="s">
        <v>1507</v>
      </c>
      <c r="G904" s="75">
        <v>5214</v>
      </c>
      <c r="H904" s="75">
        <v>7214</v>
      </c>
      <c r="I904" s="75">
        <f t="shared" si="13"/>
        <v>2000</v>
      </c>
    </row>
    <row r="905" spans="1:9" hidden="1">
      <c r="A905" s="78" t="s">
        <v>1870</v>
      </c>
      <c r="B905" s="71" t="s">
        <v>1824</v>
      </c>
      <c r="C905" s="71" t="s">
        <v>1825</v>
      </c>
      <c r="D905" s="72" t="s">
        <v>1868</v>
      </c>
      <c r="E905" s="8" t="s">
        <v>595</v>
      </c>
      <c r="F905" s="48" t="s">
        <v>1507</v>
      </c>
      <c r="G905" s="75">
        <v>10000</v>
      </c>
      <c r="H905" s="75">
        <v>10000</v>
      </c>
      <c r="I905" s="75">
        <f t="shared" si="13"/>
        <v>0</v>
      </c>
    </row>
    <row r="906" spans="1:9" hidden="1">
      <c r="A906" s="78" t="s">
        <v>1870</v>
      </c>
      <c r="B906" s="71" t="s">
        <v>1826</v>
      </c>
      <c r="C906" s="71" t="s">
        <v>1827</v>
      </c>
      <c r="D906" s="72" t="s">
        <v>587</v>
      </c>
      <c r="E906" s="8" t="s">
        <v>592</v>
      </c>
      <c r="F906" s="48" t="s">
        <v>1507</v>
      </c>
      <c r="G906" s="75">
        <v>9641.2099999999991</v>
      </c>
      <c r="H906" s="75">
        <v>9641.2099999999991</v>
      </c>
      <c r="I906" s="75">
        <f t="shared" si="13"/>
        <v>0</v>
      </c>
    </row>
    <row r="907" spans="1:9" hidden="1">
      <c r="A907" s="78" t="s">
        <v>1870</v>
      </c>
      <c r="B907" s="69" t="s">
        <v>1828</v>
      </c>
      <c r="C907" s="69" t="s">
        <v>1829</v>
      </c>
      <c r="D907" s="69" t="s">
        <v>587</v>
      </c>
      <c r="E907" s="69" t="s">
        <v>594</v>
      </c>
      <c r="F907" s="19" t="s">
        <v>594</v>
      </c>
      <c r="G907" s="75">
        <v>10616</v>
      </c>
      <c r="H907" s="75">
        <v>10000</v>
      </c>
      <c r="I907" s="75">
        <f t="shared" si="13"/>
        <v>-616</v>
      </c>
    </row>
    <row r="908" spans="1:9" hidden="1">
      <c r="A908" s="78" t="s">
        <v>1870</v>
      </c>
      <c r="B908" s="69" t="s">
        <v>1830</v>
      </c>
      <c r="C908" s="69" t="s">
        <v>1831</v>
      </c>
      <c r="D908" s="72" t="s">
        <v>587</v>
      </c>
      <c r="E908" s="69" t="s">
        <v>594</v>
      </c>
      <c r="F908" s="48" t="s">
        <v>1507</v>
      </c>
      <c r="G908" s="75">
        <v>10000</v>
      </c>
      <c r="H908" s="75">
        <v>10000</v>
      </c>
      <c r="I908" s="75">
        <f t="shared" si="13"/>
        <v>0</v>
      </c>
    </row>
    <row r="909" spans="1:9" hidden="1">
      <c r="A909" s="78" t="s">
        <v>1870</v>
      </c>
      <c r="B909" s="71" t="s">
        <v>1832</v>
      </c>
      <c r="C909" s="71" t="s">
        <v>1833</v>
      </c>
      <c r="D909" s="72" t="s">
        <v>587</v>
      </c>
      <c r="E909" s="8" t="s">
        <v>595</v>
      </c>
      <c r="F909" s="19" t="s">
        <v>595</v>
      </c>
      <c r="G909" s="75">
        <v>10000</v>
      </c>
      <c r="H909" s="75">
        <v>10000</v>
      </c>
      <c r="I909" s="75">
        <f t="shared" si="13"/>
        <v>0</v>
      </c>
    </row>
    <row r="910" spans="1:9" hidden="1">
      <c r="A910" s="78" t="s">
        <v>1870</v>
      </c>
      <c r="B910" s="71" t="s">
        <v>1834</v>
      </c>
      <c r="C910" s="71" t="s">
        <v>1835</v>
      </c>
      <c r="D910" s="72" t="s">
        <v>587</v>
      </c>
      <c r="E910" s="8" t="s">
        <v>595</v>
      </c>
      <c r="F910" s="19" t="s">
        <v>595</v>
      </c>
      <c r="G910" s="75">
        <v>5157</v>
      </c>
      <c r="H910" s="75">
        <v>7157</v>
      </c>
      <c r="I910" s="75">
        <f t="shared" si="13"/>
        <v>2000</v>
      </c>
    </row>
    <row r="911" spans="1:9" hidden="1">
      <c r="A911" s="78" t="s">
        <v>1870</v>
      </c>
      <c r="B911" s="71" t="s">
        <v>1836</v>
      </c>
      <c r="C911" s="71" t="s">
        <v>1837</v>
      </c>
      <c r="D911" s="72" t="s">
        <v>587</v>
      </c>
      <c r="E911" s="8" t="s">
        <v>595</v>
      </c>
      <c r="F911" s="19" t="s">
        <v>595</v>
      </c>
      <c r="G911" s="75">
        <v>6490</v>
      </c>
      <c r="H911" s="75">
        <v>10000</v>
      </c>
      <c r="I911" s="75">
        <f t="shared" si="13"/>
        <v>3510</v>
      </c>
    </row>
    <row r="912" spans="1:9" hidden="1">
      <c r="A912" s="78" t="s">
        <v>1870</v>
      </c>
      <c r="B912" s="68" t="s">
        <v>1838</v>
      </c>
      <c r="C912" s="68" t="s">
        <v>1839</v>
      </c>
      <c r="D912" s="72" t="s">
        <v>587</v>
      </c>
      <c r="E912" s="8" t="s">
        <v>595</v>
      </c>
      <c r="F912" s="19" t="s">
        <v>595</v>
      </c>
      <c r="G912" s="75">
        <v>9086</v>
      </c>
      <c r="H912" s="75">
        <v>9086</v>
      </c>
      <c r="I912" s="75">
        <f t="shared" si="13"/>
        <v>0</v>
      </c>
    </row>
    <row r="913" spans="1:9" hidden="1">
      <c r="A913" s="78" t="s">
        <v>1870</v>
      </c>
      <c r="B913" s="71" t="s">
        <v>1840</v>
      </c>
      <c r="C913" s="71" t="s">
        <v>1841</v>
      </c>
      <c r="D913" s="70" t="s">
        <v>1164</v>
      </c>
      <c r="E913" s="8" t="s">
        <v>592</v>
      </c>
      <c r="F913" s="18" t="s">
        <v>592</v>
      </c>
      <c r="G913" s="75">
        <v>8100</v>
      </c>
      <c r="H913" s="75">
        <v>8100</v>
      </c>
      <c r="I913" s="75">
        <f t="shared" si="13"/>
        <v>0</v>
      </c>
    </row>
    <row r="914" spans="1:9" hidden="1">
      <c r="A914" s="78" t="s">
        <v>1870</v>
      </c>
      <c r="B914" s="68" t="s">
        <v>1842</v>
      </c>
      <c r="C914" s="68" t="s">
        <v>1843</v>
      </c>
      <c r="D914" s="72" t="s">
        <v>587</v>
      </c>
      <c r="E914" s="69" t="s">
        <v>594</v>
      </c>
      <c r="F914" s="19" t="s">
        <v>594</v>
      </c>
      <c r="G914" s="75">
        <v>6358</v>
      </c>
      <c r="H914" s="75">
        <v>10000</v>
      </c>
      <c r="I914" s="75">
        <f t="shared" si="13"/>
        <v>3642</v>
      </c>
    </row>
    <row r="915" spans="1:9" hidden="1">
      <c r="A915" s="78" t="s">
        <v>1870</v>
      </c>
      <c r="B915" s="68" t="s">
        <v>1844</v>
      </c>
      <c r="C915" s="68" t="s">
        <v>1845</v>
      </c>
      <c r="D915" s="72" t="s">
        <v>587</v>
      </c>
      <c r="E915" s="69" t="s">
        <v>594</v>
      </c>
      <c r="F915" s="19" t="s">
        <v>594</v>
      </c>
      <c r="G915" s="75">
        <v>7341</v>
      </c>
      <c r="H915" s="75">
        <v>9341</v>
      </c>
      <c r="I915" s="75">
        <f t="shared" si="13"/>
        <v>2000</v>
      </c>
    </row>
    <row r="916" spans="1:9" hidden="1">
      <c r="A916" s="78" t="s">
        <v>1870</v>
      </c>
      <c r="B916" s="68" t="s">
        <v>1846</v>
      </c>
      <c r="C916" s="68" t="s">
        <v>1847</v>
      </c>
      <c r="D916" s="72" t="s">
        <v>587</v>
      </c>
      <c r="E916" s="69" t="s">
        <v>594</v>
      </c>
      <c r="F916" s="19" t="s">
        <v>594</v>
      </c>
      <c r="G916" s="75">
        <v>5484</v>
      </c>
      <c r="H916" s="75">
        <v>10000</v>
      </c>
      <c r="I916" s="75">
        <f t="shared" si="13"/>
        <v>4516</v>
      </c>
    </row>
    <row r="917" spans="1:9">
      <c r="A917" s="78" t="s">
        <v>1870</v>
      </c>
      <c r="B917" s="69" t="s">
        <v>1848</v>
      </c>
      <c r="C917" s="69" t="s">
        <v>1849</v>
      </c>
      <c r="D917" s="72" t="s">
        <v>589</v>
      </c>
      <c r="E917" s="8" t="s">
        <v>593</v>
      </c>
      <c r="F917" s="48" t="s">
        <v>1507</v>
      </c>
      <c r="G917" s="75">
        <v>10000</v>
      </c>
      <c r="H917" s="75">
        <v>10000</v>
      </c>
      <c r="I917" s="75">
        <f t="shared" si="13"/>
        <v>0</v>
      </c>
    </row>
    <row r="918" spans="1:9">
      <c r="A918" s="78" t="s">
        <v>1870</v>
      </c>
      <c r="B918" s="69" t="s">
        <v>1850</v>
      </c>
      <c r="C918" s="69" t="s">
        <v>1851</v>
      </c>
      <c r="D918" s="72" t="s">
        <v>1869</v>
      </c>
      <c r="E918" s="8" t="s">
        <v>593</v>
      </c>
      <c r="F918" s="48" t="s">
        <v>1507</v>
      </c>
      <c r="G918" s="75">
        <v>9499</v>
      </c>
      <c r="H918" s="76">
        <v>9499</v>
      </c>
      <c r="I918" s="75">
        <f t="shared" si="13"/>
        <v>0</v>
      </c>
    </row>
    <row r="919" spans="1:9" hidden="1">
      <c r="A919" s="78" t="s">
        <v>1870</v>
      </c>
      <c r="B919" s="71" t="s">
        <v>1852</v>
      </c>
      <c r="C919" s="71" t="s">
        <v>1853</v>
      </c>
      <c r="D919" s="71" t="s">
        <v>587</v>
      </c>
      <c r="E919" s="8" t="s">
        <v>592</v>
      </c>
      <c r="F919" s="48" t="s">
        <v>1507</v>
      </c>
      <c r="G919" s="75">
        <v>9500</v>
      </c>
      <c r="H919" s="76">
        <v>9500</v>
      </c>
      <c r="I919" s="75">
        <f t="shared" si="13"/>
        <v>0</v>
      </c>
    </row>
    <row r="920" spans="1:9" hidden="1">
      <c r="A920" s="78" t="s">
        <v>1870</v>
      </c>
      <c r="B920" s="70" t="s">
        <v>1854</v>
      </c>
      <c r="C920" s="70" t="s">
        <v>1855</v>
      </c>
      <c r="D920" s="70" t="s">
        <v>587</v>
      </c>
      <c r="E920" s="8" t="s">
        <v>592</v>
      </c>
      <c r="F920" s="48" t="s">
        <v>1507</v>
      </c>
      <c r="G920" s="75">
        <v>10000</v>
      </c>
      <c r="H920" s="75">
        <v>10000</v>
      </c>
      <c r="I920" s="75">
        <f t="shared" si="13"/>
        <v>0</v>
      </c>
    </row>
    <row r="921" spans="1:9" hidden="1">
      <c r="A921" s="78" t="s">
        <v>1870</v>
      </c>
      <c r="B921" s="71" t="s">
        <v>1856</v>
      </c>
      <c r="C921" s="71" t="s">
        <v>1857</v>
      </c>
      <c r="D921" s="74" t="s">
        <v>587</v>
      </c>
      <c r="E921" s="8" t="s">
        <v>595</v>
      </c>
      <c r="F921" s="19" t="s">
        <v>595</v>
      </c>
      <c r="G921" s="75">
        <v>7161</v>
      </c>
      <c r="H921" s="76">
        <v>8161</v>
      </c>
      <c r="I921" s="75">
        <f t="shared" si="13"/>
        <v>1000</v>
      </c>
    </row>
    <row r="922" spans="1:9" hidden="1">
      <c r="A922" s="78" t="s">
        <v>1870</v>
      </c>
      <c r="B922" s="71" t="s">
        <v>1858</v>
      </c>
      <c r="C922" s="71" t="s">
        <v>1859</v>
      </c>
      <c r="D922" s="72" t="s">
        <v>587</v>
      </c>
      <c r="E922" s="8" t="s">
        <v>592</v>
      </c>
      <c r="F922" s="18" t="s">
        <v>592</v>
      </c>
      <c r="G922" s="75">
        <v>8253</v>
      </c>
      <c r="H922" s="76">
        <v>10000</v>
      </c>
      <c r="I922" s="75">
        <f t="shared" si="13"/>
        <v>1747</v>
      </c>
    </row>
    <row r="923" spans="1:9" hidden="1">
      <c r="A923" s="78" t="s">
        <v>1870</v>
      </c>
      <c r="B923" s="71" t="s">
        <v>1860</v>
      </c>
      <c r="C923" s="71" t="s">
        <v>1861</v>
      </c>
      <c r="D923" s="72" t="s">
        <v>586</v>
      </c>
      <c r="E923" s="8" t="s">
        <v>595</v>
      </c>
      <c r="F923" s="19" t="s">
        <v>595</v>
      </c>
      <c r="G923" s="75">
        <v>10150</v>
      </c>
      <c r="H923" s="75">
        <v>10000</v>
      </c>
      <c r="I923" s="75">
        <f t="shared" si="13"/>
        <v>-150</v>
      </c>
    </row>
    <row r="924" spans="1:9" hidden="1">
      <c r="A924" s="78" t="s">
        <v>1870</v>
      </c>
      <c r="B924" s="68" t="s">
        <v>1862</v>
      </c>
      <c r="C924" s="68" t="s">
        <v>1863</v>
      </c>
      <c r="D924" s="72" t="s">
        <v>587</v>
      </c>
      <c r="E924" s="8" t="s">
        <v>595</v>
      </c>
      <c r="F924" s="19" t="s">
        <v>595</v>
      </c>
      <c r="G924" s="75">
        <v>4381</v>
      </c>
      <c r="H924" s="76">
        <v>5381</v>
      </c>
      <c r="I924" s="75">
        <f t="shared" si="13"/>
        <v>1000</v>
      </c>
    </row>
  </sheetData>
  <autoFilter ref="A1:I924" xr:uid="{C0EE9B70-A1D0-4894-9FC9-117F2719886B}">
    <filterColumn colId="4">
      <filters>
        <filter val="Simran"/>
      </filters>
    </filterColumn>
  </autoFilter>
  <conditionalFormatting sqref="B2">
    <cfRule type="duplicateValues" dxfId="988" priority="736"/>
    <cfRule type="duplicateValues" dxfId="987" priority="735"/>
    <cfRule type="duplicateValues" dxfId="986" priority="734"/>
    <cfRule type="duplicateValues" dxfId="985" priority="737"/>
    <cfRule type="duplicateValues" dxfId="984" priority="733"/>
  </conditionalFormatting>
  <conditionalFormatting sqref="B6">
    <cfRule type="duplicateValues" dxfId="983" priority="739"/>
    <cfRule type="duplicateValues" dxfId="982" priority="738"/>
  </conditionalFormatting>
  <conditionalFormatting sqref="B7">
    <cfRule type="duplicateValues" dxfId="981" priority="740"/>
  </conditionalFormatting>
  <conditionalFormatting sqref="B9">
    <cfRule type="duplicateValues" dxfId="980" priority="741"/>
  </conditionalFormatting>
  <conditionalFormatting sqref="B10">
    <cfRule type="duplicateValues" dxfId="979" priority="742"/>
  </conditionalFormatting>
  <conditionalFormatting sqref="B12">
    <cfRule type="duplicateValues" dxfId="978" priority="743"/>
    <cfRule type="duplicateValues" dxfId="977" priority="744"/>
  </conditionalFormatting>
  <conditionalFormatting sqref="B13">
    <cfRule type="duplicateValues" dxfId="976" priority="745"/>
    <cfRule type="duplicateValues" dxfId="975" priority="746"/>
  </conditionalFormatting>
  <conditionalFormatting sqref="B15">
    <cfRule type="duplicateValues" dxfId="974" priority="748"/>
    <cfRule type="duplicateValues" dxfId="973" priority="747"/>
  </conditionalFormatting>
  <conditionalFormatting sqref="B17">
    <cfRule type="duplicateValues" dxfId="972" priority="749"/>
  </conditionalFormatting>
  <conditionalFormatting sqref="B19">
    <cfRule type="duplicateValues" dxfId="971" priority="750"/>
    <cfRule type="duplicateValues" dxfId="970" priority="752"/>
    <cfRule type="duplicateValues" dxfId="969" priority="751"/>
  </conditionalFormatting>
  <conditionalFormatting sqref="B25">
    <cfRule type="duplicateValues" dxfId="968" priority="755"/>
    <cfRule type="duplicateValues" dxfId="967" priority="754"/>
    <cfRule type="duplicateValues" dxfId="966" priority="753"/>
  </conditionalFormatting>
  <conditionalFormatting sqref="B29:B34">
    <cfRule type="duplicateValues" dxfId="965" priority="757"/>
    <cfRule type="duplicateValues" dxfId="964" priority="756"/>
  </conditionalFormatting>
  <conditionalFormatting sqref="B31:B32 B29">
    <cfRule type="duplicateValues" dxfId="963" priority="758"/>
  </conditionalFormatting>
  <conditionalFormatting sqref="B45">
    <cfRule type="duplicateValues" dxfId="962" priority="760"/>
    <cfRule type="duplicateValues" dxfId="961" priority="761"/>
    <cfRule type="duplicateValues" dxfId="960" priority="759"/>
  </conditionalFormatting>
  <conditionalFormatting sqref="B47">
    <cfRule type="duplicateValues" dxfId="959" priority="762"/>
  </conditionalFormatting>
  <conditionalFormatting sqref="B50">
    <cfRule type="duplicateValues" dxfId="958" priority="763"/>
  </conditionalFormatting>
  <conditionalFormatting sqref="B53">
    <cfRule type="duplicateValues" dxfId="957" priority="765"/>
    <cfRule type="duplicateValues" dxfId="956" priority="764"/>
  </conditionalFormatting>
  <conditionalFormatting sqref="B54">
    <cfRule type="duplicateValues" dxfId="955" priority="766"/>
    <cfRule type="duplicateValues" dxfId="954" priority="767"/>
    <cfRule type="duplicateValues" dxfId="953" priority="768"/>
    <cfRule type="duplicateValues" dxfId="952" priority="769"/>
  </conditionalFormatting>
  <conditionalFormatting sqref="B55">
    <cfRule type="duplicateValues" dxfId="951" priority="770"/>
  </conditionalFormatting>
  <conditionalFormatting sqref="B58:B59">
    <cfRule type="duplicateValues" dxfId="950" priority="771"/>
    <cfRule type="duplicateValues" dxfId="949" priority="772"/>
  </conditionalFormatting>
  <conditionalFormatting sqref="B67">
    <cfRule type="duplicateValues" dxfId="948" priority="774"/>
    <cfRule type="duplicateValues" dxfId="947" priority="773"/>
  </conditionalFormatting>
  <conditionalFormatting sqref="B83">
    <cfRule type="duplicateValues" dxfId="946" priority="775"/>
  </conditionalFormatting>
  <conditionalFormatting sqref="B83:B85">
    <cfRule type="duplicateValues" dxfId="945" priority="779"/>
    <cfRule type="duplicateValues" dxfId="944" priority="776"/>
    <cfRule type="duplicateValues" dxfId="943" priority="777"/>
    <cfRule type="duplicateValues" dxfId="942" priority="778"/>
  </conditionalFormatting>
  <conditionalFormatting sqref="B96">
    <cfRule type="duplicateValues" dxfId="941" priority="782"/>
    <cfRule type="duplicateValues" dxfId="940" priority="784"/>
    <cfRule type="duplicateValues" dxfId="939" priority="783"/>
    <cfRule type="duplicateValues" dxfId="938" priority="780"/>
    <cfRule type="duplicateValues" dxfId="937" priority="781"/>
  </conditionalFormatting>
  <conditionalFormatting sqref="B97">
    <cfRule type="duplicateValues" dxfId="936" priority="786"/>
    <cfRule type="duplicateValues" dxfId="935" priority="785"/>
  </conditionalFormatting>
  <conditionalFormatting sqref="B101">
    <cfRule type="duplicateValues" dxfId="934" priority="787"/>
  </conditionalFormatting>
  <conditionalFormatting sqref="B101:B103">
    <cfRule type="duplicateValues" dxfId="933" priority="788"/>
    <cfRule type="duplicateValues" dxfId="932" priority="789"/>
    <cfRule type="duplicateValues" dxfId="931" priority="790"/>
  </conditionalFormatting>
  <conditionalFormatting sqref="B103 B101">
    <cfRule type="duplicateValues" dxfId="930" priority="791"/>
  </conditionalFormatting>
  <conditionalFormatting sqref="B103">
    <cfRule type="duplicateValues" dxfId="929" priority="792"/>
  </conditionalFormatting>
  <conditionalFormatting sqref="B105">
    <cfRule type="duplicateValues" dxfId="928" priority="793"/>
    <cfRule type="duplicateValues" dxfId="927" priority="794"/>
  </conditionalFormatting>
  <conditionalFormatting sqref="B106:B107">
    <cfRule type="duplicateValues" dxfId="926" priority="795"/>
  </conditionalFormatting>
  <conditionalFormatting sqref="B106:B110">
    <cfRule type="duplicateValues" dxfId="925" priority="796"/>
    <cfRule type="duplicateValues" dxfId="924" priority="797"/>
    <cfRule type="duplicateValues" dxfId="923" priority="798"/>
    <cfRule type="duplicateValues" dxfId="922" priority="799"/>
  </conditionalFormatting>
  <conditionalFormatting sqref="B114:B116">
    <cfRule type="duplicateValues" dxfId="921" priority="804"/>
    <cfRule type="duplicateValues" dxfId="920" priority="803"/>
    <cfRule type="duplicateValues" dxfId="919" priority="802"/>
    <cfRule type="duplicateValues" dxfId="918" priority="801"/>
    <cfRule type="duplicateValues" dxfId="917" priority="800"/>
  </conditionalFormatting>
  <conditionalFormatting sqref="B117">
    <cfRule type="duplicateValues" dxfId="916" priority="805"/>
    <cfRule type="duplicateValues" dxfId="915" priority="806"/>
    <cfRule type="duplicateValues" dxfId="914" priority="807"/>
    <cfRule type="duplicateValues" dxfId="913" priority="808"/>
  </conditionalFormatting>
  <conditionalFormatting sqref="B121">
    <cfRule type="duplicateValues" dxfId="912" priority="810"/>
    <cfRule type="duplicateValues" dxfId="911" priority="811"/>
    <cfRule type="duplicateValues" dxfId="910" priority="812"/>
    <cfRule type="duplicateValues" dxfId="909" priority="809"/>
  </conditionalFormatting>
  <conditionalFormatting sqref="B123">
    <cfRule type="duplicateValues" dxfId="908" priority="813"/>
    <cfRule type="duplicateValues" dxfId="907" priority="814"/>
    <cfRule type="duplicateValues" dxfId="906" priority="815"/>
  </conditionalFormatting>
  <conditionalFormatting sqref="B126">
    <cfRule type="duplicateValues" dxfId="905" priority="817"/>
    <cfRule type="duplicateValues" dxfId="904" priority="816"/>
    <cfRule type="duplicateValues" dxfId="903" priority="818"/>
  </conditionalFormatting>
  <conditionalFormatting sqref="B127">
    <cfRule type="duplicateValues" dxfId="902" priority="819"/>
    <cfRule type="duplicateValues" dxfId="901" priority="820"/>
  </conditionalFormatting>
  <conditionalFormatting sqref="B128">
    <cfRule type="duplicateValues" dxfId="900" priority="821"/>
    <cfRule type="duplicateValues" dxfId="899" priority="822"/>
    <cfRule type="duplicateValues" dxfId="898" priority="823"/>
  </conditionalFormatting>
  <conditionalFormatting sqref="B135:B136">
    <cfRule type="duplicateValues" dxfId="897" priority="824"/>
  </conditionalFormatting>
  <conditionalFormatting sqref="B135:B137">
    <cfRule type="duplicateValues" dxfId="896" priority="828"/>
    <cfRule type="duplicateValues" dxfId="895" priority="825"/>
    <cfRule type="duplicateValues" dxfId="894" priority="826"/>
    <cfRule type="duplicateValues" dxfId="893" priority="827"/>
  </conditionalFormatting>
  <conditionalFormatting sqref="B143">
    <cfRule type="duplicateValues" dxfId="892" priority="829"/>
    <cfRule type="duplicateValues" dxfId="891" priority="831"/>
    <cfRule type="duplicateValues" dxfId="890" priority="830"/>
  </conditionalFormatting>
  <conditionalFormatting sqref="B144">
    <cfRule type="duplicateValues" dxfId="889" priority="832"/>
    <cfRule type="duplicateValues" dxfId="888" priority="833"/>
    <cfRule type="duplicateValues" dxfId="887" priority="834"/>
    <cfRule type="duplicateValues" dxfId="886" priority="835"/>
  </conditionalFormatting>
  <conditionalFormatting sqref="B146">
    <cfRule type="duplicateValues" dxfId="885" priority="836"/>
    <cfRule type="duplicateValues" dxfId="884" priority="837"/>
    <cfRule type="duplicateValues" dxfId="883" priority="838"/>
    <cfRule type="duplicateValues" dxfId="882" priority="839"/>
  </conditionalFormatting>
  <conditionalFormatting sqref="B149:B150">
    <cfRule type="duplicateValues" dxfId="881" priority="840"/>
    <cfRule type="duplicateValues" dxfId="880" priority="841"/>
    <cfRule type="duplicateValues" dxfId="879" priority="842"/>
    <cfRule type="duplicateValues" dxfId="878" priority="843"/>
  </conditionalFormatting>
  <conditionalFormatting sqref="B158">
    <cfRule type="duplicateValues" dxfId="877" priority="847"/>
    <cfRule type="duplicateValues" dxfId="876" priority="846"/>
    <cfRule type="duplicateValues" dxfId="875" priority="844"/>
    <cfRule type="duplicateValues" dxfId="874" priority="845"/>
  </conditionalFormatting>
  <conditionalFormatting sqref="B159">
    <cfRule type="duplicateValues" dxfId="873" priority="849"/>
    <cfRule type="duplicateValues" dxfId="872" priority="850"/>
    <cfRule type="duplicateValues" dxfId="871" priority="851"/>
    <cfRule type="duplicateValues" dxfId="870" priority="848"/>
  </conditionalFormatting>
  <conditionalFormatting sqref="B166">
    <cfRule type="duplicateValues" dxfId="869" priority="852"/>
    <cfRule type="duplicateValues" dxfId="868" priority="853"/>
    <cfRule type="duplicateValues" dxfId="867" priority="854"/>
    <cfRule type="duplicateValues" dxfId="866" priority="855"/>
  </conditionalFormatting>
  <conditionalFormatting sqref="B170:B171">
    <cfRule type="duplicateValues" dxfId="865" priority="858"/>
    <cfRule type="duplicateValues" dxfId="864" priority="857"/>
    <cfRule type="duplicateValues" dxfId="863" priority="856"/>
    <cfRule type="duplicateValues" dxfId="862" priority="859"/>
  </conditionalFormatting>
  <conditionalFormatting sqref="B174">
    <cfRule type="duplicateValues" dxfId="861" priority="862"/>
    <cfRule type="duplicateValues" dxfId="860" priority="863"/>
    <cfRule type="duplicateValues" dxfId="859" priority="861"/>
    <cfRule type="duplicateValues" dxfId="858" priority="860"/>
  </conditionalFormatting>
  <conditionalFormatting sqref="B175">
    <cfRule type="duplicateValues" dxfId="857" priority="864"/>
    <cfRule type="duplicateValues" dxfId="856" priority="865"/>
  </conditionalFormatting>
  <conditionalFormatting sqref="B177">
    <cfRule type="duplicateValues" dxfId="855" priority="866"/>
    <cfRule type="duplicateValues" dxfId="854" priority="868"/>
    <cfRule type="duplicateValues" dxfId="853" priority="867"/>
  </conditionalFormatting>
  <conditionalFormatting sqref="B179">
    <cfRule type="duplicateValues" dxfId="852" priority="869"/>
  </conditionalFormatting>
  <conditionalFormatting sqref="B195">
    <cfRule type="duplicateValues" dxfId="851" priority="870"/>
    <cfRule type="duplicateValues" dxfId="850" priority="871"/>
    <cfRule type="duplicateValues" dxfId="849" priority="872"/>
    <cfRule type="duplicateValues" dxfId="848" priority="873"/>
  </conditionalFormatting>
  <conditionalFormatting sqref="B198:B199 B192:B194 B190">
    <cfRule type="duplicateValues" dxfId="847" priority="874"/>
    <cfRule type="duplicateValues" dxfId="846" priority="875"/>
    <cfRule type="duplicateValues" dxfId="845" priority="876"/>
    <cfRule type="duplicateValues" dxfId="844" priority="877"/>
  </conditionalFormatting>
  <conditionalFormatting sqref="B202">
    <cfRule type="duplicateValues" dxfId="843" priority="880"/>
    <cfRule type="duplicateValues" dxfId="842" priority="879"/>
    <cfRule type="duplicateValues" dxfId="841" priority="878"/>
    <cfRule type="duplicateValues" dxfId="840" priority="881"/>
  </conditionalFormatting>
  <conditionalFormatting sqref="B210">
    <cfRule type="duplicateValues" dxfId="839" priority="884"/>
    <cfRule type="duplicateValues" dxfId="838" priority="883"/>
    <cfRule type="duplicateValues" dxfId="837" priority="882"/>
    <cfRule type="duplicateValues" dxfId="836" priority="885"/>
  </conditionalFormatting>
  <conditionalFormatting sqref="B213">
    <cfRule type="duplicateValues" dxfId="835" priority="889"/>
    <cfRule type="duplicateValues" dxfId="834" priority="888"/>
    <cfRule type="duplicateValues" dxfId="833" priority="887"/>
    <cfRule type="duplicateValues" dxfId="832" priority="886"/>
  </conditionalFormatting>
  <conditionalFormatting sqref="B216">
    <cfRule type="duplicateValues" dxfId="831" priority="893"/>
    <cfRule type="duplicateValues" dxfId="830" priority="894"/>
    <cfRule type="duplicateValues" dxfId="829" priority="892"/>
    <cfRule type="duplicateValues" dxfId="828" priority="890"/>
    <cfRule type="duplicateValues" dxfId="827" priority="891"/>
  </conditionalFormatting>
  <conditionalFormatting sqref="B219">
    <cfRule type="duplicateValues" dxfId="826" priority="895"/>
  </conditionalFormatting>
  <conditionalFormatting sqref="B228">
    <cfRule type="duplicateValues" dxfId="825" priority="896"/>
    <cfRule type="duplicateValues" dxfId="824" priority="898"/>
    <cfRule type="duplicateValues" dxfId="823" priority="899"/>
    <cfRule type="duplicateValues" dxfId="822" priority="897"/>
  </conditionalFormatting>
  <conditionalFormatting sqref="B230">
    <cfRule type="duplicateValues" dxfId="821" priority="904"/>
    <cfRule type="duplicateValues" dxfId="820" priority="903"/>
    <cfRule type="duplicateValues" dxfId="819" priority="902"/>
    <cfRule type="duplicateValues" dxfId="818" priority="901"/>
    <cfRule type="duplicateValues" dxfId="817" priority="900"/>
  </conditionalFormatting>
  <conditionalFormatting sqref="B236">
    <cfRule type="duplicateValues" dxfId="816" priority="908"/>
    <cfRule type="duplicateValues" dxfId="815" priority="907"/>
    <cfRule type="duplicateValues" dxfId="814" priority="906"/>
    <cfRule type="duplicateValues" dxfId="813" priority="905"/>
  </conditionalFormatting>
  <conditionalFormatting sqref="B242">
    <cfRule type="duplicateValues" dxfId="812" priority="909"/>
  </conditionalFormatting>
  <conditionalFormatting sqref="B245">
    <cfRule type="duplicateValues" dxfId="811" priority="910"/>
  </conditionalFormatting>
  <conditionalFormatting sqref="B251">
    <cfRule type="duplicateValues" dxfId="810" priority="913"/>
    <cfRule type="duplicateValues" dxfId="809" priority="912"/>
    <cfRule type="duplicateValues" dxfId="808" priority="911"/>
    <cfRule type="duplicateValues" dxfId="807" priority="914"/>
    <cfRule type="duplicateValues" dxfId="806" priority="916"/>
    <cfRule type="duplicateValues" dxfId="805" priority="915"/>
  </conditionalFormatting>
  <conditionalFormatting sqref="B252">
    <cfRule type="duplicateValues" dxfId="804" priority="919"/>
    <cfRule type="duplicateValues" dxfId="803" priority="921"/>
    <cfRule type="duplicateValues" dxfId="802" priority="920"/>
    <cfRule type="duplicateValues" dxfId="801" priority="918"/>
    <cfRule type="duplicateValues" dxfId="800" priority="917"/>
  </conditionalFormatting>
  <conditionalFormatting sqref="B256">
    <cfRule type="duplicateValues" dxfId="799" priority="922"/>
  </conditionalFormatting>
  <conditionalFormatting sqref="B257:B260">
    <cfRule type="duplicateValues" dxfId="798" priority="923"/>
  </conditionalFormatting>
  <conditionalFormatting sqref="B259:B260 B257">
    <cfRule type="duplicateValues" dxfId="797" priority="927"/>
    <cfRule type="duplicateValues" dxfId="796" priority="926"/>
    <cfRule type="duplicateValues" dxfId="795" priority="925"/>
    <cfRule type="duplicateValues" dxfId="794" priority="924"/>
  </conditionalFormatting>
  <conditionalFormatting sqref="B265">
    <cfRule type="duplicateValues" dxfId="793" priority="931"/>
    <cfRule type="duplicateValues" dxfId="792" priority="930"/>
    <cfRule type="duplicateValues" dxfId="791" priority="928"/>
    <cfRule type="duplicateValues" dxfId="790" priority="932"/>
    <cfRule type="duplicateValues" dxfId="789" priority="929"/>
  </conditionalFormatting>
  <conditionalFormatting sqref="B269">
    <cfRule type="duplicateValues" dxfId="788" priority="933"/>
  </conditionalFormatting>
  <conditionalFormatting sqref="B273">
    <cfRule type="duplicateValues" dxfId="787" priority="934"/>
  </conditionalFormatting>
  <conditionalFormatting sqref="B274">
    <cfRule type="duplicateValues" dxfId="786" priority="938"/>
    <cfRule type="duplicateValues" dxfId="785" priority="937"/>
    <cfRule type="duplicateValues" dxfId="784" priority="936"/>
    <cfRule type="duplicateValues" dxfId="783" priority="935"/>
    <cfRule type="duplicateValues" dxfId="782" priority="939"/>
  </conditionalFormatting>
  <conditionalFormatting sqref="B275">
    <cfRule type="duplicateValues" dxfId="781" priority="940"/>
  </conditionalFormatting>
  <conditionalFormatting sqref="B276">
    <cfRule type="duplicateValues" dxfId="780" priority="941"/>
  </conditionalFormatting>
  <conditionalFormatting sqref="B277">
    <cfRule type="duplicateValues" dxfId="779" priority="942"/>
  </conditionalFormatting>
  <conditionalFormatting sqref="B278">
    <cfRule type="duplicateValues" dxfId="778" priority="943"/>
    <cfRule type="duplicateValues" dxfId="777" priority="944"/>
    <cfRule type="duplicateValues" dxfId="776" priority="945"/>
    <cfRule type="duplicateValues" dxfId="775" priority="946"/>
    <cfRule type="duplicateValues" dxfId="774" priority="947"/>
  </conditionalFormatting>
  <conditionalFormatting sqref="B280">
    <cfRule type="duplicateValues" dxfId="773" priority="948"/>
  </conditionalFormatting>
  <conditionalFormatting sqref="B283">
    <cfRule type="duplicateValues" dxfId="772" priority="949"/>
    <cfRule type="duplicateValues" dxfId="771" priority="950"/>
    <cfRule type="duplicateValues" dxfId="770" priority="951"/>
    <cfRule type="duplicateValues" dxfId="769" priority="952"/>
    <cfRule type="duplicateValues" dxfId="768" priority="953" stopIfTrue="1"/>
    <cfRule type="duplicateValues" dxfId="767" priority="961"/>
    <cfRule type="duplicateValues" dxfId="766" priority="962"/>
    <cfRule type="duplicateValues" dxfId="765" priority="963"/>
    <cfRule type="duplicateValues" dxfId="764" priority="964"/>
    <cfRule type="duplicateValues" dxfId="763" priority="959"/>
    <cfRule type="duplicateValues" dxfId="762" priority="958"/>
    <cfRule type="duplicateValues" dxfId="761" priority="957"/>
    <cfRule type="duplicateValues" dxfId="760" priority="956"/>
    <cfRule type="duplicateValues" dxfId="759" priority="955"/>
    <cfRule type="duplicateValues" dxfId="758" priority="954"/>
    <cfRule type="duplicateValues" dxfId="757" priority="960"/>
  </conditionalFormatting>
  <conditionalFormatting sqref="B285">
    <cfRule type="duplicateValues" dxfId="756" priority="965"/>
    <cfRule type="duplicateValues" dxfId="755" priority="966"/>
    <cfRule type="duplicateValues" dxfId="754" priority="967"/>
    <cfRule type="duplicateValues" dxfId="753" priority="968"/>
    <cfRule type="duplicateValues" dxfId="752" priority="969"/>
  </conditionalFormatting>
  <conditionalFormatting sqref="B286">
    <cfRule type="duplicateValues" dxfId="751" priority="970"/>
  </conditionalFormatting>
  <conditionalFormatting sqref="B289">
    <cfRule type="duplicateValues" dxfId="750" priority="971"/>
    <cfRule type="duplicateValues" dxfId="749" priority="972"/>
    <cfRule type="duplicateValues" dxfId="748" priority="973"/>
    <cfRule type="duplicateValues" dxfId="747" priority="974"/>
    <cfRule type="duplicateValues" dxfId="746" priority="975"/>
  </conditionalFormatting>
  <conditionalFormatting sqref="B290">
    <cfRule type="duplicateValues" dxfId="745" priority="976"/>
  </conditionalFormatting>
  <conditionalFormatting sqref="B296">
    <cfRule type="duplicateValues" dxfId="744" priority="650"/>
    <cfRule type="duplicateValues" dxfId="743" priority="649"/>
    <cfRule type="duplicateValues" dxfId="742" priority="648"/>
  </conditionalFormatting>
  <conditionalFormatting sqref="B296:B439">
    <cfRule type="duplicateValues" dxfId="741" priority="1580"/>
    <cfRule type="duplicateValues" dxfId="740" priority="1581"/>
    <cfRule type="duplicateValues" dxfId="739" priority="1582"/>
    <cfRule type="duplicateValues" dxfId="738" priority="1583"/>
    <cfRule type="duplicateValues" dxfId="737" priority="1586"/>
    <cfRule type="duplicateValues" dxfId="736" priority="1585"/>
    <cfRule type="duplicateValues" dxfId="735" priority="1584"/>
  </conditionalFormatting>
  <conditionalFormatting sqref="B297">
    <cfRule type="duplicateValues" dxfId="734" priority="645"/>
    <cfRule type="duplicateValues" dxfId="733" priority="644"/>
    <cfRule type="duplicateValues" dxfId="732" priority="643"/>
    <cfRule type="duplicateValues" dxfId="731" priority="647"/>
    <cfRule type="duplicateValues" dxfId="730" priority="646"/>
  </conditionalFormatting>
  <conditionalFormatting sqref="B298">
    <cfRule type="duplicateValues" dxfId="729" priority="635"/>
    <cfRule type="duplicateValues" dxfId="728" priority="634"/>
    <cfRule type="duplicateValues" dxfId="727" priority="633"/>
    <cfRule type="duplicateValues" dxfId="726" priority="637"/>
    <cfRule type="duplicateValues" dxfId="725" priority="636"/>
  </conditionalFormatting>
  <conditionalFormatting sqref="B299">
    <cfRule type="duplicateValues" dxfId="724" priority="642"/>
    <cfRule type="duplicateValues" dxfId="723" priority="641"/>
    <cfRule type="duplicateValues" dxfId="722" priority="640"/>
    <cfRule type="duplicateValues" dxfId="721" priority="639"/>
    <cfRule type="duplicateValues" dxfId="720" priority="638"/>
  </conditionalFormatting>
  <conditionalFormatting sqref="B300">
    <cfRule type="duplicateValues" dxfId="719" priority="681"/>
    <cfRule type="duplicateValues" dxfId="718" priority="680"/>
  </conditionalFormatting>
  <conditionalFormatting sqref="B302">
    <cfRule type="duplicateValues" dxfId="717" priority="632"/>
    <cfRule type="duplicateValues" dxfId="716" priority="631"/>
    <cfRule type="duplicateValues" dxfId="715" priority="630"/>
    <cfRule type="duplicateValues" dxfId="714" priority="629"/>
    <cfRule type="duplicateValues" dxfId="713" priority="628"/>
    <cfRule type="duplicateValues" dxfId="712" priority="627"/>
  </conditionalFormatting>
  <conditionalFormatting sqref="B303">
    <cfRule type="duplicateValues" dxfId="711" priority="626"/>
    <cfRule type="duplicateValues" dxfId="710" priority="625"/>
    <cfRule type="duplicateValues" dxfId="709" priority="624"/>
    <cfRule type="duplicateValues" dxfId="708" priority="623"/>
    <cfRule type="duplicateValues" dxfId="707" priority="622"/>
    <cfRule type="duplicateValues" dxfId="706" priority="621"/>
  </conditionalFormatting>
  <conditionalFormatting sqref="B304">
    <cfRule type="duplicateValues" dxfId="705" priority="679"/>
  </conditionalFormatting>
  <conditionalFormatting sqref="B305">
    <cfRule type="duplicateValues" dxfId="704" priority="620"/>
    <cfRule type="duplicateValues" dxfId="703" priority="619"/>
    <cfRule type="duplicateValues" dxfId="702" priority="618"/>
    <cfRule type="duplicateValues" dxfId="701" priority="617"/>
    <cfRule type="duplicateValues" dxfId="700" priority="616"/>
  </conditionalFormatting>
  <conditionalFormatting sqref="B306">
    <cfRule type="duplicateValues" dxfId="699" priority="613"/>
  </conditionalFormatting>
  <conditionalFormatting sqref="B306:B307">
    <cfRule type="duplicateValues" dxfId="698" priority="615"/>
    <cfRule type="duplicateValues" dxfId="697" priority="614"/>
    <cfRule type="duplicateValues" dxfId="696" priority="611"/>
    <cfRule type="duplicateValues" dxfId="695" priority="612"/>
  </conditionalFormatting>
  <conditionalFormatting sqref="B307">
    <cfRule type="duplicateValues" dxfId="694" priority="610"/>
  </conditionalFormatting>
  <conditionalFormatting sqref="B311">
    <cfRule type="duplicateValues" dxfId="693" priority="608"/>
    <cfRule type="duplicateValues" dxfId="692" priority="605"/>
    <cfRule type="duplicateValues" dxfId="691" priority="604"/>
    <cfRule type="duplicateValues" dxfId="690" priority="609"/>
    <cfRule type="duplicateValues" dxfId="689" priority="607"/>
    <cfRule type="duplicateValues" dxfId="688" priority="606"/>
  </conditionalFormatting>
  <conditionalFormatting sqref="B314">
    <cfRule type="duplicateValues" dxfId="687" priority="598"/>
    <cfRule type="duplicateValues" dxfId="686" priority="603"/>
    <cfRule type="duplicateValues" dxfId="685" priority="602"/>
    <cfRule type="duplicateValues" dxfId="684" priority="601"/>
    <cfRule type="duplicateValues" dxfId="683" priority="600"/>
    <cfRule type="duplicateValues" dxfId="682" priority="599"/>
  </conditionalFormatting>
  <conditionalFormatting sqref="B317">
    <cfRule type="duplicateValues" dxfId="681" priority="571"/>
    <cfRule type="duplicateValues" dxfId="680" priority="570"/>
    <cfRule type="duplicateValues" dxfId="679" priority="569"/>
    <cfRule type="duplicateValues" dxfId="678" priority="564"/>
    <cfRule type="duplicateValues" dxfId="677" priority="565"/>
    <cfRule type="duplicateValues" dxfId="676" priority="566"/>
    <cfRule type="duplicateValues" dxfId="675" priority="567"/>
    <cfRule type="duplicateValues" dxfId="674" priority="568" stopIfTrue="1"/>
    <cfRule type="duplicateValues" dxfId="673" priority="572"/>
    <cfRule type="duplicateValues" dxfId="672" priority="585"/>
    <cfRule type="duplicateValues" dxfId="671" priority="584"/>
    <cfRule type="duplicateValues" dxfId="670" priority="583"/>
    <cfRule type="duplicateValues" dxfId="669" priority="582"/>
    <cfRule type="duplicateValues" dxfId="668" priority="581"/>
    <cfRule type="duplicateValues" dxfId="667" priority="580"/>
    <cfRule type="duplicateValues" dxfId="666" priority="579"/>
    <cfRule type="duplicateValues" dxfId="665" priority="578"/>
    <cfRule type="duplicateValues" dxfId="664" priority="577"/>
    <cfRule type="duplicateValues" dxfId="663" priority="576"/>
    <cfRule type="duplicateValues" dxfId="662" priority="575"/>
    <cfRule type="duplicateValues" dxfId="661" priority="574"/>
    <cfRule type="duplicateValues" dxfId="660" priority="573"/>
  </conditionalFormatting>
  <conditionalFormatting sqref="B319">
    <cfRule type="duplicateValues" dxfId="659" priority="562"/>
    <cfRule type="duplicateValues" dxfId="658" priority="563"/>
    <cfRule type="duplicateValues" dxfId="657" priority="561"/>
  </conditionalFormatting>
  <conditionalFormatting sqref="B320">
    <cfRule type="duplicateValues" dxfId="656" priority="559"/>
    <cfRule type="duplicateValues" dxfId="655" priority="554"/>
    <cfRule type="duplicateValues" dxfId="654" priority="555"/>
    <cfRule type="duplicateValues" dxfId="653" priority="556"/>
    <cfRule type="duplicateValues" dxfId="652" priority="557"/>
    <cfRule type="duplicateValues" dxfId="651" priority="558"/>
  </conditionalFormatting>
  <conditionalFormatting sqref="B321">
    <cfRule type="duplicateValues" dxfId="650" priority="726"/>
    <cfRule type="duplicateValues" dxfId="649" priority="731"/>
    <cfRule type="duplicateValues" dxfId="648" priority="729"/>
    <cfRule type="duplicateValues" dxfId="647" priority="730"/>
    <cfRule type="duplicateValues" dxfId="646" priority="728"/>
    <cfRule type="duplicateValues" dxfId="645" priority="727"/>
  </conditionalFormatting>
  <conditionalFormatting sqref="B322">
    <cfRule type="duplicateValues" dxfId="644" priority="591"/>
    <cfRule type="duplicateValues" dxfId="643" priority="589"/>
    <cfRule type="duplicateValues" dxfId="642" priority="588"/>
    <cfRule type="duplicateValues" dxfId="641" priority="587"/>
    <cfRule type="duplicateValues" dxfId="640" priority="590"/>
    <cfRule type="duplicateValues" dxfId="639" priority="586"/>
  </conditionalFormatting>
  <conditionalFormatting sqref="B323">
    <cfRule type="duplicateValues" dxfId="638" priority="596"/>
    <cfRule type="duplicateValues" dxfId="637" priority="595"/>
    <cfRule type="duplicateValues" dxfId="636" priority="594"/>
    <cfRule type="duplicateValues" dxfId="635" priority="593"/>
    <cfRule type="duplicateValues" dxfId="634" priority="592"/>
    <cfRule type="duplicateValues" dxfId="633" priority="597"/>
  </conditionalFormatting>
  <conditionalFormatting sqref="B329 B316">
    <cfRule type="duplicateValues" dxfId="632" priority="677"/>
    <cfRule type="duplicateValues" dxfId="631" priority="678"/>
  </conditionalFormatting>
  <conditionalFormatting sqref="B330">
    <cfRule type="duplicateValues" dxfId="630" priority="560"/>
  </conditionalFormatting>
  <conditionalFormatting sqref="B331:B332">
    <cfRule type="duplicateValues" dxfId="629" priority="553"/>
    <cfRule type="duplicateValues" dxfId="628" priority="552"/>
    <cfRule type="duplicateValues" dxfId="627" priority="551"/>
    <cfRule type="duplicateValues" dxfId="626" priority="550"/>
    <cfRule type="duplicateValues" dxfId="625" priority="549"/>
    <cfRule type="duplicateValues" dxfId="624" priority="548"/>
  </conditionalFormatting>
  <conditionalFormatting sqref="B333">
    <cfRule type="duplicateValues" dxfId="623" priority="676"/>
  </conditionalFormatting>
  <conditionalFormatting sqref="B338">
    <cfRule type="duplicateValues" dxfId="622" priority="544"/>
    <cfRule type="duplicateValues" dxfId="621" priority="543"/>
    <cfRule type="duplicateValues" dxfId="620" priority="542"/>
  </conditionalFormatting>
  <conditionalFormatting sqref="B339">
    <cfRule type="duplicateValues" dxfId="619" priority="541"/>
    <cfRule type="duplicateValues" dxfId="618" priority="540"/>
    <cfRule type="duplicateValues" dxfId="617" priority="539"/>
  </conditionalFormatting>
  <conditionalFormatting sqref="B342">
    <cfRule type="duplicateValues" dxfId="616" priority="535"/>
  </conditionalFormatting>
  <conditionalFormatting sqref="B342:B343">
    <cfRule type="duplicateValues" dxfId="615" priority="538"/>
    <cfRule type="duplicateValues" dxfId="614" priority="536"/>
    <cfRule type="duplicateValues" dxfId="613" priority="537"/>
  </conditionalFormatting>
  <conditionalFormatting sqref="B344">
    <cfRule type="duplicateValues" dxfId="612" priority="534"/>
    <cfRule type="duplicateValues" dxfId="611" priority="533"/>
    <cfRule type="duplicateValues" dxfId="610" priority="532"/>
  </conditionalFormatting>
  <conditionalFormatting sqref="B346">
    <cfRule type="duplicateValues" dxfId="609" priority="531"/>
    <cfRule type="duplicateValues" dxfId="608" priority="529"/>
    <cfRule type="duplicateValues" dxfId="607" priority="530"/>
  </conditionalFormatting>
  <conditionalFormatting sqref="B351">
    <cfRule type="duplicateValues" dxfId="606" priority="547"/>
    <cfRule type="duplicateValues" dxfId="605" priority="545"/>
    <cfRule type="duplicateValues" dxfId="604" priority="546"/>
  </conditionalFormatting>
  <conditionalFormatting sqref="B353">
    <cfRule type="duplicateValues" dxfId="603" priority="528"/>
  </conditionalFormatting>
  <conditionalFormatting sqref="B354">
    <cfRule type="duplicateValues" dxfId="602" priority="527"/>
    <cfRule type="duplicateValues" dxfId="601" priority="526"/>
    <cfRule type="duplicateValues" dxfId="600" priority="525"/>
  </conditionalFormatting>
  <conditionalFormatting sqref="B355">
    <cfRule type="duplicateValues" dxfId="599" priority="523"/>
    <cfRule type="duplicateValues" dxfId="598" priority="522"/>
    <cfRule type="duplicateValues" dxfId="597" priority="524"/>
  </conditionalFormatting>
  <conditionalFormatting sqref="B360 B357:B358">
    <cfRule type="duplicateValues" dxfId="596" priority="516"/>
    <cfRule type="duplicateValues" dxfId="595" priority="519"/>
  </conditionalFormatting>
  <conditionalFormatting sqref="B360:B361 B357:B358">
    <cfRule type="duplicateValues" dxfId="594" priority="521"/>
    <cfRule type="duplicateValues" dxfId="593" priority="520"/>
    <cfRule type="duplicateValues" dxfId="592" priority="518"/>
    <cfRule type="duplicateValues" dxfId="591" priority="517"/>
  </conditionalFormatting>
  <conditionalFormatting sqref="B362">
    <cfRule type="duplicateValues" dxfId="590" priority="514"/>
    <cfRule type="duplicateValues" dxfId="589" priority="515"/>
    <cfRule type="duplicateValues" dxfId="588" priority="513"/>
  </conditionalFormatting>
  <conditionalFormatting sqref="B363">
    <cfRule type="duplicateValues" dxfId="587" priority="511"/>
    <cfRule type="duplicateValues" dxfId="586" priority="512"/>
    <cfRule type="duplicateValues" dxfId="585" priority="510"/>
    <cfRule type="duplicateValues" dxfId="584" priority="509"/>
    <cfRule type="duplicateValues" dxfId="583" priority="508"/>
  </conditionalFormatting>
  <conditionalFormatting sqref="B364">
    <cfRule type="duplicateValues" dxfId="582" priority="505"/>
    <cfRule type="duplicateValues" dxfId="581" priority="507"/>
    <cfRule type="duplicateValues" dxfId="580" priority="506"/>
    <cfRule type="duplicateValues" dxfId="579" priority="504"/>
    <cfRule type="duplicateValues" dxfId="578" priority="503"/>
  </conditionalFormatting>
  <conditionalFormatting sqref="B365">
    <cfRule type="duplicateValues" dxfId="577" priority="499"/>
    <cfRule type="duplicateValues" dxfId="576" priority="500"/>
    <cfRule type="duplicateValues" dxfId="575" priority="501"/>
    <cfRule type="duplicateValues" dxfId="574" priority="502"/>
    <cfRule type="duplicateValues" dxfId="573" priority="498"/>
  </conditionalFormatting>
  <conditionalFormatting sqref="B366">
    <cfRule type="duplicateValues" dxfId="572" priority="495"/>
    <cfRule type="duplicateValues" dxfId="571" priority="494"/>
    <cfRule type="duplicateValues" dxfId="570" priority="493"/>
    <cfRule type="duplicateValues" dxfId="569" priority="497"/>
    <cfRule type="duplicateValues" dxfId="568" priority="496"/>
  </conditionalFormatting>
  <conditionalFormatting sqref="B367">
    <cfRule type="duplicateValues" dxfId="567" priority="483"/>
    <cfRule type="duplicateValues" dxfId="566" priority="482"/>
    <cfRule type="duplicateValues" dxfId="565" priority="487"/>
    <cfRule type="duplicateValues" dxfId="564" priority="484"/>
    <cfRule type="duplicateValues" dxfId="563" priority="485"/>
    <cfRule type="duplicateValues" dxfId="562" priority="486"/>
  </conditionalFormatting>
  <conditionalFormatting sqref="B368">
    <cfRule type="duplicateValues" dxfId="561" priority="470"/>
    <cfRule type="duplicateValues" dxfId="560" priority="469"/>
    <cfRule type="duplicateValues" dxfId="559" priority="468"/>
    <cfRule type="duplicateValues" dxfId="558" priority="467"/>
    <cfRule type="duplicateValues" dxfId="557" priority="465"/>
    <cfRule type="duplicateValues" dxfId="556" priority="466"/>
  </conditionalFormatting>
  <conditionalFormatting sqref="B369">
    <cfRule type="duplicateValues" dxfId="555" priority="461"/>
    <cfRule type="duplicateValues" dxfId="554" priority="463"/>
    <cfRule type="duplicateValues" dxfId="553" priority="464"/>
    <cfRule type="duplicateValues" dxfId="552" priority="460"/>
    <cfRule type="duplicateValues" dxfId="551" priority="462"/>
  </conditionalFormatting>
  <conditionalFormatting sqref="B371:B373">
    <cfRule type="duplicateValues" dxfId="550" priority="452"/>
    <cfRule type="duplicateValues" dxfId="549" priority="453"/>
    <cfRule type="duplicateValues" dxfId="548" priority="451"/>
    <cfRule type="duplicateValues" dxfId="547" priority="450"/>
    <cfRule type="duplicateValues" dxfId="546" priority="454"/>
  </conditionalFormatting>
  <conditionalFormatting sqref="B373 B371">
    <cfRule type="duplicateValues" dxfId="545" priority="449"/>
  </conditionalFormatting>
  <conditionalFormatting sqref="B374">
    <cfRule type="duplicateValues" dxfId="544" priority="448"/>
    <cfRule type="duplicateValues" dxfId="543" priority="447"/>
    <cfRule type="duplicateValues" dxfId="542" priority="446"/>
    <cfRule type="duplicateValues" dxfId="541" priority="445"/>
  </conditionalFormatting>
  <conditionalFormatting sqref="B377">
    <cfRule type="duplicateValues" dxfId="540" priority="489"/>
    <cfRule type="duplicateValues" dxfId="539" priority="490"/>
    <cfRule type="duplicateValues" dxfId="538" priority="491"/>
    <cfRule type="duplicateValues" dxfId="537" priority="492"/>
    <cfRule type="duplicateValues" dxfId="536" priority="488"/>
  </conditionalFormatting>
  <conditionalFormatting sqref="B378:B379">
    <cfRule type="duplicateValues" dxfId="535" priority="675"/>
    <cfRule type="duplicateValues" dxfId="534" priority="674"/>
    <cfRule type="duplicateValues" dxfId="533" priority="673"/>
    <cfRule type="duplicateValues" dxfId="532" priority="672"/>
  </conditionalFormatting>
  <conditionalFormatting sqref="B382">
    <cfRule type="duplicateValues" dxfId="531" priority="478"/>
    <cfRule type="duplicateValues" dxfId="530" priority="476"/>
    <cfRule type="duplicateValues" dxfId="529" priority="477"/>
    <cfRule type="duplicateValues" dxfId="528" priority="479"/>
    <cfRule type="duplicateValues" dxfId="527" priority="480"/>
    <cfRule type="duplicateValues" dxfId="526" priority="481"/>
  </conditionalFormatting>
  <conditionalFormatting sqref="B383">
    <cfRule type="duplicateValues" dxfId="525" priority="475"/>
    <cfRule type="duplicateValues" dxfId="524" priority="474"/>
    <cfRule type="duplicateValues" dxfId="523" priority="473"/>
    <cfRule type="duplicateValues" dxfId="522" priority="472"/>
    <cfRule type="duplicateValues" dxfId="521" priority="471"/>
  </conditionalFormatting>
  <conditionalFormatting sqref="B387">
    <cfRule type="duplicateValues" dxfId="520" priority="455"/>
    <cfRule type="duplicateValues" dxfId="519" priority="456"/>
    <cfRule type="duplicateValues" dxfId="518" priority="457"/>
    <cfRule type="duplicateValues" dxfId="517" priority="458"/>
    <cfRule type="duplicateValues" dxfId="516" priority="459"/>
  </conditionalFormatting>
  <conditionalFormatting sqref="B389">
    <cfRule type="duplicateValues" dxfId="515" priority="671"/>
  </conditionalFormatting>
  <conditionalFormatting sqref="B389:B390 B370">
    <cfRule type="duplicateValues" dxfId="514" priority="689"/>
    <cfRule type="duplicateValues" dxfId="513" priority="687"/>
    <cfRule type="duplicateValues" dxfId="512" priority="688"/>
  </conditionalFormatting>
  <conditionalFormatting sqref="B389:B390">
    <cfRule type="duplicateValues" dxfId="511" priority="670"/>
  </conditionalFormatting>
  <conditionalFormatting sqref="B390">
    <cfRule type="duplicateValues" dxfId="510" priority="669"/>
  </conditionalFormatting>
  <conditionalFormatting sqref="B392">
    <cfRule type="duplicateValues" dxfId="509" priority="668"/>
    <cfRule type="duplicateValues" dxfId="508" priority="667"/>
  </conditionalFormatting>
  <conditionalFormatting sqref="B393">
    <cfRule type="duplicateValues" dxfId="507" priority="652"/>
    <cfRule type="duplicateValues" dxfId="506" priority="651"/>
    <cfRule type="duplicateValues" dxfId="505" priority="654"/>
    <cfRule type="duplicateValues" dxfId="504" priority="653"/>
  </conditionalFormatting>
  <conditionalFormatting sqref="B394">
    <cfRule type="duplicateValues" dxfId="503" priority="441"/>
    <cfRule type="duplicateValues" dxfId="502" priority="442"/>
    <cfRule type="duplicateValues" dxfId="501" priority="443"/>
    <cfRule type="duplicateValues" dxfId="500" priority="444"/>
    <cfRule type="duplicateValues" dxfId="499" priority="440"/>
  </conditionalFormatting>
  <conditionalFormatting sqref="B395">
    <cfRule type="duplicateValues" dxfId="498" priority="723"/>
    <cfRule type="duplicateValues" dxfId="497" priority="724"/>
    <cfRule type="duplicateValues" dxfId="496" priority="722"/>
    <cfRule type="duplicateValues" dxfId="495" priority="725"/>
  </conditionalFormatting>
  <conditionalFormatting sqref="B396">
    <cfRule type="duplicateValues" dxfId="494" priority="685"/>
    <cfRule type="duplicateValues" dxfId="493" priority="686"/>
    <cfRule type="duplicateValues" dxfId="492" priority="682"/>
    <cfRule type="duplicateValues" dxfId="491" priority="683"/>
    <cfRule type="duplicateValues" dxfId="490" priority="684"/>
  </conditionalFormatting>
  <conditionalFormatting sqref="B399">
    <cfRule type="duplicateValues" dxfId="489" priority="434"/>
    <cfRule type="duplicateValues" dxfId="488" priority="435"/>
    <cfRule type="duplicateValues" dxfId="487" priority="436"/>
    <cfRule type="duplicateValues" dxfId="486" priority="437"/>
    <cfRule type="duplicateValues" dxfId="485" priority="438"/>
    <cfRule type="duplicateValues" dxfId="484" priority="439"/>
  </conditionalFormatting>
  <conditionalFormatting sqref="B402">
    <cfRule type="duplicateValues" dxfId="483" priority="429"/>
    <cfRule type="duplicateValues" dxfId="482" priority="433"/>
    <cfRule type="duplicateValues" dxfId="481" priority="432"/>
    <cfRule type="duplicateValues" dxfId="480" priority="431"/>
    <cfRule type="duplicateValues" dxfId="479" priority="430"/>
  </conditionalFormatting>
  <conditionalFormatting sqref="B406">
    <cfRule type="duplicateValues" dxfId="478" priority="426"/>
    <cfRule type="duplicateValues" dxfId="477" priority="428"/>
    <cfRule type="duplicateValues" dxfId="476" priority="427"/>
    <cfRule type="duplicateValues" dxfId="475" priority="425"/>
    <cfRule type="duplicateValues" dxfId="474" priority="424"/>
  </conditionalFormatting>
  <conditionalFormatting sqref="B407">
    <cfRule type="duplicateValues" dxfId="473" priority="664"/>
    <cfRule type="duplicateValues" dxfId="472" priority="665"/>
    <cfRule type="duplicateValues" dxfId="471" priority="666"/>
  </conditionalFormatting>
  <conditionalFormatting sqref="B414">
    <cfRule type="duplicateValues" dxfId="470" priority="422"/>
    <cfRule type="duplicateValues" dxfId="469" priority="421"/>
    <cfRule type="duplicateValues" dxfId="468" priority="423"/>
  </conditionalFormatting>
  <conditionalFormatting sqref="B417 B410">
    <cfRule type="duplicateValues" dxfId="467" priority="655"/>
    <cfRule type="duplicateValues" dxfId="466" priority="656"/>
    <cfRule type="duplicateValues" dxfId="465" priority="657"/>
    <cfRule type="duplicateValues" dxfId="464" priority="658"/>
    <cfRule type="duplicateValues" dxfId="463" priority="659"/>
  </conditionalFormatting>
  <conditionalFormatting sqref="B418">
    <cfRule type="duplicateValues" dxfId="462" priority="719"/>
    <cfRule type="duplicateValues" dxfId="461" priority="721"/>
    <cfRule type="duplicateValues" dxfId="460" priority="720"/>
  </conditionalFormatting>
  <conditionalFormatting sqref="B419 B412 B378:B379 B384:B386 B335:B337 B300 B304 B310 B316 B318 B333 B324:B329 B345 B350 B381 B370 B388:B392 B375 B395:B398 B407 B437:B438 B430:B432 B415:B417 B409:B410">
    <cfRule type="duplicateValues" dxfId="459" priority="700"/>
  </conditionalFormatting>
  <conditionalFormatting sqref="B419 B412:B413 B378:B379 B384:B386 B335:B337 B300 B304 B310 B316 B318 B333 B324:B329 B345 B350 B381 B370 B388:B392 B375 B395:B398 B407 B427:B428 B437:B438 B430:B432 B415:B417 B409:B410">
    <cfRule type="duplicateValues" dxfId="458" priority="707"/>
    <cfRule type="duplicateValues" dxfId="457" priority="712"/>
    <cfRule type="duplicateValues" dxfId="456" priority="711"/>
    <cfRule type="duplicateValues" dxfId="455" priority="710" stopIfTrue="1"/>
    <cfRule type="duplicateValues" dxfId="454" priority="709"/>
    <cfRule type="duplicateValues" dxfId="453" priority="708"/>
  </conditionalFormatting>
  <conditionalFormatting sqref="B419 B412:B413 B378:B379 B384:B386 B335:B337 B300 B304 B310 B316 B318 B333 B324:B329 B345 B350 B381 B370 B388:B393 B375 B395:B398 B407 B427:B428 B437:B438 B430:B432 B415:B417 B409:B410">
    <cfRule type="duplicateValues" dxfId="452" priority="714"/>
    <cfRule type="duplicateValues" dxfId="451" priority="713"/>
  </conditionalFormatting>
  <conditionalFormatting sqref="B419 B412:B413 B415:B417 B296:B405 B407 B425 B437:B438 B430:B432 B409:B410 B427:B428">
    <cfRule type="duplicateValues" dxfId="450" priority="691"/>
  </conditionalFormatting>
  <conditionalFormatting sqref="B419 B412:B413 B415:B417 B407 B425 B437:B438 B430:B432 B409:B410 B296:B393 B395:B398 B427:B428">
    <cfRule type="duplicateValues" dxfId="449" priority="692"/>
  </conditionalFormatting>
  <conditionalFormatting sqref="B419 B412:B413 B415:B417 B407 B425 B437:B438 B430:B432 B409:B410 B296:B398 B427:B428">
    <cfRule type="duplicateValues" dxfId="448" priority="693"/>
  </conditionalFormatting>
  <conditionalFormatting sqref="B419 B412:B413 B415:B417 B407 B425 B437:B438 B430:B432 B409:B410 B375:B393 B296:B370 B395:B398 B427:B428">
    <cfRule type="duplicateValues" dxfId="447" priority="694"/>
  </conditionalFormatting>
  <conditionalFormatting sqref="B419 B412:B413 B415:B417 B407 B427:B428 B437:B438 B430:B432 B409:B410 B375 B378:B379 B384:B386 B350 B345 B340 B296:B319 B333:B337 B321:B329 B381 B370 B388:B393 B395:B398">
    <cfRule type="duplicateValues" dxfId="446" priority="695"/>
  </conditionalFormatting>
  <conditionalFormatting sqref="B419 B412:B413 B415:B417 B407 B427:B428 B437:B438 B430:B432 B409:B410 B375 B378:B379 B384:B386 B350 B345 B340 B296:B337 B381 B370 B388:B393 B395:B398">
    <cfRule type="duplicateValues" dxfId="445" priority="696"/>
  </conditionalFormatting>
  <conditionalFormatting sqref="B419 B412:B413 B415:B417 B407 B427:B428 B437:B438 B430:B432 B409:B410 B375 B384:B386 B296:B352 B378:B379 B381 B370 B388:B393 B395:B398">
    <cfRule type="duplicateValues" dxfId="444" priority="697"/>
  </conditionalFormatting>
  <conditionalFormatting sqref="B419 B412:B413 B415:B417 B407 B427:B428 B437:B438 B430:B432 B409:B410 B375 B384:B386 B296:B353 B378:B379 B381 B370 B388:B393 B395:B398">
    <cfRule type="duplicateValues" dxfId="443" priority="698"/>
  </conditionalFormatting>
  <conditionalFormatting sqref="B419 B412:B413 B415:B417 B407 B427:B428 B437:B438 B430:B432 B409:B410 B375 B384:B386 B350:B352 B378:B379 B345 B348 B340 B296:B338 B381 B370 B388:B393 B395:B398">
    <cfRule type="duplicateValues" dxfId="442" priority="699"/>
  </conditionalFormatting>
  <conditionalFormatting sqref="B419">
    <cfRule type="duplicateValues" dxfId="441" priority="660"/>
    <cfRule type="duplicateValues" dxfId="440" priority="662"/>
    <cfRule type="duplicateValues" dxfId="439" priority="663"/>
    <cfRule type="duplicateValues" dxfId="438" priority="661"/>
  </conditionalFormatting>
  <conditionalFormatting sqref="B420">
    <cfRule type="duplicateValues" dxfId="437" priority="416"/>
    <cfRule type="duplicateValues" dxfId="436" priority="417"/>
    <cfRule type="duplicateValues" dxfId="435" priority="418"/>
    <cfRule type="duplicateValues" dxfId="434" priority="419"/>
    <cfRule type="duplicateValues" dxfId="433" priority="420"/>
  </conditionalFormatting>
  <conditionalFormatting sqref="B429">
    <cfRule type="duplicateValues" dxfId="432" priority="415"/>
  </conditionalFormatting>
  <conditionalFormatting sqref="B430:B432 B424:B425 B437:B439 B427:B428 B296:B419">
    <cfRule type="duplicateValues" dxfId="431" priority="718"/>
  </conditionalFormatting>
  <conditionalFormatting sqref="B430:B432 B425 B419 B412:B413 B296:B405 B415:B417 B427:B428 B437:B439 B407:B410">
    <cfRule type="duplicateValues" dxfId="430" priority="715"/>
  </conditionalFormatting>
  <conditionalFormatting sqref="B430:B432 B437:B439 B427:B428 B296:B425">
    <cfRule type="duplicateValues" dxfId="429" priority="716"/>
    <cfRule type="duplicateValues" dxfId="428" priority="717"/>
  </conditionalFormatting>
  <conditionalFormatting sqref="B433">
    <cfRule type="duplicateValues" dxfId="427" priority="408"/>
    <cfRule type="duplicateValues" dxfId="426" priority="407"/>
    <cfRule type="duplicateValues" dxfId="425" priority="406"/>
    <cfRule type="duplicateValues" dxfId="424" priority="405"/>
    <cfRule type="duplicateValues" dxfId="423" priority="404"/>
  </conditionalFormatting>
  <conditionalFormatting sqref="B434">
    <cfRule type="duplicateValues" dxfId="422" priority="414"/>
    <cfRule type="duplicateValues" dxfId="421" priority="411"/>
    <cfRule type="duplicateValues" dxfId="420" priority="413"/>
    <cfRule type="duplicateValues" dxfId="419" priority="412"/>
    <cfRule type="duplicateValues" dxfId="418" priority="410"/>
  </conditionalFormatting>
  <conditionalFormatting sqref="B437:B438 B430:B432 B386 B335:B336 B345 B300 B304 B409">
    <cfRule type="duplicateValues" dxfId="417" priority="701"/>
  </conditionalFormatting>
  <conditionalFormatting sqref="B437:B438 B430:B432 B386 B335:B337 B345 B300 B304 B310 B316 B318 B333 B324:B329 B409">
    <cfRule type="duplicateValues" dxfId="416" priority="702"/>
  </conditionalFormatting>
  <conditionalFormatting sqref="B437:B438 B430:B432 B412 B378:B379 B384:B386 B335:B337 B300 B304 B310 B316 B318 B333 B324:B329 B345 B350 B381 B370 B388:B392 B375 B395:B398 B409">
    <cfRule type="duplicateValues" dxfId="415" priority="704"/>
    <cfRule type="duplicateValues" dxfId="414" priority="703"/>
  </conditionalFormatting>
  <conditionalFormatting sqref="B437:B438 B430:B432 B412 B378:B379 B384:B386 B335:B337 B300 B304 B310 B316 B318 B333 B324:B329 B345 B350 B381 B370 B388:B392 B396:B398 B375 B409">
    <cfRule type="duplicateValues" dxfId="413" priority="705"/>
  </conditionalFormatting>
  <conditionalFormatting sqref="B437:B438 B430:B432 B412 B378:B379 B384:B386 B335:B337 B300 B304 B310 B316 B318 B333 B324:B329 B345 B350 B381 B370 B388:B392 B397:B398 B375 B409">
    <cfRule type="duplicateValues" dxfId="412" priority="706"/>
  </conditionalFormatting>
  <conditionalFormatting sqref="B437:B438 B430:B432">
    <cfRule type="duplicateValues" dxfId="411" priority="690"/>
  </conditionalFormatting>
  <conditionalFormatting sqref="B440:B576">
    <cfRule type="duplicateValues" dxfId="410" priority="2167"/>
    <cfRule type="duplicateValues" dxfId="409" priority="2168"/>
    <cfRule type="duplicateValues" dxfId="408" priority="2169"/>
  </conditionalFormatting>
  <conditionalFormatting sqref="B441:B442">
    <cfRule type="duplicateValues" dxfId="407" priority="162"/>
    <cfRule type="duplicateValues" dxfId="406" priority="159"/>
    <cfRule type="duplicateValues" dxfId="405" priority="138"/>
    <cfRule type="duplicateValues" dxfId="404" priority="139"/>
    <cfRule type="duplicateValues" dxfId="403" priority="140"/>
    <cfRule type="duplicateValues" dxfId="402" priority="141"/>
    <cfRule type="duplicateValues" dxfId="401" priority="142"/>
    <cfRule type="duplicateValues" dxfId="400" priority="143"/>
    <cfRule type="duplicateValues" dxfId="399" priority="144"/>
    <cfRule type="duplicateValues" dxfId="398" priority="157"/>
    <cfRule type="duplicateValues" dxfId="397" priority="145"/>
    <cfRule type="duplicateValues" dxfId="396" priority="147"/>
    <cfRule type="duplicateValues" dxfId="395" priority="148"/>
    <cfRule type="duplicateValues" dxfId="394" priority="149"/>
    <cfRule type="duplicateValues" dxfId="393" priority="150"/>
    <cfRule type="duplicateValues" dxfId="392" priority="151"/>
    <cfRule type="duplicateValues" dxfId="391" priority="146"/>
    <cfRule type="duplicateValues" dxfId="390" priority="166"/>
    <cfRule type="duplicateValues" dxfId="389" priority="165"/>
    <cfRule type="duplicateValues" dxfId="388" priority="164"/>
    <cfRule type="duplicateValues" dxfId="387" priority="163"/>
    <cfRule type="duplicateValues" dxfId="386" priority="152"/>
    <cfRule type="duplicateValues" dxfId="385" priority="153"/>
    <cfRule type="duplicateValues" dxfId="384" priority="154"/>
    <cfRule type="duplicateValues" dxfId="383" priority="155"/>
    <cfRule type="duplicateValues" dxfId="382" priority="156"/>
    <cfRule type="duplicateValues" dxfId="381" priority="158" stopIfTrue="1"/>
    <cfRule type="duplicateValues" dxfId="380" priority="160"/>
    <cfRule type="duplicateValues" dxfId="379" priority="161"/>
  </conditionalFormatting>
  <conditionalFormatting sqref="B443">
    <cfRule type="duplicateValues" dxfId="378" priority="317"/>
    <cfRule type="duplicateValues" dxfId="377" priority="318"/>
    <cfRule type="duplicateValues" dxfId="376" priority="319"/>
    <cfRule type="duplicateValues" dxfId="375" priority="320"/>
    <cfRule type="duplicateValues" dxfId="374" priority="321"/>
  </conditionalFormatting>
  <conditionalFormatting sqref="B446">
    <cfRule type="duplicateValues" dxfId="373" priority="344"/>
  </conditionalFormatting>
  <conditionalFormatting sqref="B447">
    <cfRule type="duplicateValues" dxfId="372" priority="312"/>
    <cfRule type="duplicateValues" dxfId="371" priority="313"/>
    <cfRule type="duplicateValues" dxfId="370" priority="314"/>
    <cfRule type="duplicateValues" dxfId="369" priority="315"/>
    <cfRule type="duplicateValues" dxfId="368" priority="316"/>
  </conditionalFormatting>
  <conditionalFormatting sqref="B448">
    <cfRule type="duplicateValues" dxfId="367" priority="137"/>
  </conditionalFormatting>
  <conditionalFormatting sqref="B449">
    <cfRule type="duplicateValues" dxfId="366" priority="311"/>
    <cfRule type="duplicateValues" dxfId="365" priority="357"/>
    <cfRule type="duplicateValues" dxfId="364" priority="358"/>
    <cfRule type="duplicateValues" dxfId="363" priority="359"/>
    <cfRule type="duplicateValues" dxfId="362" priority="360"/>
  </conditionalFormatting>
  <conditionalFormatting sqref="B450">
    <cfRule type="duplicateValues" dxfId="361" priority="135"/>
  </conditionalFormatting>
  <conditionalFormatting sqref="B451">
    <cfRule type="duplicateValues" dxfId="360" priority="306"/>
    <cfRule type="duplicateValues" dxfId="359" priority="307"/>
    <cfRule type="duplicateValues" dxfId="358" priority="308"/>
    <cfRule type="duplicateValues" dxfId="357" priority="309"/>
    <cfRule type="duplicateValues" dxfId="356" priority="310"/>
    <cfRule type="duplicateValues" dxfId="355" priority="305"/>
  </conditionalFormatting>
  <conditionalFormatting sqref="B452">
    <cfRule type="duplicateValues" dxfId="354" priority="136"/>
  </conditionalFormatting>
  <conditionalFormatting sqref="B457">
    <cfRule type="duplicateValues" dxfId="353" priority="299"/>
    <cfRule type="duplicateValues" dxfId="352" priority="303"/>
    <cfRule type="duplicateValues" dxfId="351" priority="304"/>
    <cfRule type="duplicateValues" dxfId="350" priority="302"/>
    <cfRule type="duplicateValues" dxfId="349" priority="301"/>
    <cfRule type="duplicateValues" dxfId="348" priority="300"/>
  </conditionalFormatting>
  <conditionalFormatting sqref="B458">
    <cfRule type="duplicateValues" dxfId="347" priority="343"/>
    <cfRule type="duplicateValues" dxfId="346" priority="342"/>
  </conditionalFormatting>
  <conditionalFormatting sqref="B459">
    <cfRule type="duplicateValues" dxfId="345" priority="278"/>
    <cfRule type="duplicateValues" dxfId="344" priority="277"/>
    <cfRule type="duplicateValues" dxfId="343" priority="276"/>
    <cfRule type="duplicateValues" dxfId="342" priority="275"/>
    <cfRule type="duplicateValues" dxfId="341" priority="274"/>
    <cfRule type="duplicateValues" dxfId="340" priority="273"/>
    <cfRule type="duplicateValues" dxfId="339" priority="272"/>
    <cfRule type="duplicateValues" dxfId="338" priority="271"/>
    <cfRule type="duplicateValues" dxfId="337" priority="270" stopIfTrue="1"/>
    <cfRule type="duplicateValues" dxfId="336" priority="269"/>
    <cfRule type="duplicateValues" dxfId="335" priority="268"/>
    <cfRule type="duplicateValues" dxfId="334" priority="267"/>
    <cfRule type="duplicateValues" dxfId="333" priority="266"/>
    <cfRule type="duplicateValues" dxfId="332" priority="287"/>
    <cfRule type="duplicateValues" dxfId="331" priority="286"/>
    <cfRule type="duplicateValues" dxfId="330" priority="285"/>
    <cfRule type="duplicateValues" dxfId="329" priority="284"/>
    <cfRule type="duplicateValues" dxfId="328" priority="283"/>
    <cfRule type="duplicateValues" dxfId="327" priority="282"/>
    <cfRule type="duplicateValues" dxfId="326" priority="281"/>
    <cfRule type="duplicateValues" dxfId="325" priority="280"/>
    <cfRule type="duplicateValues" dxfId="324" priority="279"/>
  </conditionalFormatting>
  <conditionalFormatting sqref="B461">
    <cfRule type="duplicateValues" dxfId="323" priority="129"/>
    <cfRule type="duplicateValues" dxfId="322" priority="130"/>
    <cfRule type="duplicateValues" dxfId="321" priority="133"/>
    <cfRule type="duplicateValues" dxfId="320" priority="132"/>
    <cfRule type="duplicateValues" dxfId="319" priority="131"/>
  </conditionalFormatting>
  <conditionalFormatting sqref="B462">
    <cfRule type="duplicateValues" dxfId="318" priority="294"/>
    <cfRule type="duplicateValues" dxfId="317" priority="293"/>
    <cfRule type="duplicateValues" dxfId="316" priority="298"/>
    <cfRule type="duplicateValues" dxfId="315" priority="297"/>
    <cfRule type="duplicateValues" dxfId="314" priority="296"/>
    <cfRule type="duplicateValues" dxfId="313" priority="295"/>
  </conditionalFormatting>
  <conditionalFormatting sqref="B465">
    <cfRule type="duplicateValues" dxfId="312" priority="128"/>
  </conditionalFormatting>
  <conditionalFormatting sqref="B466">
    <cfRule type="duplicateValues" dxfId="311" priority="134"/>
  </conditionalFormatting>
  <conditionalFormatting sqref="B467">
    <cfRule type="duplicateValues" dxfId="310" priority="127"/>
  </conditionalFormatting>
  <conditionalFormatting sqref="B469">
    <cfRule type="duplicateValues" dxfId="309" priority="265"/>
  </conditionalFormatting>
  <conditionalFormatting sqref="B471">
    <cfRule type="duplicateValues" dxfId="308" priority="341"/>
  </conditionalFormatting>
  <conditionalFormatting sqref="B475">
    <cfRule type="duplicateValues" dxfId="307" priority="254"/>
    <cfRule type="duplicateValues" dxfId="306" priority="255"/>
    <cfRule type="duplicateValues" dxfId="305" priority="253"/>
  </conditionalFormatting>
  <conditionalFormatting sqref="B476">
    <cfRule type="duplicateValues" dxfId="304" priority="250"/>
    <cfRule type="duplicateValues" dxfId="303" priority="251"/>
    <cfRule type="duplicateValues" dxfId="302" priority="252"/>
  </conditionalFormatting>
  <conditionalFormatting sqref="B480">
    <cfRule type="duplicateValues" dxfId="301" priority="126"/>
  </conditionalFormatting>
  <conditionalFormatting sqref="B481">
    <cfRule type="duplicateValues" dxfId="300" priority="247"/>
    <cfRule type="duplicateValues" dxfId="299" priority="248"/>
    <cfRule type="duplicateValues" dxfId="298" priority="249"/>
  </conditionalFormatting>
  <conditionalFormatting sqref="B486">
    <cfRule type="duplicateValues" dxfId="297" priority="242"/>
    <cfRule type="duplicateValues" dxfId="296" priority="243"/>
    <cfRule type="duplicateValues" dxfId="295" priority="241"/>
  </conditionalFormatting>
  <conditionalFormatting sqref="B487">
    <cfRule type="duplicateValues" dxfId="294" priority="125"/>
    <cfRule type="duplicateValues" dxfId="293" priority="124"/>
    <cfRule type="duplicateValues" dxfId="292" priority="123"/>
  </conditionalFormatting>
  <conditionalFormatting sqref="B491">
    <cfRule type="duplicateValues" dxfId="291" priority="224"/>
    <cfRule type="duplicateValues" dxfId="290" priority="226"/>
    <cfRule type="duplicateValues" dxfId="289" priority="222"/>
    <cfRule type="duplicateValues" dxfId="288" priority="223"/>
    <cfRule type="duplicateValues" dxfId="287" priority="225"/>
  </conditionalFormatting>
  <conditionalFormatting sqref="B492">
    <cfRule type="duplicateValues" dxfId="286" priority="220"/>
    <cfRule type="duplicateValues" dxfId="285" priority="219"/>
    <cfRule type="duplicateValues" dxfId="284" priority="217"/>
    <cfRule type="duplicateValues" dxfId="283" priority="218"/>
    <cfRule type="duplicateValues" dxfId="282" priority="221"/>
  </conditionalFormatting>
  <conditionalFormatting sqref="B493">
    <cfRule type="duplicateValues" dxfId="281" priority="208"/>
    <cfRule type="duplicateValues" dxfId="280" priority="209"/>
    <cfRule type="duplicateValues" dxfId="279" priority="210"/>
    <cfRule type="duplicateValues" dxfId="278" priority="211"/>
    <cfRule type="duplicateValues" dxfId="277" priority="207"/>
    <cfRule type="duplicateValues" dxfId="276" priority="206"/>
  </conditionalFormatting>
  <conditionalFormatting sqref="B494">
    <cfRule type="duplicateValues" dxfId="275" priority="198"/>
    <cfRule type="duplicateValues" dxfId="274" priority="197"/>
    <cfRule type="duplicateValues" dxfId="273" priority="196"/>
    <cfRule type="duplicateValues" dxfId="272" priority="194"/>
    <cfRule type="duplicateValues" dxfId="271" priority="199"/>
    <cfRule type="duplicateValues" dxfId="270" priority="195"/>
  </conditionalFormatting>
  <conditionalFormatting sqref="B495">
    <cfRule type="duplicateValues" dxfId="269" priority="189"/>
    <cfRule type="duplicateValues" dxfId="268" priority="190"/>
    <cfRule type="duplicateValues" dxfId="267" priority="191"/>
    <cfRule type="duplicateValues" dxfId="266" priority="192"/>
    <cfRule type="duplicateValues" dxfId="265" priority="193"/>
  </conditionalFormatting>
  <conditionalFormatting sqref="B496">
    <cfRule type="duplicateValues" dxfId="264" priority="232"/>
    <cfRule type="duplicateValues" dxfId="263" priority="233"/>
    <cfRule type="duplicateValues" dxfId="262" priority="234"/>
  </conditionalFormatting>
  <conditionalFormatting sqref="B497">
    <cfRule type="duplicateValues" dxfId="261" priority="230"/>
    <cfRule type="duplicateValues" dxfId="260" priority="228"/>
    <cfRule type="duplicateValues" dxfId="259" priority="227"/>
    <cfRule type="duplicateValues" dxfId="258" priority="229"/>
    <cfRule type="duplicateValues" dxfId="257" priority="231"/>
  </conditionalFormatting>
  <conditionalFormatting sqref="B498:B499 B489">
    <cfRule type="duplicateValues" dxfId="256" priority="235"/>
    <cfRule type="duplicateValues" dxfId="255" priority="238"/>
  </conditionalFormatting>
  <conditionalFormatting sqref="B498:B499 B489:B490">
    <cfRule type="duplicateValues" dxfId="254" priority="239"/>
    <cfRule type="duplicateValues" dxfId="253" priority="240"/>
    <cfRule type="duplicateValues" dxfId="252" priority="236"/>
    <cfRule type="duplicateValues" dxfId="251" priority="237"/>
  </conditionalFormatting>
  <conditionalFormatting sqref="B500">
    <cfRule type="duplicateValues" dxfId="250" priority="246"/>
    <cfRule type="duplicateValues" dxfId="249" priority="245"/>
    <cfRule type="duplicateValues" dxfId="248" priority="244"/>
  </conditionalFormatting>
  <conditionalFormatting sqref="B501">
    <cfRule type="duplicateValues" dxfId="247" priority="258"/>
    <cfRule type="duplicateValues" dxfId="246" priority="257"/>
    <cfRule type="duplicateValues" dxfId="245" priority="256"/>
  </conditionalFormatting>
  <conditionalFormatting sqref="B505 B545 B548 B538:B543 B443 B445:B447 B449 B453:B454 B451 B456:B460 B462:B463 B468:B472 B475:B477 B481:B482 B486:B501 B503 B509:B512 B507 B514 B517:B521 B527:B528 B532:B533 B536 B523:B525 B550:B552 B554:B556 B558:B566 B569:B575">
    <cfRule type="duplicateValues" dxfId="244" priority="377"/>
  </conditionalFormatting>
  <conditionalFormatting sqref="B505 B545 B548 B543 B538 B541 B443 B445:B447 B449 B453:B454 B451 B456:B460 B462:B463 B468:B472 B475:B477 B481:B482 B486:B501 B503 B509:B512 B507 B514 B517:B521 B525 B527:B528 B532:B533 B550:B552 B554:B556 B558:B566 B569:B575">
    <cfRule type="duplicateValues" dxfId="243" priority="378"/>
  </conditionalFormatting>
  <conditionalFormatting sqref="B505 B545 B548 B543 B538 B541 B443 B445:B447 B449 B453:B454 B451 B456:B460 B462:B463 B468:B472 B475:B477 B481:B482 B486:B501 B503 B509:B512 B507 B514 B517:B521 B527:B528 B532:B533 B536 B523:B525 B550:B552 B554:B556 B558:B566 B569:B575">
    <cfRule type="duplicateValues" dxfId="242" priority="379"/>
  </conditionalFormatting>
  <conditionalFormatting sqref="B505 B545 B548 B543 B538 B541 B532:B533 B443 B445:B447 B449 B453:B454 B451 B456:B460 B462:B463 B468:B472 B475:B477 B481:B482 B486:B501 B503 B509:B512 B507 B514 B517:B521 B525 B527:B528 B550:B552 B554:B556 B558:B566 B569:B575">
    <cfRule type="duplicateValues" dxfId="241" priority="380"/>
  </conditionalFormatting>
  <conditionalFormatting sqref="B505 B545 B548 B543 B538 B541 B532:B533 B443 B445:B447 B449 B453:B454 B451 B456:B460 B462:B463 B468:B472 B475:B477 B481:B482 B486:B501 B503 B510:B512 B514 B517:B521 B525 B527:B528 B550:B552 B554:B556 B558:B566 B569:B575">
    <cfRule type="duplicateValues" dxfId="240" priority="381"/>
  </conditionalFormatting>
  <conditionalFormatting sqref="B507">
    <cfRule type="duplicateValues" dxfId="239" priority="180"/>
    <cfRule type="duplicateValues" dxfId="238" priority="182"/>
    <cfRule type="duplicateValues" dxfId="237" priority="181"/>
    <cfRule type="duplicateValues" dxfId="236" priority="179"/>
    <cfRule type="duplicateValues" dxfId="235" priority="183"/>
  </conditionalFormatting>
  <conditionalFormatting sqref="B509">
    <cfRule type="duplicateValues" dxfId="234" priority="177"/>
    <cfRule type="duplicateValues" dxfId="233" priority="178"/>
    <cfRule type="duplicateValues" dxfId="232" priority="175"/>
    <cfRule type="duplicateValues" dxfId="231" priority="176"/>
  </conditionalFormatting>
  <conditionalFormatting sqref="B510">
    <cfRule type="duplicateValues" dxfId="230" priority="216"/>
    <cfRule type="duplicateValues" dxfId="229" priority="214"/>
    <cfRule type="duplicateValues" dxfId="228" priority="213"/>
    <cfRule type="duplicateValues" dxfId="227" priority="212"/>
    <cfRule type="duplicateValues" dxfId="226" priority="215"/>
  </conditionalFormatting>
  <conditionalFormatting sqref="B511 B470">
    <cfRule type="duplicateValues" dxfId="225" priority="260"/>
    <cfRule type="duplicateValues" dxfId="224" priority="261"/>
    <cfRule type="duplicateValues" dxfId="223" priority="259"/>
    <cfRule type="duplicateValues" dxfId="222" priority="262"/>
    <cfRule type="duplicateValues" dxfId="221" priority="263"/>
    <cfRule type="duplicateValues" dxfId="220" priority="264"/>
  </conditionalFormatting>
  <conditionalFormatting sqref="B512">
    <cfRule type="duplicateValues" dxfId="219" priority="340"/>
    <cfRule type="duplicateValues" dxfId="218" priority="337"/>
    <cfRule type="duplicateValues" dxfId="217" priority="338"/>
    <cfRule type="duplicateValues" dxfId="216" priority="339"/>
  </conditionalFormatting>
  <conditionalFormatting sqref="B513">
    <cfRule type="duplicateValues" dxfId="215" priority="122"/>
  </conditionalFormatting>
  <conditionalFormatting sqref="B518">
    <cfRule type="duplicateValues" dxfId="214" priority="201"/>
    <cfRule type="duplicateValues" dxfId="213" priority="202"/>
    <cfRule type="duplicateValues" dxfId="212" priority="203"/>
    <cfRule type="duplicateValues" dxfId="211" priority="204"/>
    <cfRule type="duplicateValues" dxfId="210" priority="205"/>
    <cfRule type="duplicateValues" dxfId="209" priority="200"/>
  </conditionalFormatting>
  <conditionalFormatting sqref="B519">
    <cfRule type="duplicateValues" dxfId="208" priority="121"/>
  </conditionalFormatting>
  <conditionalFormatting sqref="B521">
    <cfRule type="duplicateValues" dxfId="207" priority="188"/>
    <cfRule type="duplicateValues" dxfId="206" priority="187"/>
    <cfRule type="duplicateValues" dxfId="205" priority="184"/>
    <cfRule type="duplicateValues" dxfId="204" priority="186"/>
    <cfRule type="duplicateValues" dxfId="203" priority="185"/>
  </conditionalFormatting>
  <conditionalFormatting sqref="B522">
    <cfRule type="duplicateValues" dxfId="202" priority="89"/>
  </conditionalFormatting>
  <conditionalFormatting sqref="B526">
    <cfRule type="duplicateValues" dxfId="201" priority="91"/>
    <cfRule type="duplicateValues" dxfId="200" priority="90"/>
  </conditionalFormatting>
  <conditionalFormatting sqref="B527 B501 B545 B543 B538 B541 B548 B477 B517 B505 B532:B533 B443 B445:B447 B449 B453:B454 B451 B456:B460 B462:B463 B468:B472 B511:B512 B475 B519:B520 B525 B550:B552 B554:B556 B558:B566 B569:B575">
    <cfRule type="duplicateValues" dxfId="199" priority="382"/>
  </conditionalFormatting>
  <conditionalFormatting sqref="B527 B505">
    <cfRule type="duplicateValues" dxfId="198" priority="352"/>
    <cfRule type="duplicateValues" dxfId="197" priority="350"/>
    <cfRule type="duplicateValues" dxfId="196" priority="351"/>
  </conditionalFormatting>
  <conditionalFormatting sqref="B527 B545 B543 B538 B541 B548 B477 B471:B472 B517 B505 B532:B533 B443 B445:B447 B449 B453:B454 B451 B456:B460 B468 B512 B462:B463 B519:B520 B525 B550:B552 B554:B556 B558:B566 B569:B575">
    <cfRule type="duplicateValues" dxfId="195" priority="383"/>
  </conditionalFormatting>
  <conditionalFormatting sqref="B527 B545 B543 B538 B541 B548 B477 B517 B505 B532:B533 B443 B445:B447 B449 B453:B454 B451 B456:B460 B462:B463 B468:B472 B511:B512 B519:B520 B525 B550:B552 B554:B556 B558:B566 B569:B575">
    <cfRule type="duplicateValues" dxfId="194" priority="384"/>
  </conditionalFormatting>
  <conditionalFormatting sqref="B527 B545 B543 B538 B541 B548 B517 B505 B532:B533 B443 B445:B447 B449 B453:B454 B451 B456:B460 B462:B463 B468:B472 B511:B512 B475:B477 B503 B481:B482 B501 B519:B520 B525 B550:B552 B554:B556 B558:B566 B569:B575">
    <cfRule type="duplicateValues" dxfId="193" priority="385"/>
  </conditionalFormatting>
  <conditionalFormatting sqref="B527">
    <cfRule type="duplicateValues" dxfId="192" priority="335"/>
    <cfRule type="duplicateValues" dxfId="191" priority="336"/>
  </conditionalFormatting>
  <conditionalFormatting sqref="B529:B530">
    <cfRule type="duplicateValues" dxfId="190" priority="362"/>
  </conditionalFormatting>
  <conditionalFormatting sqref="B531">
    <cfRule type="duplicateValues" dxfId="189" priority="361"/>
  </conditionalFormatting>
  <conditionalFormatting sqref="B532">
    <cfRule type="duplicateValues" dxfId="188" priority="349"/>
    <cfRule type="duplicateValues" dxfId="187" priority="348"/>
    <cfRule type="duplicateValues" dxfId="186" priority="345"/>
    <cfRule type="duplicateValues" dxfId="185" priority="347"/>
    <cfRule type="duplicateValues" dxfId="184" priority="346"/>
  </conditionalFormatting>
  <conditionalFormatting sqref="B536:B545 B532:B533 B505 B481:B482 B462:B463 B453:B454 B449 B451 B468:B472 B440 B443 B445:B447 B456:B460 B475:B477 B486:B501 B503 B509:B512 B507 B514 B517:B521 B527:B528 B523:B525 B547:B548 B550:B552 B554:B566 B569:B575">
    <cfRule type="duplicateValues" dxfId="183" priority="373"/>
  </conditionalFormatting>
  <conditionalFormatting sqref="B536:B545 B532:B533 B505 B481:B482 B462:B463 B468:B472 B440:B454 B456:B460 B475:B477 B486:B501 B503 B509:B512 B507 B514 B517:B521 B527:B528 B523:B525 B547:B548 B550:B552 B554:B566 B569:B575">
    <cfRule type="duplicateValues" dxfId="182" priority="370"/>
  </conditionalFormatting>
  <conditionalFormatting sqref="B536:B545 B532:B533 B505 B481:B482 B462:B463 B468:B472 B440:B460 B475:B477 B486:B501 B503 B509:B512 B507 B514 B517:B521 B527:B528 B523:B525 B547:B548 B550:B552 B554:B566 B569:B575">
    <cfRule type="duplicateValues" dxfId="181" priority="372"/>
    <cfRule type="duplicateValues" dxfId="180" priority="371"/>
  </conditionalFormatting>
  <conditionalFormatting sqref="B536:B545 B532:B533 B505 B481:B482 B466 B468:B472 B440:B460 B462:B463 B475:B477 B486:B501 B503 B507:B512 B514 B517:B521 B527:B528 B523:B525 B547:B548 B550:B552 B554:B566 B569:B575">
    <cfRule type="duplicateValues" dxfId="179" priority="374"/>
  </conditionalFormatting>
  <conditionalFormatting sqref="B536:B545 B532:B533 B505 B481:B482 B468:B472 B462:B463 B453:B454 B449 B451 B443 B445:B447 B456:B460 B475:B477 B486:B501 B503 B509:B512 B507 B514 B517:B521 B527:B528 B523:B525 B547:B548 B550:B552 B554:B566 B569:B575">
    <cfRule type="duplicateValues" dxfId="178" priority="375"/>
  </conditionalFormatting>
  <conditionalFormatting sqref="B537">
    <cfRule type="duplicateValues" dxfId="177" priority="174"/>
    <cfRule type="duplicateValues" dxfId="176" priority="172"/>
    <cfRule type="duplicateValues" dxfId="175" priority="170"/>
    <cfRule type="duplicateValues" dxfId="174" priority="171"/>
    <cfRule type="duplicateValues" dxfId="173" priority="173"/>
  </conditionalFormatting>
  <conditionalFormatting sqref="B538 B446 B453 B458 B460 B471 B541 B468 B463 B525:C525 B562:B566 B569:B575">
    <cfRule type="duplicateValues" dxfId="172" priority="393"/>
  </conditionalFormatting>
  <conditionalFormatting sqref="B538 B446 B541 B525:C525 B562:B566 B569:B575">
    <cfRule type="duplicateValues" dxfId="171" priority="365"/>
  </conditionalFormatting>
  <conditionalFormatting sqref="B545 B527 B505 B446 B453 B458 B460 B471 B517 B532:B533 B538 B541 B543 B468 B512 B520 B525 B550:B552 B554:B556 B463 B558:B566 B569:B575">
    <cfRule type="duplicateValues" dxfId="170" priority="386"/>
    <cfRule type="duplicateValues" dxfId="169" priority="387" stopIfTrue="1"/>
    <cfRule type="duplicateValues" dxfId="168" priority="388"/>
    <cfRule type="duplicateValues" dxfId="167" priority="389"/>
    <cfRule type="duplicateValues" dxfId="166" priority="364"/>
    <cfRule type="duplicateValues" dxfId="165" priority="390"/>
  </conditionalFormatting>
  <conditionalFormatting sqref="B545 B527 B505 B446 B453 B458 B460 B471 B517 B538 B532:B533 B541 B468 B512 B520 B525 B463 B562:B566 B569:B575">
    <cfRule type="duplicateValues" dxfId="164" priority="395"/>
    <cfRule type="duplicateValues" dxfId="163" priority="394"/>
  </conditionalFormatting>
  <conditionalFormatting sqref="B545 B527 B505 B538 B446 B453 B458 B460 B471 B517 B532:B533 B541 B468 B512 B520 B525 B463 B562:B566 B569:B575">
    <cfRule type="duplicateValues" dxfId="162" priority="396"/>
  </conditionalFormatting>
  <conditionalFormatting sqref="B545 B527 B505 B538 B446 B453 B458 B460 B471 B517 B533 B541 B468 B512 B520 B525 B463 B562:B566 B569:B575">
    <cfRule type="duplicateValues" dxfId="161" priority="397"/>
  </conditionalFormatting>
  <conditionalFormatting sqref="B547">
    <cfRule type="duplicateValues" dxfId="160" priority="168"/>
    <cfRule type="duplicateValues" dxfId="159" priority="169"/>
    <cfRule type="duplicateValues" dxfId="158" priority="167"/>
  </conditionalFormatting>
  <conditionalFormatting sqref="B548">
    <cfRule type="duplicateValues" dxfId="157" priority="289"/>
    <cfRule type="duplicateValues" dxfId="156" priority="288"/>
    <cfRule type="duplicateValues" dxfId="155" priority="290"/>
    <cfRule type="duplicateValues" dxfId="154" priority="291"/>
    <cfRule type="duplicateValues" dxfId="153" priority="292"/>
  </conditionalFormatting>
  <conditionalFormatting sqref="B552 B543">
    <cfRule type="duplicateValues" dxfId="152" priority="330"/>
    <cfRule type="duplicateValues" dxfId="151" priority="327"/>
    <cfRule type="duplicateValues" dxfId="150" priority="328"/>
    <cfRule type="duplicateValues" dxfId="149" priority="329"/>
    <cfRule type="duplicateValues" dxfId="148" priority="326"/>
  </conditionalFormatting>
  <conditionalFormatting sqref="B553">
    <cfRule type="duplicateValues" dxfId="147" priority="88"/>
  </conditionalFormatting>
  <conditionalFormatting sqref="B554">
    <cfRule type="duplicateValues" dxfId="146" priority="322"/>
    <cfRule type="duplicateValues" dxfId="145" priority="323"/>
    <cfRule type="duplicateValues" dxfId="144" priority="324"/>
    <cfRule type="duplicateValues" dxfId="143" priority="325"/>
  </conditionalFormatting>
  <conditionalFormatting sqref="B554:B556 B558:B566 B569:B575">
    <cfRule type="duplicateValues" dxfId="142" priority="363"/>
  </conditionalFormatting>
  <conditionalFormatting sqref="B558 B545 B527 B505 B446 B453 B458 B460 B471 B517 B532:B533 B538 B541 B543 B468 B512 B520 B525 B550:B552 B463 B562:B566 B569:B575">
    <cfRule type="duplicateValues" dxfId="141" priority="376"/>
  </conditionalFormatting>
  <conditionalFormatting sqref="B558">
    <cfRule type="duplicateValues" dxfId="140" priority="334"/>
    <cfRule type="duplicateValues" dxfId="139" priority="331"/>
    <cfRule type="duplicateValues" dxfId="138" priority="332"/>
    <cfRule type="duplicateValues" dxfId="137" priority="333"/>
  </conditionalFormatting>
  <conditionalFormatting sqref="B560 B545 B527 B505 B446 B453 B458 B460 B471 B517 B532:B533 B538 B541 B543 B468 B512 B520 B525 B550:B552 B554:B556 B463 B558 B562:B566 B569:B575">
    <cfRule type="duplicateValues" dxfId="136" priority="391"/>
  </conditionalFormatting>
  <conditionalFormatting sqref="B560 B545 B527 B505 B446 B453 B458 B460 B471 B517 B532:B533 B538 B541 B543 B468 B512 B520 B525 B550:B552 B556 B463 B558 B562:B566 B569:B575">
    <cfRule type="duplicateValues" dxfId="135" priority="392"/>
  </conditionalFormatting>
  <conditionalFormatting sqref="B561">
    <cfRule type="duplicateValues" dxfId="134" priority="354"/>
    <cfRule type="duplicateValues" dxfId="133" priority="353"/>
    <cfRule type="duplicateValues" dxfId="132" priority="356"/>
    <cfRule type="duplicateValues" dxfId="131" priority="355"/>
  </conditionalFormatting>
  <conditionalFormatting sqref="B563:B566 B569:B575">
    <cfRule type="duplicateValues" dxfId="130" priority="366"/>
  </conditionalFormatting>
  <conditionalFormatting sqref="B569:B575 B440:B566">
    <cfRule type="duplicateValues" dxfId="129" priority="367"/>
  </conditionalFormatting>
  <conditionalFormatting sqref="B569:B575 B536:B545 B532:B533 B507:B512 B440:B505 B514 B517:B521 B527:B528 B523:B525 B547:B548 B550:B552 B554:B566">
    <cfRule type="duplicateValues" dxfId="128" priority="369"/>
  </conditionalFormatting>
  <conditionalFormatting sqref="B569:B575 B554:B566 B547:B548 B440:B545 B550:B552">
    <cfRule type="duplicateValues" dxfId="127" priority="368"/>
  </conditionalFormatting>
  <conditionalFormatting sqref="B577:B746">
    <cfRule type="duplicateValues" dxfId="126" priority="84"/>
  </conditionalFormatting>
  <conditionalFormatting sqref="B917:B918 B920:B924">
    <cfRule type="duplicateValues" dxfId="125" priority="42"/>
    <cfRule type="duplicateValues" dxfId="124" priority="36"/>
    <cfRule type="duplicateValues" dxfId="123" priority="33"/>
    <cfRule type="duplicateValues" dxfId="122" priority="34"/>
    <cfRule type="duplicateValues" dxfId="121" priority="35" stopIfTrue="1"/>
    <cfRule type="duplicateValues" dxfId="120" priority="44"/>
    <cfRule type="duplicateValues" dxfId="119" priority="37"/>
    <cfRule type="duplicateValues" dxfId="118" priority="38"/>
    <cfRule type="duplicateValues" dxfId="117" priority="39"/>
    <cfRule type="duplicateValues" dxfId="116" priority="41"/>
    <cfRule type="duplicateValues" dxfId="115" priority="43"/>
    <cfRule type="duplicateValues" dxfId="114" priority="3"/>
  </conditionalFormatting>
  <conditionalFormatting sqref="B917:B918 C825 B920:B924">
    <cfRule type="duplicateValues" dxfId="113" priority="40"/>
  </conditionalFormatting>
  <conditionalFormatting sqref="B919">
    <cfRule type="duplicateValues" dxfId="112" priority="1"/>
  </conditionalFormatting>
  <conditionalFormatting sqref="B920:B924 B747:B918">
    <cfRule type="duplicateValues" dxfId="111" priority="2"/>
  </conditionalFormatting>
  <conditionalFormatting sqref="B925:B1048576 B1:B295">
    <cfRule type="duplicateValues" dxfId="110" priority="732"/>
  </conditionalFormatting>
  <conditionalFormatting sqref="B925:B1048576 B241 B229 B221 B223:B224 B217:B218 B214 B211 B208 B187 B172 B161:B165 B154 B157 B142 B130 B118:B119 B82 B69 B1:B17 B55:B57 B61 B64:B65 B71 B122 B124 B151 B167:B168 B176 B180:B181 B203:B205 B189 B196:B197 B237:B239 B253 B271:B272 B281:B282 B284 B248:B250 B291:B292 B294 B287:B288 B19:B53 B261:B264">
    <cfRule type="duplicateValues" dxfId="109" priority="978"/>
  </conditionalFormatting>
  <conditionalFormatting sqref="B925:B1048576 B241 B229 B221 B223:B224 B217:B218 B214 B211 B208 B187 B172 B161:B165 B154 B157 B142 B130 B118:B119 B82 B69 B61 B1:B15 B21 B26:B28 B48 B64:B65 B71 B122 B124 B151 B167:B168 B176 B180:B181 B203:B205 B189 B196:B197 B237:B239 B253 B271:B272 B281:B282 B284 B248:B250 B291:B292 B294 B287:B288 B261:B264">
    <cfRule type="duplicateValues" dxfId="108" priority="979"/>
  </conditionalFormatting>
  <conditionalFormatting sqref="B925:B1048576 B284 B1:B17 B253 B271:B272 B281:B282 B279 B248:B250 B287:B288 B291:B292 B294 B19:B59 B114:B214 B216:B241 B61:B112 B261:B264">
    <cfRule type="duplicateValues" dxfId="107" priority="981"/>
  </conditionalFormatting>
  <conditionalFormatting sqref="B925:B1048576 B284 B241 B229 B211 B214 B217:B218 B221:B224 B207:B208 B187 B180:B181 B203:B205 B172 B1:B17 B55:B59 B161:B165 B167:B168 B176 B189 B196:B197 B114:B158 B237:B239 B253 B271:B272 B281:B282 B248:B250 B287:B288 B291:B292 B294 B19:B53 B61:B112 B261:B264">
    <cfRule type="duplicateValues" dxfId="106" priority="982"/>
  </conditionalFormatting>
  <conditionalFormatting sqref="B925:B1048576 B284 B241 B229 B211 B214 B217:B218 B221:B224 B207:B208 B187 B180:B181 B203:B205 B172 B1:B17 B55:B59 B176 B189 B196:B197 B114:B168 B237:B239 B253 B271:B272 B281:B282 B248:B250 B287:B288 B291:B292 B294 B19:B53 B61:B112 B261:B264">
    <cfRule type="duplicateValues" dxfId="105" priority="983" stopIfTrue="1"/>
  </conditionalFormatting>
  <conditionalFormatting sqref="B925:B1048576 B284 B241 B229 B211 B214 B217:B218 B221:B224 B207:B208 B187 B180:B181 B203:B205 B172 B157:B158 B154 B1:B17 B55:B59 B161:B165 B167:B168 B176 B189 B196:B197 B114:B151 B237:B239 B253 B271:B272 B281:B282 B248:B250 B287:B288 B291:B292 B294 B19:B53 B61:B112 B261:B264">
    <cfRule type="duplicateValues" dxfId="104" priority="984"/>
  </conditionalFormatting>
  <conditionalFormatting sqref="B925:B1048576 B284 B241 B229 B211 B214 B217:B218 B221:B224 B207:B208 B187 B180:B181 B203:B205 B172 B157:B158 B154 B151 B1:B17 B55:B59 B146:B148 B161:B165 B167:B168 B176 B189 B196:B197 B114:B144 B237:B239 B253 B271:B272 B281:B282 B248:B250 B287:B288 B291:B292 B294 B19:B53 B61:B112 B261:B264">
    <cfRule type="duplicateValues" dxfId="103" priority="985"/>
  </conditionalFormatting>
  <conditionalFormatting sqref="B925:B1048576 B284 B241 B229 B211 B214 B217:B218 B221:B224 B207:B208 B187 B180:B181 B203:B205 B172 B157:B158 B154 B151 B144 B1:B17 B55:B59 B148 B161:B165 B167:B168 B176 B189 B196:B197 B114:B142 B237:B239 B253 B271:B272 B281:B282 B248:B250 B287:B288 B291:B292 B294 B19:B53 B61:B112 B261:B264">
    <cfRule type="duplicateValues" dxfId="102" priority="986"/>
  </conditionalFormatting>
  <conditionalFormatting sqref="B925:B1048576 B284 B241 B229 B217:B218 B221:B224 B214 B211 B207:B209 B1:B17 B55:B59 B114:B205 B237:B239 B253 B271:B272 B281:B282 B248:B250 B287:B288 B291:B292 B294 B19:B53 B61:B112 B261:B264">
    <cfRule type="duplicateValues" dxfId="101" priority="988"/>
    <cfRule type="duplicateValues" dxfId="100" priority="987"/>
  </conditionalFormatting>
  <conditionalFormatting sqref="B925:B1048576 B284 B241 B229 B217:B218 B221:B224 B214 B211 B207:B209 B200:B201 B196:B197 B1:B17 B55:B59 B187 B189 B203:B205 B114:B185 B237:B239 B253 B271:B272 B281:B282 B248:B250 B287:B288 B291:B292 B294 B19:B53 B61:B112 B261:B264">
    <cfRule type="duplicateValues" dxfId="99" priority="989"/>
  </conditionalFormatting>
  <conditionalFormatting sqref="B925:B1048576 B284 B241 B229 B223:B224 B211 B207:B208 B214 B217:B218 B221 B187 B172 B154 B142 B144 B157 B151 B1:B17 B55:B59 B161:B165 B167:B168 B176 B180:B181 B203:B205 B189 B196:B197 B114:B138 B237:B239 B253 B271:B272 B281:B282 B248:B250 B287:B288 B291:B292 B294 B19:B53 B61:B112 B261:B264">
    <cfRule type="duplicateValues" dxfId="98" priority="990"/>
  </conditionalFormatting>
  <conditionalFormatting sqref="B925:B1048576 B284 B241 B229 B223:B224 B211 B208 B214 B217:B218 B221 B187 B172 B161:B165 B154 B157 B142 B129:B130 B138 B118:B119 B122 B124:B125 B151 B1:B17 B55:B59 B167:B168 B176 B180:B181 B203:B205 B189 B196:B197 B114:B116 B237:B239 B253 B271:B272 B281:B282 B248:B250 B287:B288 B291:B292 B294 B19:B53 B61:B112 B261:B264">
    <cfRule type="duplicateValues" dxfId="97" priority="991"/>
  </conditionalFormatting>
  <conditionalFormatting sqref="B925:B1048576 B284 B241 B229 B223:B224 B211 B208 B214 B217:B218 B221 B187 B172 B161:B165 B154 B157 B142 B129:B130 B138 B118:B119 B122 B124:B125 B151 B1:B17 B55:B59 B167:B168 B176 B180:B181 B203:B205 B189 B196:B197 B237:B239 B253 B271:B272 B281:B282 B248:B250 B287:B288 B291:B292 B294 B19:B53 B61:B112 B261:B264">
    <cfRule type="duplicateValues" dxfId="96" priority="992"/>
  </conditionalFormatting>
  <conditionalFormatting sqref="B925:B1048576 B284 B241 B229 B223:B224 B211 B208 B214 B217:B218 B221 B187 B172 B161:B165 B154 B157 B142 B129:B130 B138 B151 B1:B17 B55:B59 B167:B168 B176 B180:B181 B203:B205 B189 B196:B197 B114:B125 B237:B239 B253 B271:B272 B281:B282 B248:B250 B287:B288 B291:B292 B294 B19:B53 B61:B112 B261:B264">
    <cfRule type="duplicateValues" dxfId="95" priority="993"/>
    <cfRule type="duplicateValues" dxfId="94" priority="994"/>
  </conditionalFormatting>
  <conditionalFormatting sqref="B925:B1048576 B284 B271:B272 B281:B282 B279 B1:B17 B287:B288 B291:B292 B294 B19:B59 B114:B214 B216:B253 B61:B112 B256:B264">
    <cfRule type="duplicateValues" dxfId="93" priority="980"/>
  </conditionalFormatting>
  <conditionalFormatting sqref="B925:B1048576 B284 B281:B282 B279 B1:B17 B287:B288 B291:B292 B294 B19:B59 B114:B214 B61:B112 B216:B274">
    <cfRule type="duplicateValues" dxfId="92" priority="995"/>
  </conditionalFormatting>
  <conditionalFormatting sqref="B925:B1048576 B287:B288 B1:B17 B291:B292 B294 B19:B59 B114:B214 B61:B112 B216:B284">
    <cfRule type="duplicateValues" dxfId="91" priority="996"/>
  </conditionalFormatting>
  <conditionalFormatting sqref="B925:B1048576 B287:B288 B2:B17 B291:B292 B294 B19:B59 B114:B214 B61:B112 B216:B284">
    <cfRule type="duplicateValues" dxfId="90" priority="997"/>
  </conditionalFormatting>
  <conditionalFormatting sqref="B925:B1048576 B287:B288 B3:B17 B291:B292 B294 B19:B59 B114:B214 B61:B112 B216:B284">
    <cfRule type="duplicateValues" dxfId="89" priority="998"/>
  </conditionalFormatting>
  <conditionalFormatting sqref="B925:B1048576">
    <cfRule type="duplicateValues" dxfId="88" priority="977"/>
  </conditionalFormatting>
  <conditionalFormatting sqref="C525">
    <cfRule type="duplicateValues" dxfId="87" priority="112"/>
    <cfRule type="duplicateValues" dxfId="86" priority="111"/>
    <cfRule type="duplicateValues" dxfId="85" priority="110"/>
    <cfRule type="duplicateValues" dxfId="84" priority="109"/>
    <cfRule type="duplicateValues" dxfId="83" priority="108"/>
    <cfRule type="duplicateValues" dxfId="82" priority="107"/>
    <cfRule type="duplicateValues" dxfId="81" priority="106"/>
    <cfRule type="duplicateValues" dxfId="80" priority="105"/>
    <cfRule type="duplicateValues" dxfId="79" priority="104"/>
    <cfRule type="duplicateValues" dxfId="78" priority="103"/>
    <cfRule type="duplicateValues" dxfId="77" priority="102"/>
    <cfRule type="duplicateValues" dxfId="76" priority="101"/>
    <cfRule type="duplicateValues" dxfId="75" priority="100"/>
    <cfRule type="duplicateValues" dxfId="74" priority="99"/>
    <cfRule type="duplicateValues" dxfId="73" priority="98"/>
    <cfRule type="duplicateValues" dxfId="72" priority="97"/>
    <cfRule type="duplicateValues" dxfId="71" priority="96"/>
    <cfRule type="duplicateValues" dxfId="70" priority="95"/>
    <cfRule type="duplicateValues" dxfId="69" priority="94"/>
    <cfRule type="duplicateValues" dxfId="68" priority="93"/>
    <cfRule type="duplicateValues" dxfId="67" priority="92"/>
    <cfRule type="duplicateValues" dxfId="66" priority="120"/>
    <cfRule type="duplicateValues" dxfId="65" priority="119"/>
    <cfRule type="duplicateValues" dxfId="64" priority="118"/>
    <cfRule type="duplicateValues" dxfId="63" priority="117"/>
    <cfRule type="duplicateValues" dxfId="62" priority="116"/>
    <cfRule type="duplicateValues" dxfId="61" priority="115"/>
    <cfRule type="duplicateValues" dxfId="60" priority="114" stopIfTrue="1"/>
    <cfRule type="duplicateValues" dxfId="59" priority="113"/>
  </conditionalFormatting>
  <conditionalFormatting sqref="C664">
    <cfRule type="duplicateValues" dxfId="58" priority="57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67"/>
    <cfRule type="duplicateValues" dxfId="52" priority="66"/>
    <cfRule type="duplicateValues" dxfId="51" priority="70"/>
    <cfRule type="duplicateValues" dxfId="50" priority="51"/>
    <cfRule type="duplicateValues" dxfId="49" priority="81"/>
    <cfRule type="duplicateValues" dxfId="48" priority="47"/>
    <cfRule type="duplicateValues" dxfId="47" priority="49"/>
    <cfRule type="duplicateValues" dxfId="46" priority="63"/>
    <cfRule type="duplicateValues" dxfId="45" priority="62"/>
    <cfRule type="duplicateValues" dxfId="44" priority="55"/>
    <cfRule type="duplicateValues" dxfId="43" priority="61"/>
    <cfRule type="duplicateValues" dxfId="42" priority="60"/>
    <cfRule type="duplicateValues" dxfId="41" priority="59"/>
    <cfRule type="duplicateValues" dxfId="40" priority="58"/>
    <cfRule type="duplicateValues" dxfId="39" priority="48"/>
    <cfRule type="duplicateValues" dxfId="38" priority="46"/>
    <cfRule type="duplicateValues" dxfId="37" priority="72"/>
    <cfRule type="duplicateValues" dxfId="36" priority="74"/>
    <cfRule type="duplicateValues" dxfId="35" priority="73"/>
    <cfRule type="duplicateValues" dxfId="34" priority="71"/>
    <cfRule type="duplicateValues" dxfId="33" priority="50"/>
    <cfRule type="duplicateValues" dxfId="32" priority="69"/>
    <cfRule type="duplicateValues" dxfId="31" priority="68" stopIfTrue="1"/>
    <cfRule type="duplicateValues" dxfId="30" priority="65"/>
    <cfRule type="duplicateValues" dxfId="29" priority="64"/>
  </conditionalFormatting>
  <conditionalFormatting sqref="C825">
    <cfRule type="duplicateValues" dxfId="28" priority="27"/>
    <cfRule type="duplicateValues" dxfId="27" priority="26" stopIfTrue="1"/>
    <cfRule type="duplicateValues" dxfId="26" priority="25"/>
    <cfRule type="duplicateValues" dxfId="25" priority="24"/>
    <cfRule type="duplicateValues" dxfId="24" priority="23"/>
    <cfRule type="duplicateValues" dxfId="23" priority="21"/>
    <cfRule type="duplicateValues" dxfId="22" priority="20"/>
    <cfRule type="duplicateValues" dxfId="21" priority="19"/>
    <cfRule type="duplicateValues" dxfId="20" priority="18"/>
    <cfRule type="duplicateValues" dxfId="19" priority="5"/>
    <cfRule type="duplicateValues" dxfId="18" priority="17"/>
    <cfRule type="duplicateValues" dxfId="17" priority="16"/>
    <cfRule type="duplicateValues" dxfId="16" priority="15"/>
    <cfRule type="duplicateValues" dxfId="15" priority="14"/>
    <cfRule type="duplicateValues" dxfId="14" priority="6"/>
    <cfRule type="duplicateValues" dxfId="13" priority="12"/>
    <cfRule type="duplicateValues" dxfId="12" priority="11"/>
    <cfRule type="duplicateValues" dxfId="11" priority="10"/>
    <cfRule type="duplicateValues" dxfId="10" priority="9"/>
    <cfRule type="duplicateValues" dxfId="9" priority="7"/>
    <cfRule type="duplicateValues" dxfId="8" priority="8"/>
    <cfRule type="duplicateValues" dxfId="7" priority="28"/>
    <cfRule type="duplicateValues" dxfId="6" priority="30"/>
    <cfRule type="duplicateValues" dxfId="5" priority="22"/>
    <cfRule type="duplicateValues" dxfId="4" priority="32"/>
    <cfRule type="duplicateValues" dxfId="3" priority="31"/>
    <cfRule type="duplicateValues" dxfId="2" priority="29"/>
    <cfRule type="duplicateValues" dxfId="1" priority="4"/>
    <cfRule type="duplicateValues" dxfId="0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DB70-CA4F-4C83-AC16-22038B858031}">
  <dimension ref="A3:G29"/>
  <sheetViews>
    <sheetView zoomScaleNormal="100" workbookViewId="0">
      <selection activeCell="A5" sqref="A5:A10"/>
    </sheetView>
  </sheetViews>
  <sheetFormatPr defaultRowHeight="15"/>
  <cols>
    <col min="1" max="1" width="17.5703125" bestFit="1" customWidth="1"/>
    <col min="2" max="6" width="11.5703125" bestFit="1" customWidth="1"/>
    <col min="7" max="7" width="12.5703125" bestFit="1" customWidth="1"/>
    <col min="8" max="11" width="17.5703125" bestFit="1" customWidth="1"/>
    <col min="12" max="12" width="12.5703125" bestFit="1" customWidth="1"/>
    <col min="13" max="21" width="20.85546875" bestFit="1" customWidth="1"/>
    <col min="22" max="22" width="18.85546875" bestFit="1" customWidth="1"/>
    <col min="23" max="23" width="26" bestFit="1" customWidth="1"/>
    <col min="24" max="24" width="10.140625" bestFit="1" customWidth="1"/>
    <col min="25" max="25" width="11.5703125" bestFit="1" customWidth="1"/>
    <col min="26" max="32" width="10.140625" bestFit="1" customWidth="1"/>
    <col min="33" max="33" width="11.85546875" bestFit="1" customWidth="1"/>
    <col min="34" max="40" width="10.140625" bestFit="1" customWidth="1"/>
    <col min="41" max="41" width="12.42578125" bestFit="1" customWidth="1"/>
    <col min="42" max="42" width="12.5703125" bestFit="1" customWidth="1"/>
  </cols>
  <sheetData>
    <row r="3" spans="1:7">
      <c r="A3" s="80" t="s">
        <v>1872</v>
      </c>
      <c r="B3" s="80" t="s">
        <v>605</v>
      </c>
    </row>
    <row r="4" spans="1:7">
      <c r="A4" s="80" t="s">
        <v>591</v>
      </c>
      <c r="B4" t="s">
        <v>606</v>
      </c>
      <c r="C4" t="s">
        <v>1870</v>
      </c>
      <c r="D4" t="s">
        <v>1508</v>
      </c>
      <c r="E4" t="s">
        <v>1160</v>
      </c>
      <c r="F4" t="s">
        <v>607</v>
      </c>
      <c r="G4" t="s">
        <v>1871</v>
      </c>
    </row>
    <row r="5" spans="1:7">
      <c r="A5" t="s">
        <v>594</v>
      </c>
      <c r="B5" s="25">
        <v>57957.81</v>
      </c>
      <c r="C5" s="25">
        <v>85412</v>
      </c>
      <c r="D5" s="25">
        <v>35861.54</v>
      </c>
      <c r="E5" s="25">
        <v>59742</v>
      </c>
      <c r="F5" s="25">
        <v>50671.950000000004</v>
      </c>
      <c r="G5" s="25">
        <v>289645.3</v>
      </c>
    </row>
    <row r="6" spans="1:7">
      <c r="A6" t="s">
        <v>596</v>
      </c>
      <c r="B6" s="25">
        <v>1300</v>
      </c>
      <c r="C6" s="25"/>
      <c r="D6" s="25"/>
      <c r="E6" s="25"/>
      <c r="F6" s="25"/>
      <c r="G6" s="25">
        <v>1300</v>
      </c>
    </row>
    <row r="7" spans="1:7">
      <c r="A7" t="s">
        <v>595</v>
      </c>
      <c r="B7" s="25">
        <v>74109.260000000009</v>
      </c>
      <c r="C7" s="25">
        <v>51379</v>
      </c>
      <c r="D7" s="25">
        <v>50524</v>
      </c>
      <c r="E7" s="25">
        <v>56826.3</v>
      </c>
      <c r="F7" s="25">
        <v>46302.3</v>
      </c>
      <c r="G7" s="25">
        <v>279140.86</v>
      </c>
    </row>
    <row r="8" spans="1:7">
      <c r="A8" t="s">
        <v>592</v>
      </c>
      <c r="B8" s="25">
        <v>50783.06</v>
      </c>
      <c r="C8" s="25">
        <v>36973.42</v>
      </c>
      <c r="D8" s="25">
        <v>58951.311999999998</v>
      </c>
      <c r="E8" s="25">
        <v>42325.87</v>
      </c>
      <c r="F8" s="25">
        <v>25439.010000000002</v>
      </c>
      <c r="G8" s="25">
        <v>214472.67199999999</v>
      </c>
    </row>
    <row r="9" spans="1:7">
      <c r="A9" t="s">
        <v>593</v>
      </c>
      <c r="B9" s="25">
        <v>65958.5</v>
      </c>
      <c r="C9" s="25">
        <v>49510.619999999995</v>
      </c>
      <c r="D9" s="25">
        <v>66556.540000000008</v>
      </c>
      <c r="E9" s="25">
        <v>86330</v>
      </c>
      <c r="F9" s="25">
        <v>51401.270000000004</v>
      </c>
      <c r="G9" s="25">
        <v>319756.93000000005</v>
      </c>
    </row>
    <row r="10" spans="1:7">
      <c r="A10" t="s">
        <v>1871</v>
      </c>
      <c r="B10" s="25">
        <v>250108.63</v>
      </c>
      <c r="C10" s="25">
        <v>223275.03999999998</v>
      </c>
      <c r="D10" s="25">
        <v>211893.39200000002</v>
      </c>
      <c r="E10" s="25">
        <v>245224.17</v>
      </c>
      <c r="F10" s="25">
        <v>173814.53000000003</v>
      </c>
      <c r="G10" s="25">
        <v>1104315.7620000001</v>
      </c>
    </row>
    <row r="17" spans="1:7">
      <c r="A17" s="80" t="s">
        <v>1872</v>
      </c>
      <c r="B17" s="80" t="s">
        <v>605</v>
      </c>
    </row>
    <row r="18" spans="1:7">
      <c r="A18" s="80" t="s">
        <v>597</v>
      </c>
      <c r="B18" t="s">
        <v>606</v>
      </c>
      <c r="C18" t="s">
        <v>1870</v>
      </c>
      <c r="D18" t="s">
        <v>1508</v>
      </c>
      <c r="E18" t="s">
        <v>1160</v>
      </c>
      <c r="F18" t="s">
        <v>607</v>
      </c>
      <c r="G18" t="s">
        <v>1871</v>
      </c>
    </row>
    <row r="19" spans="1:7">
      <c r="A19" t="s">
        <v>594</v>
      </c>
      <c r="B19" s="25">
        <v>21724</v>
      </c>
      <c r="C19" s="25">
        <v>61346</v>
      </c>
      <c r="D19" s="25">
        <v>41141.54</v>
      </c>
      <c r="E19" s="25">
        <v>22742</v>
      </c>
      <c r="F19" s="25">
        <v>18199.27</v>
      </c>
      <c r="G19" s="25">
        <v>165152.81</v>
      </c>
    </row>
    <row r="20" spans="1:7">
      <c r="A20" t="s">
        <v>601</v>
      </c>
      <c r="B20" s="25">
        <v>45807.6</v>
      </c>
      <c r="C20" s="25"/>
      <c r="D20" s="25"/>
      <c r="E20" s="25">
        <v>24019.870000000003</v>
      </c>
      <c r="F20" s="25">
        <v>25049.45</v>
      </c>
      <c r="G20" s="25">
        <v>94876.92</v>
      </c>
    </row>
    <row r="21" spans="1:7">
      <c r="A21" t="s">
        <v>596</v>
      </c>
      <c r="B21" s="25">
        <v>57765.2</v>
      </c>
      <c r="C21" s="25">
        <v>9412</v>
      </c>
      <c r="D21" s="25">
        <v>7528.3119999999999</v>
      </c>
      <c r="E21" s="25">
        <v>54950</v>
      </c>
      <c r="F21" s="25">
        <v>25903.64</v>
      </c>
      <c r="G21" s="25">
        <v>155559.152</v>
      </c>
    </row>
    <row r="22" spans="1:7">
      <c r="A22" t="s">
        <v>599</v>
      </c>
      <c r="B22" s="25">
        <v>35310.949999999997</v>
      </c>
      <c r="C22" s="25"/>
      <c r="D22" s="25"/>
      <c r="E22" s="25">
        <v>42990</v>
      </c>
      <c r="F22" s="25">
        <v>16532.36</v>
      </c>
      <c r="G22" s="25">
        <v>94833.31</v>
      </c>
    </row>
    <row r="23" spans="1:7">
      <c r="A23" t="s">
        <v>595</v>
      </c>
      <c r="B23" s="25">
        <v>37646.880000000005</v>
      </c>
      <c r="C23" s="25">
        <v>47179</v>
      </c>
      <c r="D23" s="25">
        <v>50524</v>
      </c>
      <c r="E23" s="25">
        <v>51726.3</v>
      </c>
      <c r="F23" s="25">
        <v>38762.300000000003</v>
      </c>
      <c r="G23" s="25">
        <v>225838.47999999998</v>
      </c>
    </row>
    <row r="24" spans="1:7">
      <c r="A24" t="s">
        <v>592</v>
      </c>
      <c r="B24" s="25">
        <v>12162</v>
      </c>
      <c r="C24" s="25">
        <v>12362</v>
      </c>
      <c r="D24" s="25">
        <v>48443</v>
      </c>
      <c r="E24" s="25">
        <v>10796</v>
      </c>
      <c r="F24" s="25">
        <v>16239.01</v>
      </c>
      <c r="G24" s="25">
        <v>100002.01</v>
      </c>
    </row>
    <row r="25" spans="1:7">
      <c r="A25" t="s">
        <v>600</v>
      </c>
      <c r="B25" s="25">
        <v>1933</v>
      </c>
      <c r="C25" s="25"/>
      <c r="D25" s="25"/>
      <c r="E25" s="25"/>
      <c r="F25" s="25"/>
      <c r="G25" s="25">
        <v>1933</v>
      </c>
    </row>
    <row r="26" spans="1:7">
      <c r="A26" t="s">
        <v>593</v>
      </c>
      <c r="B26" s="25">
        <v>20287</v>
      </c>
      <c r="C26" s="25">
        <v>38144.619999999995</v>
      </c>
      <c r="D26" s="25">
        <v>62256.54</v>
      </c>
      <c r="E26" s="25">
        <v>38000</v>
      </c>
      <c r="F26" s="25">
        <v>33128.5</v>
      </c>
      <c r="G26" s="25">
        <v>191816.66</v>
      </c>
    </row>
    <row r="27" spans="1:7">
      <c r="A27" t="s">
        <v>598</v>
      </c>
      <c r="B27" s="25">
        <v>17472</v>
      </c>
      <c r="C27" s="25"/>
      <c r="D27" s="25"/>
      <c r="E27" s="25"/>
      <c r="F27" s="25"/>
      <c r="G27" s="25">
        <v>17472</v>
      </c>
    </row>
    <row r="28" spans="1:7">
      <c r="A28" t="s">
        <v>1507</v>
      </c>
      <c r="B28" s="25"/>
      <c r="C28" s="25">
        <v>54831.420000000006</v>
      </c>
      <c r="D28" s="25">
        <v>2000</v>
      </c>
      <c r="E28" s="25"/>
      <c r="F28" s="25"/>
      <c r="G28" s="25">
        <v>56831.420000000006</v>
      </c>
    </row>
    <row r="29" spans="1:7">
      <c r="A29" t="s">
        <v>1871</v>
      </c>
      <c r="B29" s="25">
        <v>250108.63</v>
      </c>
      <c r="C29" s="25">
        <v>223275.04</v>
      </c>
      <c r="D29" s="25">
        <v>211893.39200000002</v>
      </c>
      <c r="E29" s="25">
        <v>245224.16999999998</v>
      </c>
      <c r="F29" s="25">
        <v>173814.53</v>
      </c>
      <c r="G29" s="25">
        <v>1104315.7620000001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21C8-D807-44EB-936F-341F3DB44A30}">
  <dimension ref="A2:P16"/>
  <sheetViews>
    <sheetView workbookViewId="0">
      <selection activeCell="P7" sqref="P7"/>
    </sheetView>
  </sheetViews>
  <sheetFormatPr defaultRowHeight="15"/>
  <cols>
    <col min="1" max="1" width="14.140625" bestFit="1" customWidth="1"/>
    <col min="2" max="4" width="14.28515625" bestFit="1" customWidth="1"/>
    <col min="5" max="5" width="15.7109375" bestFit="1" customWidth="1"/>
    <col min="6" max="7" width="14.28515625" bestFit="1" customWidth="1"/>
    <col min="10" max="10" width="14.140625" bestFit="1" customWidth="1"/>
    <col min="11" max="13" width="14.28515625" bestFit="1" customWidth="1"/>
    <col min="14" max="14" width="15.7109375" bestFit="1" customWidth="1"/>
    <col min="15" max="15" width="14.28515625" bestFit="1" customWidth="1"/>
    <col min="16" max="16" width="17.140625" bestFit="1" customWidth="1"/>
  </cols>
  <sheetData>
    <row r="2" spans="1:16" ht="15" customHeight="1">
      <c r="A2" s="86" t="s">
        <v>1875</v>
      </c>
      <c r="B2" s="86"/>
      <c r="C2" s="86"/>
      <c r="D2" s="86"/>
      <c r="E2" s="86"/>
      <c r="F2" s="86"/>
      <c r="G2" s="86"/>
      <c r="J2" s="86" t="s">
        <v>1874</v>
      </c>
      <c r="K2" s="86"/>
      <c r="L2" s="86"/>
      <c r="M2" s="86"/>
      <c r="N2" s="86"/>
      <c r="O2" s="86"/>
      <c r="P2" s="86"/>
    </row>
    <row r="3" spans="1:16" ht="15" customHeight="1">
      <c r="A3" s="86"/>
      <c r="B3" s="86"/>
      <c r="C3" s="86"/>
      <c r="D3" s="86"/>
      <c r="E3" s="86"/>
      <c r="F3" s="86"/>
      <c r="G3" s="86"/>
      <c r="J3" s="86"/>
      <c r="K3" s="86"/>
      <c r="L3" s="86"/>
      <c r="M3" s="86"/>
      <c r="N3" s="86"/>
      <c r="O3" s="86"/>
      <c r="P3" s="86"/>
    </row>
    <row r="4" spans="1:16" ht="15" customHeight="1">
      <c r="A4" s="86"/>
      <c r="B4" s="86"/>
      <c r="C4" s="86"/>
      <c r="D4" s="86"/>
      <c r="E4" s="86"/>
      <c r="F4" s="86"/>
      <c r="G4" s="86"/>
      <c r="J4" s="86"/>
      <c r="K4" s="86"/>
      <c r="L4" s="86"/>
      <c r="M4" s="86"/>
      <c r="N4" s="86"/>
      <c r="O4" s="86"/>
      <c r="P4" s="86"/>
    </row>
    <row r="5" spans="1:16" ht="21.75">
      <c r="A5" s="83" t="s">
        <v>1873</v>
      </c>
      <c r="B5" s="83" t="s">
        <v>606</v>
      </c>
      <c r="C5" s="83" t="s">
        <v>607</v>
      </c>
      <c r="D5" s="83" t="s">
        <v>1160</v>
      </c>
      <c r="E5" s="83" t="s">
        <v>1508</v>
      </c>
      <c r="F5" s="83" t="s">
        <v>1870</v>
      </c>
      <c r="G5" s="84" t="s">
        <v>1871</v>
      </c>
      <c r="J5" s="83" t="s">
        <v>1873</v>
      </c>
      <c r="K5" s="83" t="s">
        <v>606</v>
      </c>
      <c r="L5" s="83" t="s">
        <v>607</v>
      </c>
      <c r="M5" s="83" t="s">
        <v>1160</v>
      </c>
      <c r="N5" s="83" t="s">
        <v>1508</v>
      </c>
      <c r="O5" s="83" t="s">
        <v>1870</v>
      </c>
      <c r="P5" s="84" t="s">
        <v>1871</v>
      </c>
    </row>
    <row r="6" spans="1:16" ht="21.75">
      <c r="A6" s="82" t="s">
        <v>594</v>
      </c>
      <c r="B6" s="81" cm="1">
        <f t="array" ref="B6:B16">_xlfn.XLOOKUP(B5,RAW_Summary!18:18,RAW_Summary!19:29)</f>
        <v>21724</v>
      </c>
      <c r="C6" s="81" cm="1">
        <f t="array" ref="C6:C16">_xlfn.XLOOKUP(C5,RAW_Summary!18:18,RAW_Summary!19:29)</f>
        <v>18199.27</v>
      </c>
      <c r="D6" s="81" cm="1">
        <f t="array" ref="D6:D16">_xlfn.XLOOKUP(D5,RAW_Summary!18:18,RAW_Summary!19:29)</f>
        <v>22742</v>
      </c>
      <c r="E6" s="81" cm="1">
        <f t="array" ref="E6:E16">_xlfn.XLOOKUP(E5,RAW_Summary!18:18,RAW_Summary!19:29)</f>
        <v>41141.54</v>
      </c>
      <c r="F6" s="81" cm="1">
        <f t="array" ref="F6:F16">_xlfn.XLOOKUP(F5,RAW_Summary!18:18,RAW_Summary!19:29)</f>
        <v>61346</v>
      </c>
      <c r="G6" s="85" cm="1">
        <f t="array" ref="G6:G16">_xlfn.XLOOKUP(G5,RAW_Summary!18:18,RAW_Summary!19:29)</f>
        <v>165152.81</v>
      </c>
      <c r="J6" s="82" t="s">
        <v>594</v>
      </c>
      <c r="K6" s="81" cm="1">
        <f t="array" ref="K6:K11">_xlfn.XLOOKUP(K5,RAW_Summary!4:4,RAW_Summary!5:10)</f>
        <v>57957.81</v>
      </c>
      <c r="L6" s="81" cm="1">
        <f t="array" ref="L6:L11">_xlfn.XLOOKUP(L5,RAW_Summary!4:4,RAW_Summary!5:10)</f>
        <v>50671.950000000004</v>
      </c>
      <c r="M6" s="81" cm="1">
        <f t="array" ref="M6:M11">_xlfn.XLOOKUP(M5,RAW_Summary!4:4,RAW_Summary!5:10)</f>
        <v>59742</v>
      </c>
      <c r="N6" s="81" cm="1">
        <f t="array" ref="N6:N11">_xlfn.XLOOKUP(N5,RAW_Summary!4:4,RAW_Summary!5:10)</f>
        <v>35861.54</v>
      </c>
      <c r="O6" s="81" cm="1">
        <f t="array" ref="O6:O11">_xlfn.XLOOKUP(O5,RAW_Summary!4:4,RAW_Summary!5:10)</f>
        <v>85412</v>
      </c>
      <c r="P6" s="85" cm="1">
        <f t="array" ref="P6:P11">_xlfn.XLOOKUP(P5,RAW_Summary!4:4,RAW_Summary!5:10)</f>
        <v>289645.3</v>
      </c>
    </row>
    <row r="7" spans="1:16" ht="21.75">
      <c r="A7" s="82" t="s">
        <v>601</v>
      </c>
      <c r="B7" s="81">
        <v>45807.6</v>
      </c>
      <c r="C7" s="81">
        <v>25049.45</v>
      </c>
      <c r="D7" s="81">
        <v>24019.870000000003</v>
      </c>
      <c r="E7" s="81">
        <v>0</v>
      </c>
      <c r="F7" s="81">
        <v>0</v>
      </c>
      <c r="G7" s="85">
        <v>94876.92</v>
      </c>
      <c r="J7" s="82" t="s">
        <v>596</v>
      </c>
      <c r="K7" s="81">
        <v>1300</v>
      </c>
      <c r="L7" s="81">
        <v>0</v>
      </c>
      <c r="M7" s="81">
        <v>0</v>
      </c>
      <c r="N7" s="81">
        <v>0</v>
      </c>
      <c r="O7" s="81">
        <v>0</v>
      </c>
      <c r="P7" s="85">
        <v>1300</v>
      </c>
    </row>
    <row r="8" spans="1:16" ht="21.75">
      <c r="A8" s="82" t="s">
        <v>596</v>
      </c>
      <c r="B8" s="81">
        <v>57765.2</v>
      </c>
      <c r="C8" s="81">
        <v>25903.64</v>
      </c>
      <c r="D8" s="81">
        <v>54950</v>
      </c>
      <c r="E8" s="81">
        <v>7528.3119999999999</v>
      </c>
      <c r="F8" s="81">
        <v>9412</v>
      </c>
      <c r="G8" s="85">
        <v>155559.152</v>
      </c>
      <c r="J8" s="82" t="s">
        <v>595</v>
      </c>
      <c r="K8" s="81">
        <v>74109.260000000009</v>
      </c>
      <c r="L8" s="81">
        <v>46302.3</v>
      </c>
      <c r="M8" s="81">
        <v>56826.3</v>
      </c>
      <c r="N8" s="81">
        <v>50524</v>
      </c>
      <c r="O8" s="81">
        <v>51379</v>
      </c>
      <c r="P8" s="85">
        <v>279140.86</v>
      </c>
    </row>
    <row r="9" spans="1:16" ht="21.75">
      <c r="A9" s="82" t="s">
        <v>599</v>
      </c>
      <c r="B9" s="81">
        <v>35310.949999999997</v>
      </c>
      <c r="C9" s="81">
        <v>16532.36</v>
      </c>
      <c r="D9" s="81">
        <v>42990</v>
      </c>
      <c r="E9" s="81">
        <v>0</v>
      </c>
      <c r="F9" s="81">
        <v>0</v>
      </c>
      <c r="G9" s="85">
        <v>94833.31</v>
      </c>
      <c r="J9" s="82" t="s">
        <v>592</v>
      </c>
      <c r="K9" s="81">
        <v>50783.06</v>
      </c>
      <c r="L9" s="81">
        <v>25439.010000000002</v>
      </c>
      <c r="M9" s="81">
        <v>42325.87</v>
      </c>
      <c r="N9" s="81">
        <v>58951.311999999998</v>
      </c>
      <c r="O9" s="81">
        <v>36973.42</v>
      </c>
      <c r="P9" s="85">
        <v>214472.67199999999</v>
      </c>
    </row>
    <row r="10" spans="1:16" ht="21.75">
      <c r="A10" s="82" t="s">
        <v>595</v>
      </c>
      <c r="B10" s="81">
        <v>37646.880000000005</v>
      </c>
      <c r="C10" s="81">
        <v>38762.300000000003</v>
      </c>
      <c r="D10" s="81">
        <v>51726.3</v>
      </c>
      <c r="E10" s="81">
        <v>50524</v>
      </c>
      <c r="F10" s="81">
        <v>47179</v>
      </c>
      <c r="G10" s="85">
        <v>225838.47999999998</v>
      </c>
      <c r="J10" s="82" t="s">
        <v>593</v>
      </c>
      <c r="K10" s="81">
        <v>65958.5</v>
      </c>
      <c r="L10" s="81">
        <v>51401.270000000004</v>
      </c>
      <c r="M10" s="81">
        <v>86330</v>
      </c>
      <c r="N10" s="81">
        <v>66556.540000000008</v>
      </c>
      <c r="O10" s="81">
        <v>49510.619999999995</v>
      </c>
      <c r="P10" s="85">
        <v>319756.93000000005</v>
      </c>
    </row>
    <row r="11" spans="1:16" ht="21.75">
      <c r="A11" s="82" t="s">
        <v>592</v>
      </c>
      <c r="B11" s="81">
        <v>12162</v>
      </c>
      <c r="C11" s="81">
        <v>16239.01</v>
      </c>
      <c r="D11" s="81">
        <v>10796</v>
      </c>
      <c r="E11" s="81">
        <v>48443</v>
      </c>
      <c r="F11" s="81">
        <v>12362</v>
      </c>
      <c r="G11" s="85">
        <v>100002.01</v>
      </c>
      <c r="J11" s="85" t="s">
        <v>1871</v>
      </c>
      <c r="K11" s="85">
        <v>250108.63</v>
      </c>
      <c r="L11" s="85">
        <v>173814.53000000003</v>
      </c>
      <c r="M11" s="85">
        <v>245224.17</v>
      </c>
      <c r="N11" s="85">
        <v>211893.39200000002</v>
      </c>
      <c r="O11" s="85">
        <v>223275.03999999998</v>
      </c>
      <c r="P11" s="85">
        <v>1104315.7620000001</v>
      </c>
    </row>
    <row r="12" spans="1:16" ht="21.75">
      <c r="A12" s="82" t="s">
        <v>600</v>
      </c>
      <c r="B12" s="81">
        <v>1933</v>
      </c>
      <c r="C12" s="81">
        <v>0</v>
      </c>
      <c r="D12" s="81">
        <v>0</v>
      </c>
      <c r="E12" s="81">
        <v>0</v>
      </c>
      <c r="F12" s="81">
        <v>0</v>
      </c>
      <c r="G12" s="85">
        <v>1933</v>
      </c>
    </row>
    <row r="13" spans="1:16" ht="21.75">
      <c r="A13" s="82" t="s">
        <v>593</v>
      </c>
      <c r="B13" s="81">
        <v>20287</v>
      </c>
      <c r="C13" s="81">
        <v>33128.5</v>
      </c>
      <c r="D13" s="81">
        <v>38000</v>
      </c>
      <c r="E13" s="81">
        <v>62256.54</v>
      </c>
      <c r="F13" s="81">
        <v>38144.619999999995</v>
      </c>
      <c r="G13" s="85">
        <v>191816.66</v>
      </c>
    </row>
    <row r="14" spans="1:16" ht="21.75">
      <c r="A14" s="82" t="s">
        <v>598</v>
      </c>
      <c r="B14" s="81">
        <v>17472</v>
      </c>
      <c r="C14" s="81">
        <v>0</v>
      </c>
      <c r="D14" s="81">
        <v>0</v>
      </c>
      <c r="E14" s="81">
        <v>0</v>
      </c>
      <c r="F14" s="81">
        <v>0</v>
      </c>
      <c r="G14" s="85">
        <v>17472</v>
      </c>
    </row>
    <row r="15" spans="1:16" ht="21.75">
      <c r="A15" s="82" t="s">
        <v>1507</v>
      </c>
      <c r="B15" s="81">
        <v>0</v>
      </c>
      <c r="C15" s="81">
        <v>0</v>
      </c>
      <c r="D15" s="81">
        <v>0</v>
      </c>
      <c r="E15" s="81">
        <v>2000</v>
      </c>
      <c r="F15" s="81">
        <v>54831.420000000006</v>
      </c>
      <c r="G15" s="85">
        <v>56831.420000000006</v>
      </c>
    </row>
    <row r="16" spans="1:16" ht="21.75">
      <c r="A16" s="85" t="s">
        <v>1871</v>
      </c>
      <c r="B16" s="85">
        <v>250108.63</v>
      </c>
      <c r="C16" s="85">
        <v>173814.53</v>
      </c>
      <c r="D16" s="85">
        <v>245224.16999999998</v>
      </c>
      <c r="E16" s="85">
        <v>211893.39200000002</v>
      </c>
      <c r="F16" s="85">
        <v>223275.04</v>
      </c>
      <c r="G16" s="85">
        <v>1104315.7620000001</v>
      </c>
    </row>
  </sheetData>
  <mergeCells count="2">
    <mergeCell ref="A2:G4"/>
    <mergeCell ref="J2:P4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RAW_Summary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Rishabh.S STORYEXP (MIS)</dc:creator>
  <cp:lastModifiedBy>Rishabh.S STORYEXP (MIS)</cp:lastModifiedBy>
  <dcterms:created xsi:type="dcterms:W3CDTF">2026-10-26T11:59:03Z</dcterms:created>
  <dcterms:modified xsi:type="dcterms:W3CDTF">2026-10-26T13:45:20Z</dcterms:modified>
</cp:coreProperties>
</file>